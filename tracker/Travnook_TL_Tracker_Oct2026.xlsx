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Cal" sheetId="2" state="hidden" r:id="rId4"/>
    <sheet name="Data" sheetId="3" state="hidden" r:id="rId5"/>
    <sheet name="Form 1 Daily" sheetId="4" state="visible" r:id="rId6"/>
    <sheet name="Form 2 Case Log" sheetId="5" state="visible" r:id="rId7"/>
    <sheet name="Form 3 Weekly" sheetId="6" state="visible" r:id="rId8"/>
    <sheet name="Form 4 Monthly" sheetId="7" state="visible" r:id="rId9"/>
  </sheets>
  <definedNames>
    <definedName function="false" hidden="false" localSheetId="3" name="_xlnm.Print_Area" vbProcedure="false">'Form 1 Daily'!$A$1:$AN$1055</definedName>
    <definedName function="false" hidden="false" localSheetId="4" name="_xlnm.Print_Area" vbProcedure="false">'Form 2 Case Log'!$A$1:$BD$855</definedName>
    <definedName function="false" hidden="false" localSheetId="5" name="_xlnm.Print_Area" vbProcedure="false">'Form 3 Weekly'!$A$1:$AN$215</definedName>
    <definedName function="false" hidden="false" localSheetId="6" name="_xlnm.Print_Area" vbProcedure="false">'Form 4 Monthly'!$A$1:$AN$344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9" authorId="0">
      <text>
        <r>
          <rPr>
            <sz val="10"/>
            <rFont val="Arial"/>
            <family val="2"/>
          </rPr>
          <t xml:space="preserve">Team target for the month. Yellow = please confirm. It does not have to equal the sum of the agent targets.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8" authorId="0">
      <text>
        <r>
          <rPr>
            <sz val="10"/>
            <rFont val="Arial"/>
            <family val="2"/>
          </rPr>
          <t xml:space="preserve">1:1s held with Khozema and Harinder.</t>
        </r>
      </text>
    </comment>
    <comment ref="C52" authorId="0">
      <text>
        <r>
          <rPr>
            <sz val="10"/>
            <rFont val="Arial"/>
            <family val="2"/>
          </rPr>
          <t xml:space="preserve">1:1s held with Khozema and Alshima.</t>
        </r>
      </text>
    </comment>
    <comment ref="C57" authorId="0">
      <text>
        <r>
          <rPr>
            <sz val="10"/>
            <rFont val="Arial"/>
            <family val="2"/>
          </rPr>
          <t xml:space="preserve">9 lost deals (given by the Team Leader as "lost leads").</t>
        </r>
      </text>
    </comment>
    <comment ref="M18" authorId="0">
      <text>
        <r>
          <rPr>
            <sz val="10"/>
            <rFont val="Arial"/>
            <family val="2"/>
          </rPr>
          <t xml:space="preserve">Absent: Chaima.</t>
        </r>
      </text>
    </comment>
    <comment ref="M52" authorId="0">
      <text>
        <r>
          <rPr>
            <sz val="10"/>
            <rFont val="Arial"/>
            <family val="2"/>
          </rPr>
          <t xml:space="preserve">Absent: Rihab.</t>
        </r>
      </text>
    </comment>
    <comment ref="W13" authorId="0">
      <text>
        <r>
          <rPr>
            <sz val="10"/>
            <rFont val="Arial"/>
            <family val="2"/>
          </rPr>
          <t xml:space="preserve">Count not given on Day 1. Your note: Instagram and TikTok leads not captured as contact numbers; advertising leads - no potential leads. Enter the number of chats with issues.</t>
        </r>
      </text>
    </comment>
    <comment ref="W47" authorId="0">
      <text>
        <r>
          <rPr>
            <sz val="10"/>
            <rFont val="Arial"/>
            <family val="2"/>
          </rPr>
          <t xml:space="preserve">Start the box with the number of chats with issues (6). The text after it is the detail. Weekly totals read the number at the start.</t>
        </r>
      </text>
    </comment>
    <comment ref="AG52" authorId="0">
      <text>
        <r>
          <rPr>
            <sz val="10"/>
            <rFont val="Arial"/>
            <family val="2"/>
          </rPr>
          <t xml:space="preserve">Number of calls not given. Enter the count (white phone held by Ibrahim and Layan).</t>
        </r>
      </text>
    </comment>
    <comment ref="AI23" authorId="0">
      <text>
        <r>
          <rPr>
            <sz val="10"/>
            <rFont val="Arial"/>
            <family val="2"/>
          </rPr>
          <t xml:space="preserve">You said "yes" (technical and network issues). I entered 1 as the minimum count. Change if more.</t>
        </r>
      </text>
    </comment>
  </commentList>
</comments>
</file>

<file path=xl/sharedStrings.xml><?xml version="1.0" encoding="utf-8"?>
<sst xmlns="http://schemas.openxmlformats.org/spreadsheetml/2006/main" count="2765" uniqueCount="287">
  <si>
    <t xml:space="preserve">TRAVNOOK TRAVEL &amp; TOURISM · TEAM LEADER TRACKER</t>
  </si>
  <si>
    <t xml:space="preserve">Dashboard</t>
  </si>
  <si>
    <t xml:space="preserve">Forms 1 to 4 are linked: type in the daily report and the weekly and monthly pages update.</t>
  </si>
  <si>
    <t xml:space="preserve">Team leader</t>
  </si>
  <si>
    <t xml:space="preserve">Bindhya TB</t>
  </si>
  <si>
    <t xml:space="preserve">Holidays / non-working days (type dates)</t>
  </si>
  <si>
    <t xml:space="preserve">Blue text = you type. Everything else is automatic. Forms are protected (no password) so formulas are not overwritten.</t>
  </si>
  <si>
    <t xml:space="preserve">Team</t>
  </si>
  <si>
    <t xml:space="preserve">Tourism &amp; Business</t>
  </si>
  <si>
    <t xml:space="preserve">Month start (1st day)</t>
  </si>
  <si>
    <t xml:space="preserve">Team target this month (AED)</t>
  </si>
  <si>
    <t xml:space="preserve">Working days in month</t>
  </si>
  <si>
    <t xml:space="preserve">TEAM TARGET</t>
  </si>
  <si>
    <t xml:space="preserve">ACHIEVED</t>
  </si>
  <si>
    <t xml:space="preserve">ACHIEVEMENT</t>
  </si>
  <si>
    <t xml:space="preserve">REMAINING</t>
  </si>
  <si>
    <t xml:space="preserve">REQUIRED / WORKING DAY</t>
  </si>
  <si>
    <t xml:space="preserve">FORECAST AT CURRENT PACE</t>
  </si>
  <si>
    <t xml:space="preserve">AED</t>
  </si>
  <si>
    <t xml:space="preserve">of target</t>
  </si>
  <si>
    <t xml:space="preserve">AED per day to hit target</t>
  </si>
  <si>
    <t xml:space="preserve">AED at month-end</t>
  </si>
  <si>
    <t xml:space="preserve">  WEEKLY PROGRESS</t>
  </si>
  <si>
    <t xml:space="preserve">Week</t>
  </si>
  <si>
    <t xml:space="preserve">From</t>
  </si>
  <si>
    <t xml:space="preserve">To</t>
  </si>
  <si>
    <t xml:space="preserve">Working days</t>
  </si>
  <si>
    <t xml:space="preserve">Target (AED)</t>
  </si>
  <si>
    <t xml:space="preserve">Achieved (AED)</t>
  </si>
  <si>
    <t xml:space="preserve">Achievement %</t>
  </si>
  <si>
    <t xml:space="preserve">Week 1</t>
  </si>
  <si>
    <t xml:space="preserve">Week 2</t>
  </si>
  <si>
    <t xml:space="preserve">Week 3</t>
  </si>
  <si>
    <t xml:space="preserve">Week 4</t>
  </si>
  <si>
    <t xml:space="preserve">Week 5</t>
  </si>
  <si>
    <t xml:space="preserve">Month</t>
  </si>
  <si>
    <t xml:space="preserve">  AGENT PERFORMANCE</t>
  </si>
  <si>
    <t xml:space="preserve">Agent</t>
  </si>
  <si>
    <t xml:space="preserve">Monthly target (AED)</t>
  </si>
  <si>
    <t xml:space="preserve">Gap (AED)</t>
  </si>
  <si>
    <t xml:space="preserve">Required per working day (AED)</t>
  </si>
  <si>
    <t xml:space="preserve">Status</t>
  </si>
  <si>
    <t xml:space="preserve">Previous month (AED)</t>
  </si>
  <si>
    <t xml:space="preserve">Alshima</t>
  </si>
  <si>
    <t xml:space="preserve">Chaima</t>
  </si>
  <si>
    <t xml:space="preserve">Harinder</t>
  </si>
  <si>
    <t xml:space="preserve">Ibrahim</t>
  </si>
  <si>
    <t xml:space="preserve">Khozema</t>
  </si>
  <si>
    <t xml:space="preserve">Layan</t>
  </si>
  <si>
    <t xml:space="preserve">Rihab</t>
  </si>
  <si>
    <t xml:space="preserve">Saha</t>
  </si>
  <si>
    <t xml:space="preserve">GREEN = 100% or more · YELLOW = 70% to 99% · RED = below 70% (my suggested line, change if you wish). Team target above is a separate business goal and need not equal the sum of agent targets. Previous month = September 2026 as given on 1-Oct-2026.</t>
  </si>
  <si>
    <t xml:space="preserve">  MONTH TOTALS FROM FORM 1 (daily reports)</t>
  </si>
  <si>
    <t xml:space="preserve">Chats reviewed</t>
  </si>
  <si>
    <t xml:space="preserve">Chats with issues</t>
  </si>
  <si>
    <t xml:space="preserve">1:1 meetings held</t>
  </si>
  <si>
    <t xml:space="preserve">Agents absent (days)</t>
  </si>
  <si>
    <t xml:space="preserve">Calls on white phone</t>
  </si>
  <si>
    <t xml:space="preserve">Lost deals</t>
  </si>
  <si>
    <t xml:space="preserve">Refunds</t>
  </si>
  <si>
    <t xml:space="preserve">Complaints / errors</t>
  </si>
  <si>
    <t xml:space="preserve">Discount requests</t>
  </si>
  <si>
    <t xml:space="preserve">System issues</t>
  </si>
  <si>
    <t xml:space="preserve">  DAILY SALES ENTRY (type each agent's profit in AED per day)</t>
  </si>
  <si>
    <t xml:space="preserve">Date</t>
  </si>
  <si>
    <t xml:space="preserve">Day</t>
  </si>
  <si>
    <t xml:space="preserve">Team total</t>
  </si>
  <si>
    <t xml:space="preserve">Cumulative</t>
  </si>
  <si>
    <t xml:space="preserve">TOTAL</t>
  </si>
  <si>
    <t xml:space="preserve">Week #</t>
  </si>
  <si>
    <t xml:space="preserve">Working day</t>
  </si>
  <si>
    <t xml:space="preserve">Date excl. Sunday</t>
  </si>
  <si>
    <t xml:space="preserve">Helper sheet (automatic). Weeks run Monday to Saturday from the month start; Sunday and listed holidays are not working days.</t>
  </si>
  <si>
    <t xml:space="preserve">1:1 held</t>
  </si>
  <si>
    <t xml:space="preserve">Agents absent</t>
  </si>
  <si>
    <t xml:space="preserve">White phone holder</t>
  </si>
  <si>
    <t xml:space="preserve">Complaints/errors</t>
  </si>
  <si>
    <t xml:space="preserve">Helper sheet (automatic): copies each day's Form 1 numbers so weekly and monthly totals can add them up.</t>
  </si>
  <si>
    <t xml:space="preserve">TEAM LEADER REPORT · FORM 1 OF 4</t>
  </si>
  <si>
    <t xml:space="preserve">FORM 1</t>
  </si>
  <si>
    <t xml:space="preserve">Daily Report</t>
  </si>
  <si>
    <t xml:space="preserve">Every working day</t>
  </si>
  <si>
    <t xml:space="preserve">Filled by the Team Leader every working day, before the end of the shift</t>
  </si>
  <si>
    <t xml:space="preserve">TEAM LEADER NAME</t>
  </si>
  <si>
    <t xml:space="preserve">TEAM</t>
  </si>
  <si>
    <t xml:space="preserve">REPORT DATE</t>
  </si>
  <si>
    <t xml:space="preserve">  A · CHAT QUALITY REVIEW</t>
  </si>
  <si>
    <t xml:space="preserve">Based on the previous day's chats · details in Form 2 · Chat Review Issues</t>
  </si>
  <si>
    <t xml:space="preserve">CHATS REVIEWED</t>
  </si>
  <si>
    <t xml:space="preserve">CHATS WITH ISSUES</t>
  </si>
  <si>
    <t xml:space="preserve">Technical issue: Instagram and TikTok leads are not counted as contact numbers; advertising leads - no potential leads. (Number of chats with issues not given.)</t>
  </si>
  <si>
    <t xml:space="preserve">  B · COACHING, TEAM &amp; WHITE PHONE</t>
  </si>
  <si>
    <t xml:space="preserve">Log every 1:1 in Form 2 · Case Log</t>
  </si>
  <si>
    <t xml:space="preserve">1:1 MEETINGS HELD TODAY</t>
  </si>
  <si>
    <t xml:space="preserve">AGENTS ABSENT TODAY</t>
  </si>
  <si>
    <t xml:space="preserve">WHITE PHONE HOLDER TODAY</t>
  </si>
  <si>
    <t xml:space="preserve">CALLS ON WHITE PHONE</t>
  </si>
  <si>
    <t xml:space="preserve">Not with us today</t>
  </si>
  <si>
    <t xml:space="preserve">  C · TODAY'S CASES</t>
  </si>
  <si>
    <t xml:space="preserve">Numbers only — the details go in Form 2 · Case Log</t>
  </si>
  <si>
    <t xml:space="preserve">LOST DEALS</t>
  </si>
  <si>
    <t xml:space="preserve">REFUNDS</t>
  </si>
  <si>
    <t xml:space="preserve">COMPLAINTS / ERRORS</t>
  </si>
  <si>
    <t xml:space="preserve">DISCOUNT REQUESTS</t>
  </si>
  <si>
    <t xml:space="preserve">SYSTEM ISSUES</t>
  </si>
  <si>
    <t xml:space="preserve">  D · URGENT FOR MANAGER</t>
  </si>
  <si>
    <t xml:space="preserve">Only if something needs action today · leave empty if nothing</t>
  </si>
  <si>
    <t xml:space="preserve">TEAM LEADER SIGNATURE</t>
  </si>
  <si>
    <t xml:space="preserve">Date: ___________</t>
  </si>
  <si>
    <t xml:space="preserve">MANAGER REVIEW</t>
  </si>
  <si>
    <r>
      <rPr>
        <b val="true"/>
        <sz val="7.5"/>
        <color rgb="FF203A5D"/>
        <rFont val="Arial"/>
        <family val="0"/>
        <charset val="1"/>
      </rPr>
      <t xml:space="preserve">Form 1 · Daily Report</t>
    </r>
    <r>
      <rPr>
        <sz val="7.5"/>
        <color rgb="FF6B7886"/>
        <rFont val="Arial"/>
        <family val="0"/>
        <charset val="1"/>
      </rPr>
      <t xml:space="preserve"> · Team Leader Report Forms</t>
    </r>
  </si>
  <si>
    <t xml:space="preserve">Page 1 of 1</t>
  </si>
  <si>
    <t xml:space="preserve">6 - Many chats redirected, mostly from Mona (already responded to earlier, then redirected to agents). On most redirected leads the agent cannot send a message - red dot appearing.</t>
  </si>
  <si>
    <t xml:space="preserve">Ibrahim and Layan</t>
  </si>
  <si>
    <t xml:space="preserve">TEAM LEADER REPORT · FORM 2 OF 4</t>
  </si>
  <si>
    <t xml:space="preserve">FORM 2</t>
  </si>
  <si>
    <t xml:space="preserve">Case Log</t>
  </si>
  <si>
    <t xml:space="preserve">As it happens · weekly sheets</t>
  </si>
  <si>
    <t xml:space="preserve">One row per item, logged on the day it happens · one set of sheets per week</t>
  </si>
  <si>
    <t xml:space="preserve">WEEK FROM</t>
  </si>
  <si>
    <t xml:space="preserve">WEEK TO</t>
  </si>
  <si>
    <r>
      <rPr>
        <b val="true"/>
        <sz val="7.5"/>
        <color rgb="FF203A5D"/>
        <rFont val="Arial"/>
        <family val="0"/>
        <charset val="1"/>
      </rPr>
      <t xml:space="preserve">How to use: </t>
    </r>
    <r>
      <rPr>
        <sz val="7.5"/>
        <color rgb="FF4A5560"/>
        <rFont val="Arial"/>
        <family val="0"/>
        <charset val="1"/>
      </rPr>
      <t xml:space="preserve">log each item on the day it happens · one row per item · write the code from the key under each table · if a table is full, continue on a new sheet · at the end of the week, fill in the Weekly Summary on page 7 and submit this form with </t>
    </r>
    <r>
      <rPr>
        <b val="true"/>
        <sz val="7.5"/>
        <color rgb="FF203A5D"/>
        <rFont val="Arial"/>
        <family val="0"/>
        <charset val="1"/>
      </rPr>
      <t xml:space="preserve">Form 3 · Weekly Report</t>
    </r>
    <r>
      <rPr>
        <sz val="7.5"/>
        <color rgb="FF4A5560"/>
        <rFont val="Arial"/>
        <family val="0"/>
        <charset val="1"/>
      </rPr>
      <t xml:space="preserve">.</t>
    </r>
  </si>
  <si>
    <t xml:space="preserve">  CHAT REVIEW ISSUES</t>
  </si>
  <si>
    <t xml:space="preserve">One row per chat with an issue · from the daily chat review</t>
  </si>
  <si>
    <t xml:space="preserve">#</t>
  </si>
  <si>
    <t xml:space="preserve">CHAT DATE</t>
  </si>
  <si>
    <t xml:space="preserve">AGENT</t>
  </si>
  <si>
    <t xml:space="preserve">CLIENT NAME / DEAL ID</t>
  </si>
  <si>
    <t xml:space="preserve">ISSUE CODE</t>
  </si>
  <si>
    <t xml:space="preserve">FEEDBACK GIVEN TO THE AGENT</t>
  </si>
  <si>
    <t xml:space="preserve">Technical issue: Instagram and TikTok leads not counted as contact numbers; advertising leads - no potential leads.</t>
  </si>
  <si>
    <t xml:space="preserve">Many chats redirected, mostly from Mona (already responded to earlier, then redirected to agents). On most redirected leads the agent cannot send a message - red dot appearing.</t>
  </si>
  <si>
    <t xml:space="preserve">KEY</t>
  </si>
  <si>
    <t xml:space="preserve">Issue codes: GT Greeting / tone · QL Qualification · PI Product info wrong · PQ Price / quotation error · OH Objection handling · NC No closing attempt · SR Slow response · NF No follow-up set · GC Grammar / clarity · PB Policy breach · OT Other</t>
  </si>
  <si>
    <r>
      <rPr>
        <b val="true"/>
        <sz val="7.5"/>
        <color rgb="FF203A5D"/>
        <rFont val="Arial"/>
        <family val="0"/>
        <charset val="1"/>
      </rPr>
      <t xml:space="preserve">Form 2 · Case Log</t>
    </r>
    <r>
      <rPr>
        <sz val="7.5"/>
        <color rgb="FF6B7886"/>
        <rFont val="Arial"/>
        <family val="0"/>
        <charset val="1"/>
      </rPr>
      <t xml:space="preserve"> · Team Leader Report Forms</t>
    </r>
  </si>
  <si>
    <t xml:space="preserve">Page 1 of 7</t>
  </si>
  <si>
    <t xml:space="preserve">TEAM LEADER</t>
  </si>
  <si>
    <t xml:space="preserve">WEEK</t>
  </si>
  <si>
    <t xml:space="preserve">  LOG 1 · ONE-TO-ONE (1:1) MEETINGS</t>
  </si>
  <si>
    <t xml:space="preserve">One row per meeting</t>
  </si>
  <si>
    <t xml:space="preserve">DATE</t>
  </si>
  <si>
    <t xml:space="preserve">TOPIC</t>
  </si>
  <si>
    <t xml:space="preserve">KEY POINTS DISCUSSED</t>
  </si>
  <si>
    <t xml:space="preserve">ACTION AGREED</t>
  </si>
  <si>
    <t xml:space="preserve">Topic: SK Sales skill · TP Target / performance · BH Behaviour · WB Wellbeing · OT Other</t>
  </si>
  <si>
    <t xml:space="preserve">Page 2 of 7</t>
  </si>
  <si>
    <t xml:space="preserve">  LOG 2 · LOST DEALS (AFTER QUOTATION)</t>
  </si>
  <si>
    <t xml:space="preserve">One row per deal marked lost</t>
  </si>
  <si>
    <t xml:space="preserve">QUOTE VALUE (AED)</t>
  </si>
  <si>
    <t xml:space="preserve">REASON</t>
  </si>
  <si>
    <t xml:space="preserve">COMMENT</t>
  </si>
  <si>
    <t xml:space="preserve">Reason: PR Price too high · CM Chose competitor · NR No reply / went silent · TM Timing / not ready · BG Budget · NF Not a fit · PY Payment issue · OT Other</t>
  </si>
  <si>
    <t xml:space="preserve">  LOG 3 · REFUNDS</t>
  </si>
  <si>
    <t xml:space="preserve">One row per refund</t>
  </si>
  <si>
    <t xml:space="preserve">AMOUNT (AED)</t>
  </si>
  <si>
    <t xml:space="preserve">Reason: CC Client changed mind · ND Service not delivered · WQ Wrong quotation / price · DP Duplicate payment · CO Complaint outcome · OT Other</t>
  </si>
  <si>
    <t xml:space="preserve">Page 3 of 7</t>
  </si>
  <si>
    <t xml:space="preserve">  LOG 4 · COMPLAINTS &amp; ERRORS</t>
  </si>
  <si>
    <t xml:space="preserve">One row per case</t>
  </si>
  <si>
    <t xml:space="preserve">WHAT HAPPENED</t>
  </si>
  <si>
    <t xml:space="preserve">CAUSE</t>
  </si>
  <si>
    <t xml:space="preserve">HOW IT WAS FIXED</t>
  </si>
  <si>
    <t xml:space="preserve">STATUS</t>
  </si>
  <si>
    <t xml:space="preserve">Cause: AM Agent mistake · PG Process gap · SB System / bot · PO Product / operations · CU Client misunderstanding · OT Other     Status: O Open · C Closed</t>
  </si>
  <si>
    <t xml:space="preserve">  LOG 5 · DISCOUNT REQUESTS</t>
  </si>
  <si>
    <t xml:space="preserve">One row per request · write 0 in Approved % if rejected</t>
  </si>
  <si>
    <t xml:space="preserve">REQUESTED %</t>
  </si>
  <si>
    <t xml:space="preserve">APPROVED %</t>
  </si>
  <si>
    <t xml:space="preserve">OUTCOME</t>
  </si>
  <si>
    <t xml:space="preserve">Reason: CP Competitor price · BV Bulk / volume · LC Loyal client · CL Closing push · OT Other     Outcome: W Won · L Lost · O Still open</t>
  </si>
  <si>
    <t xml:space="preserve">Page 4 of 7</t>
  </si>
  <si>
    <t xml:space="preserve">  LOG 6 · SYSTEM ISSUES</t>
  </si>
  <si>
    <t xml:space="preserve">One row per issue · attach screenshots separately</t>
  </si>
  <si>
    <t xml:space="preserve">SYSTEM</t>
  </si>
  <si>
    <t xml:space="preserve">IMPACT</t>
  </si>
  <si>
    <t xml:space="preserve">REPORTED TO</t>
  </si>
  <si>
    <t xml:space="preserve">Technical and network issues. Instagram and TikTok leads not captured as contact numbers; advertising leads - no potential leads.</t>
  </si>
  <si>
    <t xml:space="preserve">System: BOT Chat App Bot · CRM CRM · DB Dashboard · LD Leads     Impact: B Blocking sales · S Slowing work · M Minor     Status: O Open · F Fixed</t>
  </si>
  <si>
    <t xml:space="preserve">  LOG 7 · WHITE PHONE</t>
  </si>
  <si>
    <t xml:space="preserve">One row per day · from the white phone holder</t>
  </si>
  <si>
    <t xml:space="preserve">HOLDER (AGENT)</t>
  </si>
  <si>
    <t xml:space="preserve">NO. OF CALLS</t>
  </si>
  <si>
    <t xml:space="preserve">WHAT CLIENTS ASKED FOR</t>
  </si>
  <si>
    <t xml:space="preserve">NOTES</t>
  </si>
  <si>
    <t xml:space="preserve">Asked for: VI Visa · TP Tour package · FL Flight · HT Hotel · FU Follow-up on existing booking · RC Refund / complaint · OT Other     Write more than one code if needed</t>
  </si>
  <si>
    <t xml:space="preserve">Page 5 of 7</t>
  </si>
  <si>
    <t xml:space="preserve">  LOG 8 · PENDING CASES</t>
  </si>
  <si>
    <t xml:space="preserve">Saturday · the cases most likely to book next week</t>
  </si>
  <si>
    <t xml:space="preserve">WHAT IS PENDING</t>
  </si>
  <si>
    <t xml:space="preserve">EXPECTED BOOKING DATE</t>
  </si>
  <si>
    <t xml:space="preserve">  LOG 9 · AGENTS BEHIND TARGET</t>
  </si>
  <si>
    <t xml:space="preserve">Only agents behind target or with repeated complaints / errors</t>
  </si>
  <si>
    <t xml:space="preserve">ACTION TAKEN</t>
  </si>
  <si>
    <t xml:space="preserve">RESULT / IMPROVEMENT</t>
  </si>
  <si>
    <t xml:space="preserve">Page 6 of 7</t>
  </si>
  <si>
    <t xml:space="preserve">  LOG 10 · TRAINING</t>
  </si>
  <si>
    <t xml:space="preserve">One row per training session</t>
  </si>
  <si>
    <t xml:space="preserve">ROLE-PLAY CONDUCTED</t>
  </si>
  <si>
    <t xml:space="preserve">Role-play conducted: Y Yes · N No</t>
  </si>
  <si>
    <t xml:space="preserve">  WEEKLY SUMMARY</t>
  </si>
  <si>
    <t xml:space="preserve">Count each log at the end of the week · submit with Form 3 · Weekly Report</t>
  </si>
  <si>
    <t xml:space="preserve">1:1 MEETINGS</t>
  </si>
  <si>
    <t xml:space="preserve">Number</t>
  </si>
  <si>
    <t xml:space="preserve">Total AED</t>
  </si>
  <si>
    <t xml:space="preserve">WHITE PHONE CALLS</t>
  </si>
  <si>
    <t xml:space="preserve">Still open</t>
  </si>
  <si>
    <t xml:space="preserve">Approved</t>
  </si>
  <si>
    <t xml:space="preserve">REVIEWED BY MANAGER</t>
  </si>
  <si>
    <t xml:space="preserve">Page 7 of 7</t>
  </si>
  <si>
    <t xml:space="preserve">TEAM LEADER REPORT · FORM 3 OF 4</t>
  </si>
  <si>
    <t xml:space="preserve">FORM 3</t>
  </si>
  <si>
    <t xml:space="preserve">Weekly Report</t>
  </si>
  <si>
    <t xml:space="preserve">Every week</t>
  </si>
  <si>
    <t xml:space="preserve">Filled on the last working day of each week (Saturday)</t>
  </si>
  <si>
    <t xml:space="preserve">  A · TEAM TARGET</t>
  </si>
  <si>
    <t xml:space="preserve">WEEKLY TARGET</t>
  </si>
  <si>
    <t xml:space="preserve">ACHIEVED THIS WEEK</t>
  </si>
  <si>
    <t xml:space="preserve">  B · AGENT TARGETS</t>
  </si>
  <si>
    <t xml:space="preserve">WEEKLY TARGET (AED)</t>
  </si>
  <si>
    <t xml:space="preserve">ACHIEVED (AED)</t>
  </si>
  <si>
    <t xml:space="preserve">ACHIEVEMENT %</t>
  </si>
  <si>
    <t xml:space="preserve">  C · PENDING CASES</t>
  </si>
  <si>
    <t xml:space="preserve">Details in Form 2 · Log 8</t>
  </si>
  <si>
    <t xml:space="preserve">  D · GREY LEADS</t>
  </si>
  <si>
    <t xml:space="preserve">Leads from around 60–90 days ago</t>
  </si>
  <si>
    <t xml:space="preserve">OPEN NOW</t>
  </si>
  <si>
    <t xml:space="preserve">EXPECTED TO BOOK NEXT WEEK</t>
  </si>
  <si>
    <t xml:space="preserve">CONTACTED</t>
  </si>
  <si>
    <t xml:space="preserve">REPLIED</t>
  </si>
  <si>
    <t xml:space="preserve">CONVERTED TO SALE</t>
  </si>
  <si>
    <t xml:space="preserve">  E · TOP 3 ACTIONS FOR NEXT WEEK</t>
  </si>
  <si>
    <r>
      <rPr>
        <b val="true"/>
        <sz val="8"/>
        <color rgb="FF203A5D"/>
        <rFont val="Arial"/>
        <family val="0"/>
        <charset val="1"/>
      </rPr>
      <t xml:space="preserve">Submit with this form: </t>
    </r>
    <r>
      <rPr>
        <sz val="8"/>
        <color rgb="FF4A5560"/>
        <rFont val="Arial"/>
        <family val="0"/>
        <charset val="1"/>
      </rPr>
      <t xml:space="preserve">this week's Form 2 · Case Log (all logs and the Weekly Summary filled in).</t>
    </r>
  </si>
  <si>
    <r>
      <rPr>
        <b val="true"/>
        <sz val="7.5"/>
        <color rgb="FF203A5D"/>
        <rFont val="Arial"/>
        <family val="0"/>
        <charset val="1"/>
      </rPr>
      <t xml:space="preserve">Form 3 · Weekly Report</t>
    </r>
    <r>
      <rPr>
        <sz val="7.5"/>
        <color rgb="FF6B7886"/>
        <rFont val="Arial"/>
        <family val="0"/>
        <charset val="1"/>
      </rPr>
      <t xml:space="preserve"> · Team Leader Report Forms</t>
    </r>
  </si>
  <si>
    <t xml:space="preserve">TEAM LEADER REPORT · FORM 4 OF 4</t>
  </si>
  <si>
    <t xml:space="preserve">FORM 4</t>
  </si>
  <si>
    <t xml:space="preserve">Monthly Agent Review</t>
  </si>
  <si>
    <t xml:space="preserve">Monthly · one per agent</t>
  </si>
  <si>
    <t xml:space="preserve">One review per agent, every month · includes the Agent Skill Card</t>
  </si>
  <si>
    <t xml:space="preserve">AGENT NAME</t>
  </si>
  <si>
    <t xml:space="preserve">MONTH</t>
  </si>
  <si>
    <t xml:space="preserve">REVIEW DATE</t>
  </si>
  <si>
    <t xml:space="preserve">  A · MONTHLY TARGET</t>
  </si>
  <si>
    <t xml:space="preserve">TARGET THIS MONTH</t>
  </si>
  <si>
    <t xml:space="preserve">TARGET HIT?</t>
  </si>
  <si>
    <t xml:space="preserve">TARGET NEXT MONTH</t>
  </si>
  <si>
    <t xml:space="preserve">If the target was not hit — main reason</t>
  </si>
  <si>
    <t xml:space="preserve">Tick one</t>
  </si>
  <si>
    <t xml:space="preserve">☐</t>
  </si>
  <si>
    <t xml:space="preserve">Low lead volume</t>
  </si>
  <si>
    <t xml:space="preserve">Low conversion</t>
  </si>
  <si>
    <t xml:space="preserve">Low activity</t>
  </si>
  <si>
    <t xml:space="preserve">Quality issues</t>
  </si>
  <si>
    <t xml:space="preserve">Absence / leave</t>
  </si>
  <si>
    <t xml:space="preserve">Other:</t>
  </si>
  <si>
    <t xml:space="preserve">  B · AGENT SKILL CARD</t>
  </si>
  <si>
    <t xml:space="preserve">Score each skill from 1 to 10 using the scale below</t>
  </si>
  <si>
    <t xml:space="preserve">Unacceptable</t>
  </si>
  <si>
    <t xml:space="preserve">Very Poor</t>
  </si>
  <si>
    <t xml:space="preserve">Poor</t>
  </si>
  <si>
    <t xml:space="preserve">Below Average</t>
  </si>
  <si>
    <t xml:space="preserve">Average</t>
  </si>
  <si>
    <t xml:space="preserve">Above Average</t>
  </si>
  <si>
    <t xml:space="preserve">Good</t>
  </si>
  <si>
    <t xml:space="preserve">Very Good</t>
  </si>
  <si>
    <t xml:space="preserve">Excellent</t>
  </si>
  <si>
    <t xml:space="preserve">Outstanding</t>
  </si>
  <si>
    <t xml:space="preserve">SKILL</t>
  </si>
  <si>
    <t xml:space="preserve">SCORE</t>
  </si>
  <si>
    <t xml:space="preserve">OBSERVATION / ASSESSMENT</t>
  </si>
  <si>
    <t xml:space="preserve">AREA FOR IMPROVEMENT / ACTION PLAN</t>
  </si>
  <si>
    <r>
      <rPr>
        <b val="true"/>
        <sz val="9.5"/>
        <color rgb="FF203A5D"/>
        <rFont val="Arial"/>
        <family val="0"/>
        <charset val="1"/>
      </rPr>
      <t xml:space="preserve">Qualification
</t>
    </r>
    <r>
      <rPr>
        <i val="true"/>
        <sz val="6.5"/>
        <color rgb="FF6B7886"/>
        <rFont val="Arial"/>
        <family val="0"/>
        <charset val="1"/>
      </rPr>
      <t xml:space="preserve">Identifies needs, budget, timeline and decision-maker</t>
    </r>
  </si>
  <si>
    <t xml:space="preserve">/ 10</t>
  </si>
  <si>
    <r>
      <rPr>
        <b val="true"/>
        <sz val="9.5"/>
        <color rgb="FF203A5D"/>
        <rFont val="Arial"/>
        <family val="0"/>
        <charset val="1"/>
      </rPr>
      <t xml:space="preserve">Objection Handling
</t>
    </r>
    <r>
      <rPr>
        <i val="true"/>
        <sz val="6.5"/>
        <color rgb="FF6B7886"/>
        <rFont val="Arial"/>
        <family val="0"/>
        <charset val="1"/>
      </rPr>
      <t xml:space="preserve">Listens, acknowledges and resolves concerns calmly</t>
    </r>
  </si>
  <si>
    <r>
      <rPr>
        <b val="true"/>
        <sz val="9.5"/>
        <color rgb="FF203A5D"/>
        <rFont val="Arial"/>
        <family val="0"/>
        <charset val="1"/>
      </rPr>
      <t xml:space="preserve">Closing &amp; Urgency
</t>
    </r>
    <r>
      <rPr>
        <i val="true"/>
        <sz val="6.5"/>
        <color rgb="FF6B7886"/>
        <rFont val="Arial"/>
        <family val="0"/>
        <charset val="1"/>
      </rPr>
      <t xml:space="preserve">Asks for commitment and creates genuine urgency</t>
    </r>
  </si>
  <si>
    <r>
      <rPr>
        <b val="true"/>
        <sz val="9.5"/>
        <color rgb="FF203A5D"/>
        <rFont val="Arial"/>
        <family val="0"/>
        <charset val="1"/>
      </rPr>
      <t xml:space="preserve">Follow-up Discipline
</t>
    </r>
    <r>
      <rPr>
        <i val="true"/>
        <sz val="6.5"/>
        <color rgb="FF6B7886"/>
        <rFont val="Arial"/>
        <family val="0"/>
        <charset val="1"/>
      </rPr>
      <t xml:space="preserve">Timely, consistent follow-ups that are tracked</t>
    </r>
  </si>
  <si>
    <r>
      <rPr>
        <b val="true"/>
        <sz val="9.5"/>
        <color rgb="FF203A5D"/>
        <rFont val="Arial"/>
        <family val="0"/>
        <charset val="1"/>
      </rPr>
      <t xml:space="preserve">Confidence &amp; Authority
</t>
    </r>
    <r>
      <rPr>
        <i val="true"/>
        <sz val="6.5"/>
        <color rgb="FF6B7886"/>
        <rFont val="Arial"/>
        <family val="0"/>
        <charset val="1"/>
      </rPr>
      <t xml:space="preserve">Leads the conversation as a trusted expert</t>
    </r>
  </si>
  <si>
    <r>
      <rPr>
        <b val="true"/>
        <sz val="9.5"/>
        <color rgb="FF203A5D"/>
        <rFont val="Arial"/>
        <family val="0"/>
        <charset val="1"/>
      </rPr>
      <t xml:space="preserve">Communication Clarity
</t>
    </r>
    <r>
      <rPr>
        <i val="true"/>
        <sz val="6.5"/>
        <color rgb="FF6B7886"/>
        <rFont val="Arial"/>
        <family val="0"/>
        <charset val="1"/>
      </rPr>
      <t xml:space="preserve">Clear, concise and professional in every interaction</t>
    </r>
  </si>
  <si>
    <t xml:space="preserve">Total Score</t>
  </si>
  <si>
    <t xml:space="preserve">/ 60</t>
  </si>
  <si>
    <t xml:space="preserve">  C · SUMMARY &amp; NEXT MONTH</t>
  </si>
  <si>
    <t xml:space="preserve">OVERALL SUMMARY</t>
  </si>
  <si>
    <t xml:space="preserve">FOCUS FOR NEXT MONTH</t>
  </si>
  <si>
    <t xml:space="preserve">AGENT ACKNOWLEDGEMENT</t>
  </si>
  <si>
    <r>
      <rPr>
        <b val="true"/>
        <sz val="7.5"/>
        <color rgb="FF203A5D"/>
        <rFont val="Arial"/>
        <family val="0"/>
        <charset val="1"/>
      </rPr>
      <t xml:space="preserve">Form 4 · Monthly Agent Review</t>
    </r>
    <r>
      <rPr>
        <sz val="7.5"/>
        <color rgb="FF6B7886"/>
        <rFont val="Arial"/>
        <family val="0"/>
        <charset val="1"/>
      </rPr>
      <t xml:space="preserve"> · Team Leader Report Forms</t>
    </r>
  </si>
  <si>
    <t xml:space="preserve">Closing &amp; Urgency
Asks for commitment and creates genuine urgency</t>
  </si>
  <si>
    <t xml:space="preserve">Follow-up Discipline
Timely, consistent follow-ups that are tracked</t>
  </si>
  <si>
    <t xml:space="preserve">Qualification
Identifies needs, budget, timeline and decision-maker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</si>
</sst>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\-mmm\-yy"/>
    <numFmt numFmtId="166" formatCode="dd\-mmm\-yyyy"/>
    <numFmt numFmtId="167" formatCode="#,##0.00"/>
    <numFmt numFmtId="168" formatCode="0"/>
    <numFmt numFmtId="169" formatCode="0.0%"/>
    <numFmt numFmtId="170" formatCode="General"/>
    <numFmt numFmtId="171" formatCode="dd\ mmm\ yyyy"/>
    <numFmt numFmtId="172" formatCode="#,##0.00&quot; AED&quot;"/>
  </numFmts>
  <fonts count="5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8"/>
      <color rgb="FFC9A13B"/>
      <name val="Arial"/>
      <family val="0"/>
      <charset val="1"/>
    </font>
    <font>
      <b val="true"/>
      <sz val="22"/>
      <color rgb="FFFFFFFF"/>
      <name val="Arial"/>
      <family val="0"/>
      <charset val="1"/>
    </font>
    <font>
      <sz val="8.5"/>
      <color rgb="FFFFFFFF"/>
      <name val="Arial"/>
      <family val="0"/>
      <charset val="1"/>
    </font>
    <font>
      <sz val="9"/>
      <color rgb="FF203A5D"/>
      <name val="Arial"/>
      <family val="0"/>
      <charset val="1"/>
    </font>
    <font>
      <b val="true"/>
      <sz val="8.5"/>
      <color rgb="FF6B7886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8"/>
      <color rgb="FF6B7886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0"/>
      <color rgb="FF203A5D"/>
      <name val="Arial"/>
      <family val="0"/>
      <charset val="1"/>
    </font>
    <font>
      <b val="true"/>
      <sz val="7.5"/>
      <color rgb="FF6B7886"/>
      <name val="Arial"/>
      <family val="0"/>
      <charset val="1"/>
    </font>
    <font>
      <b val="true"/>
      <sz val="16"/>
      <color rgb="FF203A5D"/>
      <name val="Arial"/>
      <family val="0"/>
      <charset val="1"/>
    </font>
    <font>
      <sz val="7.5"/>
      <color rgb="FF6B7886"/>
      <name val="Arial"/>
      <family val="0"/>
      <charset val="1"/>
    </font>
    <font>
      <b val="true"/>
      <sz val="10.5"/>
      <color rgb="FF203A5D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9"/>
      <color rgb="FF203A5D"/>
      <name val="Arial"/>
      <family val="0"/>
      <charset val="1"/>
    </font>
    <font>
      <b val="true"/>
      <sz val="9.5"/>
      <color rgb="FF0000FF"/>
      <name val="Arial"/>
      <family val="0"/>
      <charset val="1"/>
    </font>
    <font>
      <sz val="9.5"/>
      <color rgb="FF0000FF"/>
      <name val="Arial"/>
      <family val="0"/>
      <charset val="1"/>
    </font>
    <font>
      <sz val="9.5"/>
      <color rgb="FF203A5D"/>
      <name val="Arial"/>
      <family val="0"/>
      <charset val="1"/>
    </font>
    <font>
      <b val="true"/>
      <sz val="9.5"/>
      <color rgb="FF203A5D"/>
      <name val="Arial"/>
      <family val="0"/>
      <charset val="1"/>
    </font>
    <font>
      <i val="true"/>
      <sz val="7.5"/>
      <color rgb="FF6B7886"/>
      <name val="Arial"/>
      <family val="0"/>
      <charset val="1"/>
    </font>
    <font>
      <sz val="9"/>
      <color rgb="FF6B7886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7"/>
      <color rgb="FFC9A13B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9"/>
      <color rgb="FFFFFFFF"/>
      <name val="Arial"/>
      <family val="0"/>
      <charset val="1"/>
    </font>
    <font>
      <sz val="7.5"/>
      <color rgb="FFFFFFFF"/>
      <name val="Arial"/>
      <family val="0"/>
      <charset val="1"/>
    </font>
    <font>
      <b val="true"/>
      <sz val="7"/>
      <color rgb="FF6B7886"/>
      <name val="Arial"/>
      <family val="0"/>
      <charset val="1"/>
    </font>
    <font>
      <b val="true"/>
      <sz val="7.5"/>
      <color rgb="FF203A5D"/>
      <name val="Arial"/>
      <family val="0"/>
      <charset val="1"/>
    </font>
    <font>
      <sz val="10.5"/>
      <color rgb="FF203A5D"/>
      <name val="Arial"/>
      <family val="0"/>
      <charset val="1"/>
    </font>
    <font>
      <sz val="8.5"/>
      <color rgb="FF203A5D"/>
      <name val="Arial"/>
      <family val="0"/>
      <charset val="1"/>
    </font>
    <font>
      <sz val="10"/>
      <color rgb="FF203A5D"/>
      <name val="Arial"/>
      <family val="0"/>
      <charset val="1"/>
    </font>
    <font>
      <b val="true"/>
      <sz val="8"/>
      <color rgb="FF203A5D"/>
      <name val="Arial"/>
      <family val="0"/>
      <charset val="1"/>
    </font>
    <font>
      <sz val="7.5"/>
      <color rgb="FF4A5560"/>
      <name val="Arial"/>
      <family val="0"/>
      <charset val="1"/>
    </font>
    <font>
      <b val="true"/>
      <sz val="7.5"/>
      <color rgb="FFFFFFFF"/>
      <name val="Arial"/>
      <family val="0"/>
      <charset val="1"/>
    </font>
    <font>
      <sz val="7.5"/>
      <color rgb="FFA5AEB8"/>
      <name val="Arial"/>
      <family val="0"/>
      <charset val="1"/>
    </font>
    <font>
      <b val="true"/>
      <sz val="6.5"/>
      <color rgb="FFFFFFFF"/>
      <name val="Arial"/>
      <family val="0"/>
      <charset val="1"/>
    </font>
    <font>
      <sz val="7"/>
      <color rgb="FF4A5560"/>
      <name val="Arial"/>
      <family val="0"/>
      <charset val="1"/>
    </font>
    <font>
      <b val="true"/>
      <sz val="13"/>
      <color rgb="FF203A5D"/>
      <name val="Arial"/>
      <family val="0"/>
      <charset val="1"/>
    </font>
    <font>
      <b val="true"/>
      <sz val="8.5"/>
      <color rgb="FF203A5D"/>
      <name val="Arial"/>
      <family val="0"/>
      <charset val="1"/>
    </font>
    <font>
      <sz val="7"/>
      <color rgb="FF6B7886"/>
      <name val="Arial"/>
      <family val="0"/>
      <charset val="1"/>
    </font>
    <font>
      <sz val="8"/>
      <color rgb="FFA5AEB8"/>
      <name val="Arial"/>
      <family val="0"/>
      <charset val="1"/>
    </font>
    <font>
      <sz val="8"/>
      <color rgb="FF4A5560"/>
      <name val="Arial"/>
      <family val="0"/>
      <charset val="1"/>
    </font>
    <font>
      <sz val="11"/>
      <color rgb="FF203A5D"/>
      <name val="Arial"/>
      <family val="0"/>
      <charset val="1"/>
    </font>
    <font>
      <sz val="8.5"/>
      <color rgb="FF2B3A4A"/>
      <name val="Arial"/>
      <family val="0"/>
      <charset val="1"/>
    </font>
    <font>
      <b val="true"/>
      <sz val="11"/>
      <color rgb="FFC0392B"/>
      <name val="Arial"/>
      <family val="0"/>
      <charset val="1"/>
    </font>
    <font>
      <b val="true"/>
      <sz val="11"/>
      <color rgb="FFD35400"/>
      <name val="Arial"/>
      <family val="0"/>
      <charset val="1"/>
    </font>
    <font>
      <b val="true"/>
      <sz val="11"/>
      <color rgb="FFB7791F"/>
      <name val="Arial"/>
      <family val="0"/>
      <charset val="1"/>
    </font>
    <font>
      <b val="true"/>
      <sz val="11"/>
      <color rgb="FF2E7D32"/>
      <name val="Arial"/>
      <family val="0"/>
      <charset val="1"/>
    </font>
    <font>
      <sz val="5.5"/>
      <color rgb="FF6B7886"/>
      <name val="Arial"/>
      <family val="0"/>
      <charset val="1"/>
    </font>
    <font>
      <i val="true"/>
      <sz val="6.5"/>
      <color rgb="FF6B7886"/>
      <name val="Arial"/>
      <family val="0"/>
      <charset val="1"/>
    </font>
    <font>
      <b val="true"/>
      <sz val="11"/>
      <color rgb="FF203A5D"/>
      <name val="Arial"/>
      <family val="0"/>
      <charset val="1"/>
    </font>
    <font>
      <sz val="8"/>
      <color rgb="FF6B7886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203A5D"/>
        <bgColor rgb="FF2B3A4A"/>
      </patternFill>
    </fill>
    <fill>
      <patternFill patternType="solid">
        <fgColor rgb="FFC9A13B"/>
        <bgColor rgb="FFB7791F"/>
      </patternFill>
    </fill>
    <fill>
      <patternFill patternType="solid">
        <fgColor rgb="FFF3F5F8"/>
        <bgColor rgb="FFF7F8FA"/>
      </patternFill>
    </fill>
    <fill>
      <patternFill patternType="solid">
        <fgColor rgb="FFFFF9D6"/>
        <bgColor rgb="FFFBF6EA"/>
      </patternFill>
    </fill>
    <fill>
      <patternFill patternType="solid">
        <fgColor rgb="FFF7F8FA"/>
        <bgColor rgb="FFF3F5F8"/>
      </patternFill>
    </fill>
    <fill>
      <patternFill patternType="solid">
        <fgColor rgb="FFE8EEF4"/>
        <bgColor rgb="FFF3F5F8"/>
      </patternFill>
    </fill>
    <fill>
      <patternFill patternType="solid">
        <fgColor rgb="FFFBF6EA"/>
        <bgColor rgb="FFF7F8FA"/>
      </patternFill>
    </fill>
    <fill>
      <patternFill patternType="solid">
        <fgColor rgb="FFF9D5D8"/>
        <bgColor rgb="FFFADAD6"/>
      </patternFill>
    </fill>
    <fill>
      <patternFill patternType="solid">
        <fgColor rgb="FFFADAD6"/>
        <bgColor rgb="FFF9D5D8"/>
      </patternFill>
    </fill>
    <fill>
      <patternFill patternType="solid">
        <fgColor rgb="FFFBE0D2"/>
        <bgColor rgb="FFFCE3CF"/>
      </patternFill>
    </fill>
    <fill>
      <patternFill patternType="solid">
        <fgColor rgb="FFFCE3CF"/>
        <bgColor rgb="FFFBE0D2"/>
      </patternFill>
    </fill>
    <fill>
      <patternFill patternType="solid">
        <fgColor rgb="FFFDF0C5"/>
        <bgColor rgb="FFFFF9D6"/>
      </patternFill>
    </fill>
    <fill>
      <patternFill patternType="solid">
        <fgColor rgb="FFD9EFD9"/>
        <bgColor rgb="FFCFEBD3"/>
      </patternFill>
    </fill>
    <fill>
      <patternFill patternType="solid">
        <fgColor rgb="FFCFEBD3"/>
        <bgColor rgb="FFC6EFCE"/>
      </patternFill>
    </fill>
    <fill>
      <patternFill patternType="solid">
        <fgColor rgb="FFC4E7CA"/>
        <bgColor rgb="FFBBE3C3"/>
      </patternFill>
    </fill>
    <fill>
      <patternFill patternType="solid">
        <fgColor rgb="FFBBE3C3"/>
        <bgColor rgb="FFC4E7CA"/>
      </patternFill>
    </fill>
  </fills>
  <borders count="20">
    <border diagonalUp="false" diagonalDown="false">
      <left/>
      <right/>
      <top/>
      <bottom/>
      <diagonal/>
    </border>
    <border diagonalUp="false" diagonalDown="false">
      <left style="thin">
        <color rgb="FFD5DDE6"/>
      </left>
      <right style="thin">
        <color rgb="FFD5DDE6"/>
      </right>
      <top style="thin">
        <color rgb="FFD5DDE6"/>
      </top>
      <bottom style="thin">
        <color rgb="FFD5DDE6"/>
      </bottom>
      <diagonal/>
    </border>
    <border diagonalUp="false" diagonalDown="false">
      <left style="thin">
        <color rgb="FFD5DDE6"/>
      </left>
      <right style="thin">
        <color rgb="FFD5DDE6"/>
      </right>
      <top style="thin">
        <color rgb="FFD5DDE6"/>
      </top>
      <bottom/>
      <diagonal/>
    </border>
    <border diagonalUp="false" diagonalDown="false">
      <left style="thin">
        <color rgb="FFD5DDE6"/>
      </left>
      <right style="thin">
        <color rgb="FFD5DDE6"/>
      </right>
      <top/>
      <bottom/>
      <diagonal/>
    </border>
    <border diagonalUp="false" diagonalDown="false">
      <left style="thin">
        <color rgb="FFD5DDE6"/>
      </left>
      <right style="thin">
        <color rgb="FFD5DDE6"/>
      </right>
      <top/>
      <bottom style="thin">
        <color rgb="FFD5DDE6"/>
      </bottom>
      <diagonal/>
    </border>
    <border diagonalUp="false" diagonalDown="false">
      <left/>
      <right/>
      <top/>
      <bottom style="thin">
        <color rgb="FF203A5D"/>
      </bottom>
      <diagonal/>
    </border>
    <border diagonalUp="false" diagonalDown="false">
      <left style="thin">
        <color rgb="FFD5DDE6"/>
      </left>
      <right/>
      <top style="thin">
        <color rgb="FFD5DDE6"/>
      </top>
      <bottom/>
      <diagonal/>
    </border>
    <border diagonalUp="false" diagonalDown="false">
      <left/>
      <right/>
      <top style="thin">
        <color rgb="FFD5DDE6"/>
      </top>
      <bottom/>
      <diagonal/>
    </border>
    <border diagonalUp="false" diagonalDown="false">
      <left/>
      <right style="thin">
        <color rgb="FFD5DDE6"/>
      </right>
      <top style="thin">
        <color rgb="FFD5DDE6"/>
      </top>
      <bottom/>
      <diagonal/>
    </border>
    <border diagonalUp="false" diagonalDown="false">
      <left style="thin">
        <color rgb="FFD5DDE6"/>
      </left>
      <right/>
      <top/>
      <bottom/>
      <diagonal/>
    </border>
    <border diagonalUp="false" diagonalDown="false">
      <left/>
      <right style="thin">
        <color rgb="FFD5DDE6"/>
      </right>
      <top/>
      <bottom/>
      <diagonal/>
    </border>
    <border diagonalUp="false" diagonalDown="false">
      <left style="thin">
        <color rgb="FFD5DDE6"/>
      </left>
      <right/>
      <top/>
      <bottom style="thin">
        <color rgb="FFD5DDE6"/>
      </bottom>
      <diagonal/>
    </border>
    <border diagonalUp="false" diagonalDown="false">
      <left/>
      <right/>
      <top/>
      <bottom style="thin">
        <color rgb="FFD5DDE6"/>
      </bottom>
      <diagonal/>
    </border>
    <border diagonalUp="false" diagonalDown="false">
      <left/>
      <right style="thin">
        <color rgb="FFD5DDE6"/>
      </right>
      <top/>
      <bottom style="thin">
        <color rgb="FFD5DDE6"/>
      </bottom>
      <diagonal/>
    </border>
    <border diagonalUp="false" diagonalDown="false">
      <left/>
      <right/>
      <top/>
      <bottom style="thin">
        <color rgb="FF6B7886"/>
      </bottom>
      <diagonal/>
    </border>
    <border diagonalUp="false" diagonalDown="false">
      <left/>
      <right/>
      <top style="medium">
        <color rgb="FF203A5D"/>
      </top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 diagonalUp="false" diagonalDown="false"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 diagonalUp="false" diagonalDown="false">
      <left/>
      <right/>
      <top style="thin">
        <color rgb="FFD5DDE6"/>
      </top>
      <bottom style="thin">
        <color rgb="FFD5DDE6"/>
      </bottom>
      <diagonal/>
    </border>
    <border diagonalUp="false" diagonalDown="false">
      <left style="thin">
        <color rgb="FF6B7886"/>
      </left>
      <right style="thin">
        <color rgb="FF6B7886"/>
      </right>
      <top style="thin">
        <color rgb="FF6B7886"/>
      </top>
      <bottom style="thin">
        <color rgb="FF6B788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1" fillId="4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6" fontId="9" fillId="4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7" fontId="9" fillId="5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8" fontId="12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7" fontId="20" fillId="5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7" fontId="2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0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2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2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2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7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2" borderId="0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6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4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5" borderId="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4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34" fillId="5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36" fillId="0" borderId="1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37" fillId="0" borderId="15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33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5" fillId="4" borderId="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33" fillId="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left" vertical="center" textRotation="0" wrapText="true" indent="1" shrinkToFit="false"/>
      <protection locked="false" hidden="false"/>
    </xf>
    <xf numFmtId="164" fontId="7" fillId="0" borderId="1" xfId="0" applyFont="true" applyBorder="true" applyAlignment="true" applyProtection="true">
      <alignment horizontal="left" vertical="center" textRotation="0" wrapText="true" indent="1" shrinkToFit="false"/>
      <protection locked="false" hidden="false"/>
    </xf>
    <xf numFmtId="164" fontId="41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2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left" vertical="center" textRotation="0" wrapText="true" indent="1" shrinkToFit="false"/>
      <protection locked="false" hidden="false"/>
    </xf>
    <xf numFmtId="164" fontId="44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3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3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3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6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16" fillId="0" borderId="5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3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34" fillId="4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8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4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4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50" fillId="9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1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1" fillId="11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1" fillId="1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13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3" fillId="1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3" fillId="15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3" fillId="16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3" fillId="17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6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6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56" fillId="0" borderId="1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7" fillId="0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12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6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7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left" vertical="top" textRotation="0" wrapText="tru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1E6B3A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8A65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DF0C5"/>
      <rgbColor rgb="FFFF00FF"/>
      <rgbColor rgb="FFF3F5F8"/>
      <rgbColor rgb="FF9C0006"/>
      <rgbColor rgb="FF1E6B3A"/>
      <rgbColor rgb="FF000080"/>
      <rgbColor rgb="FF8A6500"/>
      <rgbColor rgb="FF800080"/>
      <rgbColor rgb="FF008080"/>
      <rgbColor rgb="FFA5AEB8"/>
      <rgbColor rgb="FF878787"/>
      <rgbColor rgb="FFC4E7CA"/>
      <rgbColor rgb="FFC0504D"/>
      <rgbColor rgb="FFFFF9D6"/>
      <rgbColor rgb="FFD9EFD9"/>
      <rgbColor rgb="FF660066"/>
      <rgbColor rgb="FFB7791F"/>
      <rgbColor rgb="FF0066CC"/>
      <rgbColor rgb="FFD5DDE6"/>
      <rgbColor rgb="FF000080"/>
      <rgbColor rgb="FFFF00FF"/>
      <rgbColor rgb="FFFBE0D2"/>
      <rgbColor rgb="FFF7F8FA"/>
      <rgbColor rgb="FF800080"/>
      <rgbColor rgb="FF800000"/>
      <rgbColor rgb="FF008080"/>
      <rgbColor rgb="FF0000FF"/>
      <rgbColor rgb="FFFBF6EA"/>
      <rgbColor rgb="FFE8EEF4"/>
      <rgbColor rgb="FFC6EFCE"/>
      <rgbColor rgb="FFFFEB9C"/>
      <rgbColor rgb="FFBBE3C3"/>
      <rgbColor rgb="FFF9D5D8"/>
      <rgbColor rgb="FFD9D9D9"/>
      <rgbColor rgb="FFFFC7CE"/>
      <rgbColor rgb="FF4A7EBB"/>
      <rgbColor rgb="FFFADAD6"/>
      <rgbColor rgb="FFCFEBD3"/>
      <rgbColor rgb="FFFCE3CF"/>
      <rgbColor rgb="FFC9A13B"/>
      <rgbColor rgb="FFD35400"/>
      <rgbColor rgb="FF6B7886"/>
      <rgbColor rgb="FF4F81BD"/>
      <rgbColor rgb="FF203A5D"/>
      <rgbColor rgb="FF2E7D32"/>
      <rgbColor rgb="FF003300"/>
      <rgbColor rgb="FF333300"/>
      <rgbColor rgb="FFC0392B"/>
      <rgbColor rgb="FF993366"/>
      <rgbColor rgb="FF4A5560"/>
      <rgbColor rgb="FF2B3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Target vs achieved by agent (AED)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Dashboard!C27</c:f>
              <c:strCache>
                <c:ptCount val="1"/>
                <c:pt idx="0">
                  <c:v>Monthly target (AED)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Dashboard!$B$28:$B$35</c:f>
              <c:strCache>
                <c:ptCount val="8"/>
                <c:pt idx="0">
                  <c:v>Alshima</c:v>
                </c:pt>
                <c:pt idx="1">
                  <c:v>Chaima</c:v>
                </c:pt>
                <c:pt idx="2">
                  <c:v>Harinder</c:v>
                </c:pt>
                <c:pt idx="3">
                  <c:v>Ibrahim</c:v>
                </c:pt>
                <c:pt idx="4">
                  <c:v>Khozema</c:v>
                </c:pt>
                <c:pt idx="5">
                  <c:v>Layan</c:v>
                </c:pt>
                <c:pt idx="6">
                  <c:v>Rihab</c:v>
                </c:pt>
                <c:pt idx="7">
                  <c:v>Saha</c:v>
                </c:pt>
              </c:strCache>
            </c:strRef>
          </c:cat>
          <c:val>
            <c:numRef>
              <c:f>Dashboard!$C$28:$C$35</c:f>
              <c:numCache>
                <c:formatCode>General</c:formatCode>
                <c:ptCount val="8"/>
              </c:numCache>
            </c:numRef>
          </c:val>
        </c:ser>
        <c:ser>
          <c:idx val="1"/>
          <c:order val="1"/>
          <c:tx>
            <c:strRef>
              <c:f>Dashboard!D27</c:f>
              <c:strCache>
                <c:ptCount val="1"/>
                <c:pt idx="0">
                  <c:v>Achieved (AED)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Dashboard!$B$28:$B$35</c:f>
              <c:strCache>
                <c:ptCount val="8"/>
                <c:pt idx="0">
                  <c:v>Alshima</c:v>
                </c:pt>
                <c:pt idx="1">
                  <c:v>Chaima</c:v>
                </c:pt>
                <c:pt idx="2">
                  <c:v>Harinder</c:v>
                </c:pt>
                <c:pt idx="3">
                  <c:v>Ibrahim</c:v>
                </c:pt>
                <c:pt idx="4">
                  <c:v>Khozema</c:v>
                </c:pt>
                <c:pt idx="5">
                  <c:v>Layan</c:v>
                </c:pt>
                <c:pt idx="6">
                  <c:v>Rihab</c:v>
                </c:pt>
                <c:pt idx="7">
                  <c:v>Saha</c:v>
                </c:pt>
              </c:strCache>
            </c:strRef>
          </c:cat>
          <c:val>
            <c:numRef>
              <c:f>Dashboard!$D$28:$D$35</c:f>
              <c:numCache>
                <c:formatCode>#,##0.00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gapWidth val="150"/>
        <c:overlap val="0"/>
        <c:axId val="65312509"/>
        <c:axId val="73798153"/>
      </c:barChart>
      <c:catAx>
        <c:axId val="653125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798153"/>
        <c:crosses val="autoZero"/>
        <c:auto val="1"/>
        <c:lblAlgn val="ctr"/>
        <c:lblOffset val="100"/>
        <c:noMultiLvlLbl val="0"/>
      </c:catAx>
      <c:valAx>
        <c:axId val="737981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3125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team sales (AED)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Dashboard!M73</c:f>
              <c:strCache>
                <c:ptCount val="1"/>
                <c:pt idx="0">
                  <c:v>Cumulative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Dashboard!$B$74:$B$104</c:f>
              <c:strCache>
                <c:ptCount val="31"/>
                <c:pt idx="0">
                  <c:v>01-Oct-26</c:v>
                </c:pt>
                <c:pt idx="1">
                  <c:v>02-Oct-26</c:v>
                </c:pt>
                <c:pt idx="2">
                  <c:v>03-Oct-26</c:v>
                </c:pt>
                <c:pt idx="3">
                  <c:v>04-Oct-26</c:v>
                </c:pt>
                <c:pt idx="4">
                  <c:v>05-Oct-26</c:v>
                </c:pt>
                <c:pt idx="5">
                  <c:v>06-Oct-26</c:v>
                </c:pt>
                <c:pt idx="6">
                  <c:v>07-Oct-26</c:v>
                </c:pt>
                <c:pt idx="7">
                  <c:v>08-Oct-26</c:v>
                </c:pt>
                <c:pt idx="8">
                  <c:v>09-Oct-26</c:v>
                </c:pt>
                <c:pt idx="9">
                  <c:v>10-Oct-26</c:v>
                </c:pt>
                <c:pt idx="10">
                  <c:v>11-Oct-26</c:v>
                </c:pt>
                <c:pt idx="11">
                  <c:v>12-Oct-26</c:v>
                </c:pt>
                <c:pt idx="12">
                  <c:v>13-Oct-26</c:v>
                </c:pt>
                <c:pt idx="13">
                  <c:v>14-Oct-26</c:v>
                </c:pt>
                <c:pt idx="14">
                  <c:v>15-Oct-26</c:v>
                </c:pt>
                <c:pt idx="15">
                  <c:v>16-Oct-26</c:v>
                </c:pt>
                <c:pt idx="16">
                  <c:v>17-Oct-26</c:v>
                </c:pt>
                <c:pt idx="17">
                  <c:v>18-Oct-26</c:v>
                </c:pt>
                <c:pt idx="18">
                  <c:v>19-Oct-26</c:v>
                </c:pt>
                <c:pt idx="19">
                  <c:v>20-Oct-26</c:v>
                </c:pt>
                <c:pt idx="20">
                  <c:v>21-Oct-26</c:v>
                </c:pt>
                <c:pt idx="21">
                  <c:v>22-Oct-26</c:v>
                </c:pt>
                <c:pt idx="22">
                  <c:v>23-Oct-26</c:v>
                </c:pt>
                <c:pt idx="23">
                  <c:v>24-Oct-26</c:v>
                </c:pt>
                <c:pt idx="24">
                  <c:v>25-Oct-26</c:v>
                </c:pt>
                <c:pt idx="25">
                  <c:v>26-Oct-26</c:v>
                </c:pt>
                <c:pt idx="26">
                  <c:v>27-Oct-26</c:v>
                </c:pt>
                <c:pt idx="27">
                  <c:v>28-Oct-26</c:v>
                </c:pt>
                <c:pt idx="28">
                  <c:v>29-Oct-26</c:v>
                </c:pt>
                <c:pt idx="29">
                  <c:v>30-Oct-26</c:v>
                </c:pt>
                <c:pt idx="30">
                  <c:v>31-Oct-26</c:v>
                </c:pt>
              </c:strCache>
            </c:strRef>
          </c:cat>
          <c:val>
            <c:numRef>
              <c:f>Dashboard!$M$74:$M$104</c:f>
              <c:numCache>
                <c:formatCode>#,##0.00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0669707"/>
        <c:axId val="94646258"/>
      </c:lineChart>
      <c:catAx>
        <c:axId val="50669707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646258"/>
        <c:crosses val="autoZero"/>
        <c:auto val="1"/>
        <c:lblAlgn val="ctr"/>
        <c:lblOffset val="100"/>
        <c:noMultiLvlLbl val="0"/>
      </c:catAx>
      <c:valAx>
        <c:axId val="946462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66970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38</xdr:row>
      <xdr:rowOff>0</xdr:rowOff>
    </xdr:from>
    <xdr:to>
      <xdr:col>5</xdr:col>
      <xdr:colOff>163440</xdr:colOff>
      <xdr:row>53</xdr:row>
      <xdr:rowOff>21960</xdr:rowOff>
    </xdr:to>
    <xdr:graphicFrame>
      <xdr:nvGraphicFramePr>
        <xdr:cNvPr id="0" name="Chart 1"/>
        <xdr:cNvGraphicFramePr/>
      </xdr:nvGraphicFramePr>
      <xdr:xfrm>
        <a:off x="177840" y="8791560"/>
        <a:ext cx="61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38</xdr:row>
      <xdr:rowOff>0</xdr:rowOff>
    </xdr:from>
    <xdr:to>
      <xdr:col>11</xdr:col>
      <xdr:colOff>785880</xdr:colOff>
      <xdr:row>53</xdr:row>
      <xdr:rowOff>21960</xdr:rowOff>
    </xdr:to>
    <xdr:graphicFrame>
      <xdr:nvGraphicFramePr>
        <xdr:cNvPr id="1" name="Chart 2"/>
        <xdr:cNvGraphicFramePr/>
      </xdr:nvGraphicFramePr>
      <xdr:xfrm>
        <a:off x="8801280" y="8791560"/>
        <a:ext cx="61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M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13" min="3" style="0" width="15"/>
    <col collapsed="false" customWidth="true" hidden="false" outlineLevel="0" max="14" min="14" style="0" width="2"/>
  </cols>
  <sheetData>
    <row r="1" customFormat="false" ht="7.5" hidden="false" customHeight="true" outlineLevel="0" collapsed="false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8" hidden="false" customHeight="true" outlineLevel="0" collapsed="false">
      <c r="B2" s="1"/>
      <c r="C2" s="2" t="s">
        <v>0</v>
      </c>
      <c r="D2" s="2"/>
      <c r="E2" s="2"/>
      <c r="F2" s="2"/>
      <c r="G2" s="2"/>
      <c r="H2" s="2"/>
      <c r="I2" s="2"/>
      <c r="J2" s="2"/>
      <c r="K2" s="2"/>
      <c r="L2" s="2"/>
      <c r="M2" s="1"/>
    </row>
    <row r="3" customFormat="false" ht="30" hidden="false" customHeight="true" outlineLevel="0" collapsed="false">
      <c r="B3" s="1"/>
      <c r="C3" s="3" t="s">
        <v>1</v>
      </c>
      <c r="D3" s="3"/>
      <c r="E3" s="3"/>
      <c r="F3" s="3"/>
      <c r="G3" s="3"/>
      <c r="H3" s="3"/>
      <c r="I3" s="4" t="s">
        <v>2</v>
      </c>
      <c r="J3" s="4"/>
      <c r="K3" s="4"/>
      <c r="L3" s="4"/>
      <c r="M3" s="1"/>
    </row>
    <row r="4" customFormat="false" ht="7.5" hidden="false" customHeight="true" outlineLevel="0" collapsed="false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customFormat="false" ht="3.75" hidden="false" customHeight="true" outlineLevel="0" collapsed="false">
      <c r="B5" s="5"/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customFormat="false" ht="19.5" hidden="false" customHeight="true" outlineLevel="0" collapsed="false">
      <c r="B6" s="7" t="s">
        <v>3</v>
      </c>
      <c r="C6" s="8" t="s">
        <v>4</v>
      </c>
      <c r="D6" s="8"/>
      <c r="E6" s="8"/>
      <c r="G6" s="9" t="s">
        <v>5</v>
      </c>
      <c r="H6" s="9"/>
      <c r="I6" s="9"/>
      <c r="K6" s="10" t="s">
        <v>6</v>
      </c>
      <c r="L6" s="10"/>
      <c r="M6" s="10"/>
    </row>
    <row r="7" customFormat="false" ht="19.5" hidden="false" customHeight="true" outlineLevel="0" collapsed="false">
      <c r="B7" s="7" t="s">
        <v>7</v>
      </c>
      <c r="C7" s="8" t="s">
        <v>8</v>
      </c>
      <c r="D7" s="8"/>
      <c r="E7" s="8"/>
      <c r="G7" s="11"/>
      <c r="H7" s="11"/>
      <c r="I7" s="11"/>
      <c r="J7" s="11"/>
      <c r="K7" s="10"/>
      <c r="L7" s="10"/>
      <c r="M7" s="10"/>
    </row>
    <row r="8" customFormat="false" ht="19.5" hidden="false" customHeight="true" outlineLevel="0" collapsed="false">
      <c r="B8" s="7" t="s">
        <v>9</v>
      </c>
      <c r="C8" s="12" t="n">
        <v>46296</v>
      </c>
      <c r="D8" s="12"/>
      <c r="E8" s="12"/>
      <c r="G8" s="11"/>
      <c r="H8" s="11"/>
      <c r="I8" s="11"/>
      <c r="J8" s="11"/>
      <c r="K8" s="10"/>
      <c r="L8" s="10"/>
      <c r="M8" s="10"/>
    </row>
    <row r="9" customFormat="false" ht="19.5" hidden="false" customHeight="true" outlineLevel="0" collapsed="false">
      <c r="B9" s="7" t="s">
        <v>10</v>
      </c>
      <c r="C9" s="13"/>
      <c r="D9" s="13"/>
      <c r="E9" s="13"/>
      <c r="G9" s="11"/>
      <c r="H9" s="11"/>
      <c r="I9" s="11"/>
      <c r="J9" s="11"/>
      <c r="K9" s="10"/>
      <c r="L9" s="10"/>
      <c r="M9" s="10"/>
    </row>
    <row r="10" customFormat="false" ht="19.5" hidden="false" customHeight="true" outlineLevel="0" collapsed="false">
      <c r="B10" s="7" t="s">
        <v>11</v>
      </c>
      <c r="C10" s="14" t="n">
        <f aca="false">SUM(Cal!D2:D32)</f>
        <v>27</v>
      </c>
      <c r="D10" s="14"/>
      <c r="E10" s="14"/>
      <c r="K10" s="10"/>
      <c r="L10" s="10"/>
      <c r="M10" s="10"/>
    </row>
    <row r="11" customFormat="false" ht="7.5" hidden="false" customHeight="true" outlineLevel="0" collapsed="false"/>
    <row r="12" customFormat="false" ht="18" hidden="false" customHeight="true" outlineLevel="0" collapsed="false">
      <c r="B12" s="15" t="s">
        <v>12</v>
      </c>
      <c r="C12" s="15"/>
      <c r="D12" s="15" t="s">
        <v>13</v>
      </c>
      <c r="E12" s="15"/>
      <c r="F12" s="15" t="s">
        <v>14</v>
      </c>
      <c r="G12" s="15"/>
      <c r="H12" s="15" t="s">
        <v>15</v>
      </c>
      <c r="I12" s="15"/>
      <c r="J12" s="15" t="s">
        <v>16</v>
      </c>
      <c r="K12" s="15"/>
      <c r="L12" s="15" t="s">
        <v>17</v>
      </c>
      <c r="M12" s="15"/>
    </row>
    <row r="13" customFormat="false" ht="33.75" hidden="false" customHeight="true" outlineLevel="0" collapsed="false">
      <c r="B13" s="16" t="str">
        <f aca="false">IF($C$9="","",$C$9)</f>
        <v/>
      </c>
      <c r="C13" s="16"/>
      <c r="D13" s="16" t="n">
        <f aca="false">$L$105</f>
        <v>0</v>
      </c>
      <c r="E13" s="16"/>
      <c r="F13" s="17" t="str">
        <f aca="false">IF($C$9="","",$L$105/$C$9)</f>
        <v/>
      </c>
      <c r="G13" s="17"/>
      <c r="H13" s="16" t="str">
        <f aca="false">IF($C$9="","",MAX(0,$C$9-$L$105))</f>
        <v/>
      </c>
      <c r="I13" s="16"/>
      <c r="J13" s="16" t="str">
        <f aca="true">IF(OR($C$9="",$C$10-SUMIFS(Cal!$D$2:$D$32,Cal!$A$2:$A$32,"&lt;="&amp;TODAY())&lt;=0),"",MAX(0,$C$9-$L$105)/($C$10-SUMIFS(Cal!$D$2:$D$32,Cal!$A$2:$A$32,"&lt;="&amp;TODAY())))</f>
        <v/>
      </c>
      <c r="K13" s="16"/>
      <c r="L13" s="16" t="n">
        <f aca="true">IF(SUMIFS(Cal!$D$2:$D$32,Cal!$A$2:$A$32,"&lt;="&amp;TODAY())=0,"",$L$105/SUMIFS(Cal!$D$2:$D$32,Cal!$A$2:$A$32,"&lt;="&amp;TODAY())*$C$10)</f>
        <v>0</v>
      </c>
      <c r="M13" s="16"/>
    </row>
    <row r="14" customFormat="false" ht="15.75" hidden="false" customHeight="true" outlineLevel="0" collapsed="false">
      <c r="B14" s="18" t="s">
        <v>18</v>
      </c>
      <c r="C14" s="18"/>
      <c r="D14" s="18" t="s">
        <v>18</v>
      </c>
      <c r="E14" s="18"/>
      <c r="F14" s="18" t="s">
        <v>19</v>
      </c>
      <c r="G14" s="18"/>
      <c r="H14" s="18" t="s">
        <v>18</v>
      </c>
      <c r="I14" s="18"/>
      <c r="J14" s="18" t="s">
        <v>20</v>
      </c>
      <c r="K14" s="18"/>
      <c r="L14" s="18" t="s">
        <v>21</v>
      </c>
      <c r="M14" s="18"/>
    </row>
    <row r="15" customFormat="false" ht="7.5" hidden="false" customHeight="true" outlineLevel="0" collapsed="false"/>
    <row r="16" customFormat="false" ht="21.75" hidden="false" customHeight="true" outlineLevel="0" collapsed="false">
      <c r="B16" s="6"/>
      <c r="C16" s="19" t="s">
        <v>22</v>
      </c>
      <c r="D16" s="19"/>
      <c r="E16" s="19"/>
      <c r="F16" s="19"/>
      <c r="G16" s="19"/>
      <c r="H16" s="19"/>
      <c r="I16" s="19"/>
      <c r="J16" s="19"/>
      <c r="K16" s="19"/>
      <c r="L16" s="19"/>
      <c r="M16" s="19"/>
    </row>
    <row r="17" customFormat="false" ht="25.5" hidden="false" customHeight="true" outlineLevel="0" collapsed="false">
      <c r="B17" s="20" t="s">
        <v>23</v>
      </c>
      <c r="C17" s="20" t="s">
        <v>24</v>
      </c>
      <c r="D17" s="20" t="s">
        <v>25</v>
      </c>
      <c r="E17" s="20" t="s">
        <v>26</v>
      </c>
      <c r="F17" s="20" t="s">
        <v>27</v>
      </c>
      <c r="G17" s="20" t="s">
        <v>28</v>
      </c>
      <c r="H17" s="20" t="s">
        <v>29</v>
      </c>
    </row>
    <row r="18" customFormat="false" ht="19.5" hidden="false" customHeight="true" outlineLevel="0" collapsed="false">
      <c r="B18" s="21" t="s">
        <v>30</v>
      </c>
      <c r="C18" s="22" t="n">
        <f aca="false">Cal!H2</f>
        <v>46296</v>
      </c>
      <c r="D18" s="22" t="n">
        <f aca="false">Cal!I2</f>
        <v>46298</v>
      </c>
      <c r="E18" s="23" t="n">
        <f aca="false">Cal!J2</f>
        <v>3</v>
      </c>
      <c r="F18" s="24" t="str">
        <f aca="false">IF(OR($C$9="",$C$10=0),"",$C$9/$C$10*E18)</f>
        <v/>
      </c>
      <c r="G18" s="24" t="n">
        <f aca="false">IF(C18="","",SUMIFS($L$74:$L$104,$B$74:$B$104,"&gt;="&amp;C18,$B$74:$B$104,"&lt;="&amp;D18))</f>
        <v>0</v>
      </c>
      <c r="H18" s="25" t="str">
        <f aca="false">IF(OR(F18="",G18=""),"",G18/F18)</f>
        <v/>
      </c>
    </row>
    <row r="19" customFormat="false" ht="19.5" hidden="false" customHeight="true" outlineLevel="0" collapsed="false">
      <c r="B19" s="21" t="s">
        <v>31</v>
      </c>
      <c r="C19" s="22" t="n">
        <f aca="false">Cal!H3</f>
        <v>46300</v>
      </c>
      <c r="D19" s="22" t="n">
        <f aca="false">Cal!I3</f>
        <v>46305</v>
      </c>
      <c r="E19" s="23" t="n">
        <f aca="false">Cal!J3</f>
        <v>6</v>
      </c>
      <c r="F19" s="24" t="str">
        <f aca="false">IF(OR($C$9="",$C$10=0),"",$C$9/$C$10*E19)</f>
        <v/>
      </c>
      <c r="G19" s="24" t="n">
        <f aca="false">IF(C19="","",SUMIFS($L$74:$L$104,$B$74:$B$104,"&gt;="&amp;C19,$B$74:$B$104,"&lt;="&amp;D19))</f>
        <v>0</v>
      </c>
      <c r="H19" s="25" t="str">
        <f aca="false">IF(OR(F19="",G19=""),"",G19/F19)</f>
        <v/>
      </c>
    </row>
    <row r="20" customFormat="false" ht="19.5" hidden="false" customHeight="true" outlineLevel="0" collapsed="false">
      <c r="B20" s="21" t="s">
        <v>32</v>
      </c>
      <c r="C20" s="22" t="n">
        <f aca="false">Cal!H4</f>
        <v>46307</v>
      </c>
      <c r="D20" s="22" t="n">
        <f aca="false">Cal!I4</f>
        <v>46312</v>
      </c>
      <c r="E20" s="23" t="n">
        <f aca="false">Cal!J4</f>
        <v>6</v>
      </c>
      <c r="F20" s="24" t="str">
        <f aca="false">IF(OR($C$9="",$C$10=0),"",$C$9/$C$10*E20)</f>
        <v/>
      </c>
      <c r="G20" s="24" t="n">
        <f aca="false">IF(C20="","",SUMIFS($L$74:$L$104,$B$74:$B$104,"&gt;="&amp;C20,$B$74:$B$104,"&lt;="&amp;D20))</f>
        <v>0</v>
      </c>
      <c r="H20" s="25" t="str">
        <f aca="false">IF(OR(F20="",G20=""),"",G20/F20)</f>
        <v/>
      </c>
    </row>
    <row r="21" customFormat="false" ht="19.5" hidden="false" customHeight="true" outlineLevel="0" collapsed="false">
      <c r="B21" s="21" t="s">
        <v>33</v>
      </c>
      <c r="C21" s="22" t="n">
        <f aca="false">Cal!H5</f>
        <v>46314</v>
      </c>
      <c r="D21" s="22" t="n">
        <f aca="false">Cal!I5</f>
        <v>46319</v>
      </c>
      <c r="E21" s="23" t="n">
        <f aca="false">Cal!J5</f>
        <v>6</v>
      </c>
      <c r="F21" s="24" t="str">
        <f aca="false">IF(OR($C$9="",$C$10=0),"",$C$9/$C$10*E21)</f>
        <v/>
      </c>
      <c r="G21" s="24" t="n">
        <f aca="false">IF(C21="","",SUMIFS($L$74:$L$104,$B$74:$B$104,"&gt;="&amp;C21,$B$74:$B$104,"&lt;="&amp;D21))</f>
        <v>0</v>
      </c>
      <c r="H21" s="25" t="str">
        <f aca="false">IF(OR(F21="",G21=""),"",G21/F21)</f>
        <v/>
      </c>
    </row>
    <row r="22" customFormat="false" ht="19.5" hidden="false" customHeight="true" outlineLevel="0" collapsed="false">
      <c r="B22" s="21" t="s">
        <v>34</v>
      </c>
      <c r="C22" s="22" t="n">
        <f aca="false">Cal!H6</f>
        <v>46321</v>
      </c>
      <c r="D22" s="22" t="n">
        <f aca="false">Cal!I6</f>
        <v>46326</v>
      </c>
      <c r="E22" s="23" t="n">
        <f aca="false">Cal!J6</f>
        <v>6</v>
      </c>
      <c r="F22" s="24" t="str">
        <f aca="false">IF(OR($C$9="",$C$10=0),"",$C$9/$C$10*E22)</f>
        <v/>
      </c>
      <c r="G22" s="24" t="n">
        <f aca="false">IF(C22="","",SUMIFS($L$74:$L$104,$B$74:$B$104,"&gt;="&amp;C22,$B$74:$B$104,"&lt;="&amp;D22))</f>
        <v>0</v>
      </c>
      <c r="H22" s="25" t="str">
        <f aca="false">IF(OR(F22="",G22=""),"",G22/F22)</f>
        <v/>
      </c>
    </row>
    <row r="23" customFormat="false" ht="19.5" hidden="false" customHeight="true" outlineLevel="0" collapsed="false">
      <c r="B23" s="26" t="s">
        <v>35</v>
      </c>
      <c r="C23" s="27" t="n">
        <f aca="false">Cal!H2</f>
        <v>46296</v>
      </c>
      <c r="D23" s="27" t="n">
        <f aca="false">EOMONTH($C$8,0)</f>
        <v>46326</v>
      </c>
      <c r="E23" s="28" t="n">
        <f aca="false">SUM(E18:E22)</f>
        <v>27</v>
      </c>
      <c r="F23" s="29" t="n">
        <f aca="false">SUM(F18:F22)</f>
        <v>0</v>
      </c>
      <c r="G23" s="29" t="n">
        <f aca="false">SUM(G18:G22)</f>
        <v>0</v>
      </c>
      <c r="H23" s="30" t="str">
        <f aca="false">IF(N(F23)=0,"",G23/F23)</f>
        <v/>
      </c>
    </row>
    <row r="24" customFormat="false" ht="7.5" hidden="false" customHeight="true" outlineLevel="0" collapsed="false"/>
    <row r="25" customFormat="false" ht="21.75" hidden="false" customHeight="true" outlineLevel="0" collapsed="false">
      <c r="B25" s="6"/>
      <c r="C25" s="19" t="s">
        <v>36</v>
      </c>
      <c r="D25" s="19"/>
      <c r="E25" s="19"/>
      <c r="F25" s="19"/>
      <c r="G25" s="19"/>
      <c r="H25" s="19"/>
      <c r="I25" s="19"/>
      <c r="J25" s="19"/>
      <c r="K25" s="19"/>
      <c r="L25" s="19"/>
      <c r="M25" s="19"/>
    </row>
    <row r="26" customFormat="false" ht="6" hidden="false" customHeight="true" outlineLevel="0" collapsed="false"/>
    <row r="27" customFormat="false" ht="31.5" hidden="false" customHeight="true" outlineLevel="0" collapsed="false">
      <c r="B27" s="20" t="s">
        <v>37</v>
      </c>
      <c r="C27" s="20" t="s">
        <v>38</v>
      </c>
      <c r="D27" s="20" t="s">
        <v>28</v>
      </c>
      <c r="E27" s="20" t="s">
        <v>29</v>
      </c>
      <c r="F27" s="20" t="s">
        <v>39</v>
      </c>
      <c r="G27" s="20" t="s">
        <v>40</v>
      </c>
      <c r="H27" s="20" t="s">
        <v>41</v>
      </c>
      <c r="I27" s="20" t="s">
        <v>42</v>
      </c>
    </row>
    <row r="28" customFormat="false" ht="19.5" hidden="false" customHeight="true" outlineLevel="0" collapsed="false">
      <c r="B28" s="31" t="s">
        <v>43</v>
      </c>
      <c r="C28" s="32"/>
      <c r="D28" s="33" t="n">
        <f aca="false">SUMPRODUCT(($D$73:$K$73=B28)*$D$74:$K$104)</f>
        <v>0</v>
      </c>
      <c r="E28" s="34" t="str">
        <f aca="false">IF(C28="","",D28/C28)</f>
        <v/>
      </c>
      <c r="F28" s="33" t="str">
        <f aca="false">IF(C28="","",MAX(0,C28-D28))</f>
        <v/>
      </c>
      <c r="G28" s="33" t="str">
        <f aca="true">IF(OR(C28="",$C$10-SUMIFS(Cal!$D$2:$D$32,Cal!$A$2:$A$32,"&lt;="&amp;TODAY())&lt;=0),"",F28/($C$10-SUMIFS(Cal!$D$2:$D$32,Cal!$A$2:$A$32,"&lt;="&amp;TODAY())))</f>
        <v/>
      </c>
      <c r="H28" s="35" t="str">
        <f aca="false">IF(E28="","",IF(E28&gt;=1,"GREEN",IF(E28&gt;=0.7,"YELLOW","RED")))</f>
        <v/>
      </c>
      <c r="I28" s="36" t="n">
        <v>5850</v>
      </c>
    </row>
    <row r="29" customFormat="false" ht="19.5" hidden="false" customHeight="true" outlineLevel="0" collapsed="false">
      <c r="B29" s="31" t="s">
        <v>44</v>
      </c>
      <c r="C29" s="32"/>
      <c r="D29" s="33" t="n">
        <f aca="false">SUMPRODUCT(($D$73:$K$73=B29)*$D$74:$K$104)</f>
        <v>0</v>
      </c>
      <c r="E29" s="34" t="str">
        <f aca="false">IF(C29="","",D29/C29)</f>
        <v/>
      </c>
      <c r="F29" s="33" t="str">
        <f aca="false">IF(C29="","",MAX(0,C29-D29))</f>
        <v/>
      </c>
      <c r="G29" s="33" t="str">
        <f aca="true">IF(OR(C29="",$C$10-SUMIFS(Cal!$D$2:$D$32,Cal!$A$2:$A$32,"&lt;="&amp;TODAY())&lt;=0),"",F29/($C$10-SUMIFS(Cal!$D$2:$D$32,Cal!$A$2:$A$32,"&lt;="&amp;TODAY())))</f>
        <v/>
      </c>
      <c r="H29" s="35" t="str">
        <f aca="false">IF(E29="","",IF(E29&gt;=1,"GREEN",IF(E29&gt;=0.7,"YELLOW","RED")))</f>
        <v/>
      </c>
      <c r="I29" s="36" t="n">
        <v>21530</v>
      </c>
    </row>
    <row r="30" customFormat="false" ht="19.5" hidden="false" customHeight="true" outlineLevel="0" collapsed="false">
      <c r="B30" s="31" t="s">
        <v>45</v>
      </c>
      <c r="C30" s="32"/>
      <c r="D30" s="33" t="n">
        <f aca="false">SUMPRODUCT(($D$73:$K$73=B30)*$D$74:$K$104)</f>
        <v>0</v>
      </c>
      <c r="E30" s="34" t="str">
        <f aca="false">IF(C30="","",D30/C30)</f>
        <v/>
      </c>
      <c r="F30" s="33" t="str">
        <f aca="false">IF(C30="","",MAX(0,C30-D30))</f>
        <v/>
      </c>
      <c r="G30" s="33" t="str">
        <f aca="true">IF(OR(C30="",$C$10-SUMIFS(Cal!$D$2:$D$32,Cal!$A$2:$A$32,"&lt;="&amp;TODAY())&lt;=0),"",F30/($C$10-SUMIFS(Cal!$D$2:$D$32,Cal!$A$2:$A$32,"&lt;="&amp;TODAY())))</f>
        <v/>
      </c>
      <c r="H30" s="35" t="str">
        <f aca="false">IF(E30="","",IF(E30&gt;=1,"GREEN",IF(E30&gt;=0.7,"YELLOW","RED")))</f>
        <v/>
      </c>
      <c r="I30" s="36" t="n">
        <v>19654.78</v>
      </c>
    </row>
    <row r="31" customFormat="false" ht="19.5" hidden="false" customHeight="true" outlineLevel="0" collapsed="false">
      <c r="B31" s="31" t="s">
        <v>46</v>
      </c>
      <c r="C31" s="32"/>
      <c r="D31" s="33" t="n">
        <f aca="false">SUMPRODUCT(($D$73:$K$73=B31)*$D$74:$K$104)</f>
        <v>0</v>
      </c>
      <c r="E31" s="34" t="str">
        <f aca="false">IF(C31="","",D31/C31)</f>
        <v/>
      </c>
      <c r="F31" s="33" t="str">
        <f aca="false">IF(C31="","",MAX(0,C31-D31))</f>
        <v/>
      </c>
      <c r="G31" s="33" t="str">
        <f aca="true">IF(OR(C31="",$C$10-SUMIFS(Cal!$D$2:$D$32,Cal!$A$2:$A$32,"&lt;="&amp;TODAY())&lt;=0),"",F31/($C$10-SUMIFS(Cal!$D$2:$D$32,Cal!$A$2:$A$32,"&lt;="&amp;TODAY())))</f>
        <v/>
      </c>
      <c r="H31" s="35" t="str">
        <f aca="false">IF(E31="","",IF(E31&gt;=1,"GREEN",IF(E31&gt;=0.7,"YELLOW","RED")))</f>
        <v/>
      </c>
      <c r="I31" s="36" t="n">
        <v>23238.59</v>
      </c>
    </row>
    <row r="32" customFormat="false" ht="19.5" hidden="false" customHeight="true" outlineLevel="0" collapsed="false">
      <c r="B32" s="31" t="s">
        <v>47</v>
      </c>
      <c r="C32" s="32"/>
      <c r="D32" s="33" t="n">
        <f aca="false">SUMPRODUCT(($D$73:$K$73=B32)*$D$74:$K$104)</f>
        <v>0</v>
      </c>
      <c r="E32" s="34" t="str">
        <f aca="false">IF(C32="","",D32/C32)</f>
        <v/>
      </c>
      <c r="F32" s="33" t="str">
        <f aca="false">IF(C32="","",MAX(0,C32-D32))</f>
        <v/>
      </c>
      <c r="G32" s="33" t="str">
        <f aca="true">IF(OR(C32="",$C$10-SUMIFS(Cal!$D$2:$D$32,Cal!$A$2:$A$32,"&lt;="&amp;TODAY())&lt;=0),"",F32/($C$10-SUMIFS(Cal!$D$2:$D$32,Cal!$A$2:$A$32,"&lt;="&amp;TODAY())))</f>
        <v/>
      </c>
      <c r="H32" s="35" t="str">
        <f aca="false">IF(E32="","",IF(E32&gt;=1,"GREEN",IF(E32&gt;=0.7,"YELLOW","RED")))</f>
        <v/>
      </c>
      <c r="I32" s="36" t="n">
        <v>17421</v>
      </c>
    </row>
    <row r="33" customFormat="false" ht="19.5" hidden="false" customHeight="true" outlineLevel="0" collapsed="false">
      <c r="B33" s="31" t="s">
        <v>48</v>
      </c>
      <c r="C33" s="32"/>
      <c r="D33" s="33" t="n">
        <f aca="false">SUMPRODUCT(($D$73:$K$73=B33)*$D$74:$K$104)</f>
        <v>0</v>
      </c>
      <c r="E33" s="34" t="str">
        <f aca="false">IF(C33="","",D33/C33)</f>
        <v/>
      </c>
      <c r="F33" s="33" t="str">
        <f aca="false">IF(C33="","",MAX(0,C33-D33))</f>
        <v/>
      </c>
      <c r="G33" s="33" t="str">
        <f aca="true">IF(OR(C33="",$C$10-SUMIFS(Cal!$D$2:$D$32,Cal!$A$2:$A$32,"&lt;="&amp;TODAY())&lt;=0),"",F33/($C$10-SUMIFS(Cal!$D$2:$D$32,Cal!$A$2:$A$32,"&lt;="&amp;TODAY())))</f>
        <v/>
      </c>
      <c r="H33" s="35" t="str">
        <f aca="false">IF(E33="","",IF(E33&gt;=1,"GREEN",IF(E33&gt;=0.7,"YELLOW","RED")))</f>
        <v/>
      </c>
      <c r="I33" s="36" t="n">
        <v>38161</v>
      </c>
    </row>
    <row r="34" customFormat="false" ht="19.5" hidden="false" customHeight="true" outlineLevel="0" collapsed="false">
      <c r="B34" s="31" t="s">
        <v>49</v>
      </c>
      <c r="C34" s="32"/>
      <c r="D34" s="33" t="n">
        <f aca="false">SUMPRODUCT(($D$73:$K$73=B34)*$D$74:$K$104)</f>
        <v>0</v>
      </c>
      <c r="E34" s="34" t="str">
        <f aca="false">IF(C34="","",D34/C34)</f>
        <v/>
      </c>
      <c r="F34" s="33" t="str">
        <f aca="false">IF(C34="","",MAX(0,C34-D34))</f>
        <v/>
      </c>
      <c r="G34" s="33" t="str">
        <f aca="true">IF(OR(C34="",$C$10-SUMIFS(Cal!$D$2:$D$32,Cal!$A$2:$A$32,"&lt;="&amp;TODAY())&lt;=0),"",F34/($C$10-SUMIFS(Cal!$D$2:$D$32,Cal!$A$2:$A$32,"&lt;="&amp;TODAY())))</f>
        <v/>
      </c>
      <c r="H34" s="35" t="str">
        <f aca="false">IF(E34="","",IF(E34&gt;=1,"GREEN",IF(E34&gt;=0.7,"YELLOW","RED")))</f>
        <v/>
      </c>
      <c r="I34" s="36" t="n">
        <v>25140</v>
      </c>
    </row>
    <row r="35" customFormat="false" ht="19.5" hidden="false" customHeight="true" outlineLevel="0" collapsed="false">
      <c r="B35" s="31" t="s">
        <v>50</v>
      </c>
      <c r="C35" s="32"/>
      <c r="D35" s="33" t="n">
        <f aca="false">SUMPRODUCT(($D$73:$K$73=B35)*$D$74:$K$104)</f>
        <v>0</v>
      </c>
      <c r="E35" s="34" t="str">
        <f aca="false">IF(C35="","",D35/C35)</f>
        <v/>
      </c>
      <c r="F35" s="33" t="str">
        <f aca="false">IF(C35="","",MAX(0,C35-D35))</f>
        <v/>
      </c>
      <c r="G35" s="33" t="str">
        <f aca="true">IF(OR(C35="",$C$10-SUMIFS(Cal!$D$2:$D$32,Cal!$A$2:$A$32,"&lt;="&amp;TODAY())&lt;=0),"",F35/($C$10-SUMIFS(Cal!$D$2:$D$32,Cal!$A$2:$A$32,"&lt;="&amp;TODAY())))</f>
        <v/>
      </c>
      <c r="H35" s="35" t="str">
        <f aca="false">IF(E35="","",IF(E35&gt;=1,"GREEN",IF(E35&gt;=0.7,"YELLOW","RED")))</f>
        <v/>
      </c>
      <c r="I35" s="36" t="n">
        <v>19342</v>
      </c>
    </row>
    <row r="36" customFormat="false" ht="19.5" hidden="false" customHeight="true" outlineLevel="0" collapsed="false">
      <c r="B36" s="37" t="s">
        <v>7</v>
      </c>
      <c r="C36" s="38" t="n">
        <f aca="false">SUM(C28:C35)</f>
        <v>0</v>
      </c>
      <c r="D36" s="38" t="n">
        <f aca="false">SUM(D28:D35)</f>
        <v>0</v>
      </c>
      <c r="E36" s="39" t="str">
        <f aca="false">IF(C36=0,"",D36/C36)</f>
        <v/>
      </c>
      <c r="F36" s="38" t="n">
        <f aca="false">SUM(F28:F35)</f>
        <v>0</v>
      </c>
      <c r="G36" s="40"/>
      <c r="H36" s="40"/>
      <c r="I36" s="38" t="n">
        <f aca="false">SUM(I28:I35)</f>
        <v>170337.37</v>
      </c>
    </row>
    <row r="37" customFormat="false" ht="24" hidden="false" customHeight="true" outlineLevel="0" collapsed="false">
      <c r="B37" s="41" t="s">
        <v>51</v>
      </c>
      <c r="C37" s="41"/>
      <c r="D37" s="41"/>
      <c r="E37" s="41"/>
      <c r="F37" s="41"/>
      <c r="G37" s="41"/>
      <c r="H37" s="41"/>
      <c r="I37" s="41"/>
      <c r="J37" s="41"/>
      <c r="K37" s="41"/>
      <c r="L37" s="41"/>
      <c r="M37" s="41"/>
    </row>
    <row r="57" customFormat="false" ht="21.75" hidden="false" customHeight="true" outlineLevel="0" collapsed="false">
      <c r="B57" s="6"/>
      <c r="C57" s="19" t="s">
        <v>52</v>
      </c>
      <c r="D57" s="19"/>
      <c r="E57" s="19"/>
      <c r="F57" s="19"/>
      <c r="G57" s="19"/>
      <c r="H57" s="19"/>
      <c r="I57" s="19"/>
      <c r="J57" s="19"/>
      <c r="K57" s="19"/>
      <c r="L57" s="19"/>
      <c r="M57" s="19"/>
    </row>
    <row r="58" customFormat="false" ht="18" hidden="false" customHeight="true" outlineLevel="0" collapsed="false">
      <c r="B58" s="42" t="s">
        <v>53</v>
      </c>
      <c r="C58" s="43" t="n">
        <f aca="false">SUM(Data!C2:C32)</f>
        <v>12</v>
      </c>
    </row>
    <row r="59" customFormat="false" ht="18" hidden="false" customHeight="true" outlineLevel="0" collapsed="false">
      <c r="B59" s="42" t="s">
        <v>54</v>
      </c>
      <c r="C59" s="43" t="n">
        <f aca="false">SUM(Data!D2:D32)</f>
        <v>6</v>
      </c>
    </row>
    <row r="60" customFormat="false" ht="18" hidden="false" customHeight="true" outlineLevel="0" collapsed="false">
      <c r="B60" s="42" t="s">
        <v>55</v>
      </c>
      <c r="C60" s="43" t="n">
        <f aca="false">SUM(Data!E2:E32)</f>
        <v>4</v>
      </c>
    </row>
    <row r="61" customFormat="false" ht="18" hidden="false" customHeight="true" outlineLevel="0" collapsed="false">
      <c r="B61" s="42" t="s">
        <v>56</v>
      </c>
      <c r="C61" s="43" t="n">
        <f aca="false">SUM(Data!F2:F32)</f>
        <v>2</v>
      </c>
    </row>
    <row r="62" customFormat="false" ht="18" hidden="false" customHeight="true" outlineLevel="0" collapsed="false">
      <c r="B62" s="42" t="s">
        <v>57</v>
      </c>
      <c r="C62" s="43" t="n">
        <f aca="false">SUM(Data!H2:H32)</f>
        <v>0</v>
      </c>
    </row>
    <row r="63" customFormat="false" ht="18" hidden="false" customHeight="true" outlineLevel="0" collapsed="false">
      <c r="B63" s="42" t="s">
        <v>58</v>
      </c>
      <c r="C63" s="43" t="n">
        <f aca="false">SUM(Data!I2:I32)</f>
        <v>21</v>
      </c>
    </row>
    <row r="64" customFormat="false" ht="18" hidden="false" customHeight="true" outlineLevel="0" collapsed="false">
      <c r="B64" s="42" t="s">
        <v>59</v>
      </c>
      <c r="C64" s="43" t="n">
        <f aca="false">SUM(Data!J2:J32)</f>
        <v>0</v>
      </c>
    </row>
    <row r="65" customFormat="false" ht="18" hidden="false" customHeight="true" outlineLevel="0" collapsed="false">
      <c r="B65" s="42" t="s">
        <v>60</v>
      </c>
      <c r="C65" s="43" t="n">
        <f aca="false">SUM(Data!K2:K32)</f>
        <v>0</v>
      </c>
    </row>
    <row r="66" customFormat="false" ht="18" hidden="false" customHeight="true" outlineLevel="0" collapsed="false">
      <c r="B66" s="42" t="s">
        <v>61</v>
      </c>
      <c r="C66" s="43" t="n">
        <f aca="false">SUM(Data!L2:L32)</f>
        <v>0</v>
      </c>
    </row>
    <row r="67" customFormat="false" ht="18" hidden="false" customHeight="true" outlineLevel="0" collapsed="false">
      <c r="B67" s="42" t="s">
        <v>62</v>
      </c>
      <c r="C67" s="43" t="n">
        <f aca="false">SUM(Data!M2:M32)</f>
        <v>1</v>
      </c>
    </row>
    <row r="70" customFormat="false" ht="21.75" hidden="false" customHeight="true" outlineLevel="0" collapsed="false">
      <c r="B70" s="6"/>
      <c r="C70" s="19" t="s">
        <v>63</v>
      </c>
      <c r="D70" s="19"/>
      <c r="E70" s="19"/>
      <c r="F70" s="19"/>
      <c r="G70" s="19"/>
      <c r="H70" s="19"/>
      <c r="I70" s="19"/>
      <c r="J70" s="19"/>
      <c r="K70" s="19"/>
      <c r="L70" s="19"/>
      <c r="M70" s="19"/>
    </row>
    <row r="71" customFormat="false" ht="6" hidden="false" customHeight="true" outlineLevel="0" collapsed="false"/>
    <row r="72" customFormat="false" ht="6" hidden="false" customHeight="true" outlineLevel="0" collapsed="false"/>
    <row r="73" customFormat="false" ht="25.5" hidden="false" customHeight="true" outlineLevel="0" collapsed="false">
      <c r="B73" s="20" t="s">
        <v>64</v>
      </c>
      <c r="C73" s="20" t="s">
        <v>65</v>
      </c>
      <c r="D73" s="20" t="str">
        <f aca="false">$B$28</f>
        <v>Alshima</v>
      </c>
      <c r="E73" s="20" t="str">
        <f aca="false">$B$29</f>
        <v>Chaima</v>
      </c>
      <c r="F73" s="20" t="str">
        <f aca="false">$B$30</f>
        <v>Harinder</v>
      </c>
      <c r="G73" s="20" t="str">
        <f aca="false">$B$31</f>
        <v>Ibrahim</v>
      </c>
      <c r="H73" s="20" t="str">
        <f aca="false">$B$32</f>
        <v>Khozema</v>
      </c>
      <c r="I73" s="20" t="str">
        <f aca="false">$B$33</f>
        <v>Layan</v>
      </c>
      <c r="J73" s="20" t="str">
        <f aca="false">$B$34</f>
        <v>Rihab</v>
      </c>
      <c r="K73" s="20" t="str">
        <f aca="false">$B$35</f>
        <v>Saha</v>
      </c>
      <c r="L73" s="20" t="s">
        <v>66</v>
      </c>
      <c r="M73" s="20" t="s">
        <v>67</v>
      </c>
    </row>
    <row r="74" customFormat="false" ht="16.5" hidden="false" customHeight="true" outlineLevel="0" collapsed="false">
      <c r="B74" s="22" t="n">
        <f aca="false">Cal!A2</f>
        <v>46296</v>
      </c>
      <c r="C74" s="44" t="str">
        <f aca="false">Cal!B2</f>
        <v>Thu</v>
      </c>
      <c r="D74" s="45"/>
      <c r="E74" s="45"/>
      <c r="F74" s="45"/>
      <c r="G74" s="45"/>
      <c r="H74" s="45"/>
      <c r="I74" s="45"/>
      <c r="J74" s="45"/>
      <c r="K74" s="45"/>
      <c r="L74" s="46" t="n">
        <f aca="false">IF(B74="","",SUM(D74:K74))</f>
        <v>0</v>
      </c>
      <c r="M74" s="24" t="n">
        <f aca="false">IF(B74="","",SUM($L$74:L74))</f>
        <v>0</v>
      </c>
    </row>
    <row r="75" customFormat="false" ht="16.5" hidden="false" customHeight="true" outlineLevel="0" collapsed="false">
      <c r="B75" s="22" t="n">
        <f aca="false">Cal!A3</f>
        <v>46297</v>
      </c>
      <c r="C75" s="44" t="str">
        <f aca="false">Cal!B3</f>
        <v>Fri</v>
      </c>
      <c r="D75" s="45"/>
      <c r="E75" s="45"/>
      <c r="F75" s="45"/>
      <c r="G75" s="45"/>
      <c r="H75" s="45"/>
      <c r="I75" s="45"/>
      <c r="J75" s="45"/>
      <c r="K75" s="45"/>
      <c r="L75" s="46" t="n">
        <f aca="false">IF(B75="","",SUM(D75:K75))</f>
        <v>0</v>
      </c>
      <c r="M75" s="24" t="n">
        <f aca="false">IF(B75="","",SUM($L$74:L75))</f>
        <v>0</v>
      </c>
    </row>
    <row r="76" customFormat="false" ht="16.5" hidden="false" customHeight="true" outlineLevel="0" collapsed="false">
      <c r="B76" s="22" t="n">
        <f aca="false">Cal!A4</f>
        <v>46298</v>
      </c>
      <c r="C76" s="44" t="str">
        <f aca="false">Cal!B4</f>
        <v>Sat</v>
      </c>
      <c r="D76" s="45"/>
      <c r="E76" s="45"/>
      <c r="F76" s="45"/>
      <c r="G76" s="45"/>
      <c r="H76" s="45"/>
      <c r="I76" s="45"/>
      <c r="J76" s="45"/>
      <c r="K76" s="45"/>
      <c r="L76" s="46" t="n">
        <f aca="false">IF(B76="","",SUM(D76:K76))</f>
        <v>0</v>
      </c>
      <c r="M76" s="24" t="n">
        <f aca="false">IF(B76="","",SUM($L$74:L76))</f>
        <v>0</v>
      </c>
    </row>
    <row r="77" customFormat="false" ht="16.5" hidden="false" customHeight="true" outlineLevel="0" collapsed="false">
      <c r="B77" s="22" t="n">
        <f aca="false">Cal!A5</f>
        <v>46299</v>
      </c>
      <c r="C77" s="44" t="str">
        <f aca="false">Cal!B5</f>
        <v>Sun</v>
      </c>
      <c r="D77" s="45"/>
      <c r="E77" s="45"/>
      <c r="F77" s="45"/>
      <c r="G77" s="45"/>
      <c r="H77" s="45"/>
      <c r="I77" s="45"/>
      <c r="J77" s="45"/>
      <c r="K77" s="45"/>
      <c r="L77" s="46" t="n">
        <f aca="false">IF(B77="","",SUM(D77:K77))</f>
        <v>0</v>
      </c>
      <c r="M77" s="24" t="n">
        <f aca="false">IF(B77="","",SUM($L$74:L77))</f>
        <v>0</v>
      </c>
    </row>
    <row r="78" customFormat="false" ht="16.5" hidden="false" customHeight="true" outlineLevel="0" collapsed="false">
      <c r="B78" s="22" t="n">
        <f aca="false">Cal!A6</f>
        <v>46300</v>
      </c>
      <c r="C78" s="44" t="str">
        <f aca="false">Cal!B6</f>
        <v>Mon</v>
      </c>
      <c r="D78" s="45"/>
      <c r="E78" s="45"/>
      <c r="F78" s="45"/>
      <c r="G78" s="45"/>
      <c r="H78" s="45"/>
      <c r="I78" s="45"/>
      <c r="J78" s="45"/>
      <c r="K78" s="45"/>
      <c r="L78" s="46" t="n">
        <f aca="false">IF(B78="","",SUM(D78:K78))</f>
        <v>0</v>
      </c>
      <c r="M78" s="24" t="n">
        <f aca="false">IF(B78="","",SUM($L$74:L78))</f>
        <v>0</v>
      </c>
    </row>
    <row r="79" customFormat="false" ht="16.5" hidden="false" customHeight="true" outlineLevel="0" collapsed="false">
      <c r="B79" s="22" t="n">
        <f aca="false">Cal!A7</f>
        <v>46301</v>
      </c>
      <c r="C79" s="44" t="str">
        <f aca="false">Cal!B7</f>
        <v>Tue</v>
      </c>
      <c r="D79" s="45"/>
      <c r="E79" s="45"/>
      <c r="F79" s="45"/>
      <c r="G79" s="45"/>
      <c r="H79" s="45"/>
      <c r="I79" s="45"/>
      <c r="J79" s="45"/>
      <c r="K79" s="45"/>
      <c r="L79" s="46" t="n">
        <f aca="false">IF(B79="","",SUM(D79:K79))</f>
        <v>0</v>
      </c>
      <c r="M79" s="24" t="n">
        <f aca="false">IF(B79="","",SUM($L$74:L79))</f>
        <v>0</v>
      </c>
    </row>
    <row r="80" customFormat="false" ht="16.5" hidden="false" customHeight="true" outlineLevel="0" collapsed="false">
      <c r="B80" s="22" t="n">
        <f aca="false">Cal!A8</f>
        <v>46302</v>
      </c>
      <c r="C80" s="44" t="str">
        <f aca="false">Cal!B8</f>
        <v>Wed</v>
      </c>
      <c r="D80" s="45"/>
      <c r="E80" s="45"/>
      <c r="F80" s="45"/>
      <c r="G80" s="45"/>
      <c r="H80" s="45"/>
      <c r="I80" s="45"/>
      <c r="J80" s="45"/>
      <c r="K80" s="45"/>
      <c r="L80" s="46" t="n">
        <f aca="false">IF(B80="","",SUM(D80:K80))</f>
        <v>0</v>
      </c>
      <c r="M80" s="24" t="n">
        <f aca="false">IF(B80="","",SUM($L$74:L80))</f>
        <v>0</v>
      </c>
    </row>
    <row r="81" customFormat="false" ht="16.5" hidden="false" customHeight="true" outlineLevel="0" collapsed="false">
      <c r="B81" s="22" t="n">
        <f aca="false">Cal!A9</f>
        <v>46303</v>
      </c>
      <c r="C81" s="44" t="str">
        <f aca="false">Cal!B9</f>
        <v>Thu</v>
      </c>
      <c r="D81" s="45"/>
      <c r="E81" s="45"/>
      <c r="F81" s="45"/>
      <c r="G81" s="45"/>
      <c r="H81" s="45"/>
      <c r="I81" s="45"/>
      <c r="J81" s="45"/>
      <c r="K81" s="45"/>
      <c r="L81" s="46" t="n">
        <f aca="false">IF(B81="","",SUM(D81:K81))</f>
        <v>0</v>
      </c>
      <c r="M81" s="24" t="n">
        <f aca="false">IF(B81="","",SUM($L$74:L81))</f>
        <v>0</v>
      </c>
    </row>
    <row r="82" customFormat="false" ht="16.5" hidden="false" customHeight="true" outlineLevel="0" collapsed="false">
      <c r="B82" s="22" t="n">
        <f aca="false">Cal!A10</f>
        <v>46304</v>
      </c>
      <c r="C82" s="44" t="str">
        <f aca="false">Cal!B10</f>
        <v>Fri</v>
      </c>
      <c r="D82" s="45"/>
      <c r="E82" s="45"/>
      <c r="F82" s="45"/>
      <c r="G82" s="45"/>
      <c r="H82" s="45"/>
      <c r="I82" s="45"/>
      <c r="J82" s="45"/>
      <c r="K82" s="45"/>
      <c r="L82" s="46" t="n">
        <f aca="false">IF(B82="","",SUM(D82:K82))</f>
        <v>0</v>
      </c>
      <c r="M82" s="24" t="n">
        <f aca="false">IF(B82="","",SUM($L$74:L82))</f>
        <v>0</v>
      </c>
    </row>
    <row r="83" customFormat="false" ht="16.5" hidden="false" customHeight="true" outlineLevel="0" collapsed="false">
      <c r="B83" s="22" t="n">
        <f aca="false">Cal!A11</f>
        <v>46305</v>
      </c>
      <c r="C83" s="44" t="str">
        <f aca="false">Cal!B11</f>
        <v>Sat</v>
      </c>
      <c r="D83" s="45"/>
      <c r="E83" s="45"/>
      <c r="F83" s="45"/>
      <c r="G83" s="45"/>
      <c r="H83" s="45"/>
      <c r="I83" s="45"/>
      <c r="J83" s="45"/>
      <c r="K83" s="45"/>
      <c r="L83" s="46" t="n">
        <f aca="false">IF(B83="","",SUM(D83:K83))</f>
        <v>0</v>
      </c>
      <c r="M83" s="24" t="n">
        <f aca="false">IF(B83="","",SUM($L$74:L83))</f>
        <v>0</v>
      </c>
    </row>
    <row r="84" customFormat="false" ht="16.5" hidden="false" customHeight="true" outlineLevel="0" collapsed="false">
      <c r="B84" s="22" t="n">
        <f aca="false">Cal!A12</f>
        <v>46306</v>
      </c>
      <c r="C84" s="44" t="str">
        <f aca="false">Cal!B12</f>
        <v>Sun</v>
      </c>
      <c r="D84" s="45"/>
      <c r="E84" s="45"/>
      <c r="F84" s="45"/>
      <c r="G84" s="45"/>
      <c r="H84" s="45"/>
      <c r="I84" s="45"/>
      <c r="J84" s="45"/>
      <c r="K84" s="45"/>
      <c r="L84" s="46" t="n">
        <f aca="false">IF(B84="","",SUM(D84:K84))</f>
        <v>0</v>
      </c>
      <c r="M84" s="24" t="n">
        <f aca="false">IF(B84="","",SUM($L$74:L84))</f>
        <v>0</v>
      </c>
    </row>
    <row r="85" customFormat="false" ht="16.5" hidden="false" customHeight="true" outlineLevel="0" collapsed="false">
      <c r="B85" s="22" t="n">
        <f aca="false">Cal!A13</f>
        <v>46307</v>
      </c>
      <c r="C85" s="44" t="str">
        <f aca="false">Cal!B13</f>
        <v>Mon</v>
      </c>
      <c r="D85" s="45"/>
      <c r="E85" s="45"/>
      <c r="F85" s="45"/>
      <c r="G85" s="45"/>
      <c r="H85" s="45"/>
      <c r="I85" s="45"/>
      <c r="J85" s="45"/>
      <c r="K85" s="45"/>
      <c r="L85" s="46" t="n">
        <f aca="false">IF(B85="","",SUM(D85:K85))</f>
        <v>0</v>
      </c>
      <c r="M85" s="24" t="n">
        <f aca="false">IF(B85="","",SUM($L$74:L85))</f>
        <v>0</v>
      </c>
    </row>
    <row r="86" customFormat="false" ht="16.5" hidden="false" customHeight="true" outlineLevel="0" collapsed="false">
      <c r="B86" s="22" t="n">
        <f aca="false">Cal!A14</f>
        <v>46308</v>
      </c>
      <c r="C86" s="44" t="str">
        <f aca="false">Cal!B14</f>
        <v>Tue</v>
      </c>
      <c r="D86" s="45"/>
      <c r="E86" s="45"/>
      <c r="F86" s="45"/>
      <c r="G86" s="45"/>
      <c r="H86" s="45"/>
      <c r="I86" s="45"/>
      <c r="J86" s="45"/>
      <c r="K86" s="45"/>
      <c r="L86" s="46" t="n">
        <f aca="false">IF(B86="","",SUM(D86:K86))</f>
        <v>0</v>
      </c>
      <c r="M86" s="24" t="n">
        <f aca="false">IF(B86="","",SUM($L$74:L86))</f>
        <v>0</v>
      </c>
    </row>
    <row r="87" customFormat="false" ht="16.5" hidden="false" customHeight="true" outlineLevel="0" collapsed="false">
      <c r="B87" s="22" t="n">
        <f aca="false">Cal!A15</f>
        <v>46309</v>
      </c>
      <c r="C87" s="44" t="str">
        <f aca="false">Cal!B15</f>
        <v>Wed</v>
      </c>
      <c r="D87" s="45"/>
      <c r="E87" s="45"/>
      <c r="F87" s="45"/>
      <c r="G87" s="45"/>
      <c r="H87" s="45"/>
      <c r="I87" s="45"/>
      <c r="J87" s="45"/>
      <c r="K87" s="45"/>
      <c r="L87" s="46" t="n">
        <f aca="false">IF(B87="","",SUM(D87:K87))</f>
        <v>0</v>
      </c>
      <c r="M87" s="24" t="n">
        <f aca="false">IF(B87="","",SUM($L$74:L87))</f>
        <v>0</v>
      </c>
    </row>
    <row r="88" customFormat="false" ht="16.5" hidden="false" customHeight="true" outlineLevel="0" collapsed="false">
      <c r="B88" s="22" t="n">
        <f aca="false">Cal!A16</f>
        <v>46310</v>
      </c>
      <c r="C88" s="44" t="str">
        <f aca="false">Cal!B16</f>
        <v>Thu</v>
      </c>
      <c r="D88" s="45"/>
      <c r="E88" s="45"/>
      <c r="F88" s="45"/>
      <c r="G88" s="45"/>
      <c r="H88" s="45"/>
      <c r="I88" s="45"/>
      <c r="J88" s="45"/>
      <c r="K88" s="45"/>
      <c r="L88" s="46" t="n">
        <f aca="false">IF(B88="","",SUM(D88:K88))</f>
        <v>0</v>
      </c>
      <c r="M88" s="24" t="n">
        <f aca="false">IF(B88="","",SUM($L$74:L88))</f>
        <v>0</v>
      </c>
    </row>
    <row r="89" customFormat="false" ht="16.5" hidden="false" customHeight="true" outlineLevel="0" collapsed="false">
      <c r="B89" s="22" t="n">
        <f aca="false">Cal!A17</f>
        <v>46311</v>
      </c>
      <c r="C89" s="44" t="str">
        <f aca="false">Cal!B17</f>
        <v>Fri</v>
      </c>
      <c r="D89" s="45"/>
      <c r="E89" s="45"/>
      <c r="F89" s="45"/>
      <c r="G89" s="45"/>
      <c r="H89" s="45"/>
      <c r="I89" s="45"/>
      <c r="J89" s="45"/>
      <c r="K89" s="45"/>
      <c r="L89" s="46" t="n">
        <f aca="false">IF(B89="","",SUM(D89:K89))</f>
        <v>0</v>
      </c>
      <c r="M89" s="24" t="n">
        <f aca="false">IF(B89="","",SUM($L$74:L89))</f>
        <v>0</v>
      </c>
    </row>
    <row r="90" customFormat="false" ht="16.5" hidden="false" customHeight="true" outlineLevel="0" collapsed="false">
      <c r="B90" s="22" t="n">
        <f aca="false">Cal!A18</f>
        <v>46312</v>
      </c>
      <c r="C90" s="44" t="str">
        <f aca="false">Cal!B18</f>
        <v>Sat</v>
      </c>
      <c r="D90" s="45"/>
      <c r="E90" s="45"/>
      <c r="F90" s="45"/>
      <c r="G90" s="45"/>
      <c r="H90" s="45"/>
      <c r="I90" s="45"/>
      <c r="J90" s="45"/>
      <c r="K90" s="45"/>
      <c r="L90" s="46" t="n">
        <f aca="false">IF(B90="","",SUM(D90:K90))</f>
        <v>0</v>
      </c>
      <c r="M90" s="24" t="n">
        <f aca="false">IF(B90="","",SUM($L$74:L90))</f>
        <v>0</v>
      </c>
    </row>
    <row r="91" customFormat="false" ht="16.5" hidden="false" customHeight="true" outlineLevel="0" collapsed="false">
      <c r="B91" s="22" t="n">
        <f aca="false">Cal!A19</f>
        <v>46313</v>
      </c>
      <c r="C91" s="44" t="str">
        <f aca="false">Cal!B19</f>
        <v>Sun</v>
      </c>
      <c r="D91" s="45"/>
      <c r="E91" s="45"/>
      <c r="F91" s="45"/>
      <c r="G91" s="45"/>
      <c r="H91" s="45"/>
      <c r="I91" s="45"/>
      <c r="J91" s="45"/>
      <c r="K91" s="45"/>
      <c r="L91" s="46" t="n">
        <f aca="false">IF(B91="","",SUM(D91:K91))</f>
        <v>0</v>
      </c>
      <c r="M91" s="24" t="n">
        <f aca="false">IF(B91="","",SUM($L$74:L91))</f>
        <v>0</v>
      </c>
    </row>
    <row r="92" customFormat="false" ht="16.5" hidden="false" customHeight="true" outlineLevel="0" collapsed="false">
      <c r="B92" s="22" t="n">
        <f aca="false">Cal!A20</f>
        <v>46314</v>
      </c>
      <c r="C92" s="44" t="str">
        <f aca="false">Cal!B20</f>
        <v>Mon</v>
      </c>
      <c r="D92" s="45"/>
      <c r="E92" s="45"/>
      <c r="F92" s="45"/>
      <c r="G92" s="45"/>
      <c r="H92" s="45"/>
      <c r="I92" s="45"/>
      <c r="J92" s="45"/>
      <c r="K92" s="45"/>
      <c r="L92" s="46" t="n">
        <f aca="false">IF(B92="","",SUM(D92:K92))</f>
        <v>0</v>
      </c>
      <c r="M92" s="24" t="n">
        <f aca="false">IF(B92="","",SUM($L$74:L92))</f>
        <v>0</v>
      </c>
    </row>
    <row r="93" customFormat="false" ht="16.5" hidden="false" customHeight="true" outlineLevel="0" collapsed="false">
      <c r="B93" s="22" t="n">
        <f aca="false">Cal!A21</f>
        <v>46315</v>
      </c>
      <c r="C93" s="44" t="str">
        <f aca="false">Cal!B21</f>
        <v>Tue</v>
      </c>
      <c r="D93" s="45"/>
      <c r="E93" s="45"/>
      <c r="F93" s="45"/>
      <c r="G93" s="45"/>
      <c r="H93" s="45"/>
      <c r="I93" s="45"/>
      <c r="J93" s="45"/>
      <c r="K93" s="45"/>
      <c r="L93" s="46" t="n">
        <f aca="false">IF(B93="","",SUM(D93:K93))</f>
        <v>0</v>
      </c>
      <c r="M93" s="24" t="n">
        <f aca="false">IF(B93="","",SUM($L$74:L93))</f>
        <v>0</v>
      </c>
    </row>
    <row r="94" customFormat="false" ht="16.5" hidden="false" customHeight="true" outlineLevel="0" collapsed="false">
      <c r="B94" s="22" t="n">
        <f aca="false">Cal!A22</f>
        <v>46316</v>
      </c>
      <c r="C94" s="44" t="str">
        <f aca="false">Cal!B22</f>
        <v>Wed</v>
      </c>
      <c r="D94" s="45"/>
      <c r="E94" s="45"/>
      <c r="F94" s="45"/>
      <c r="G94" s="45"/>
      <c r="H94" s="45"/>
      <c r="I94" s="45"/>
      <c r="J94" s="45"/>
      <c r="K94" s="45"/>
      <c r="L94" s="46" t="n">
        <f aca="false">IF(B94="","",SUM(D94:K94))</f>
        <v>0</v>
      </c>
      <c r="M94" s="24" t="n">
        <f aca="false">IF(B94="","",SUM($L$74:L94))</f>
        <v>0</v>
      </c>
    </row>
    <row r="95" customFormat="false" ht="16.5" hidden="false" customHeight="true" outlineLevel="0" collapsed="false">
      <c r="B95" s="22" t="n">
        <f aca="false">Cal!A23</f>
        <v>46317</v>
      </c>
      <c r="C95" s="44" t="str">
        <f aca="false">Cal!B23</f>
        <v>Thu</v>
      </c>
      <c r="D95" s="45"/>
      <c r="E95" s="45"/>
      <c r="F95" s="45"/>
      <c r="G95" s="45"/>
      <c r="H95" s="45"/>
      <c r="I95" s="45"/>
      <c r="J95" s="45"/>
      <c r="K95" s="45"/>
      <c r="L95" s="46" t="n">
        <f aca="false">IF(B95="","",SUM(D95:K95))</f>
        <v>0</v>
      </c>
      <c r="M95" s="24" t="n">
        <f aca="false">IF(B95="","",SUM($L$74:L95))</f>
        <v>0</v>
      </c>
    </row>
    <row r="96" customFormat="false" ht="16.5" hidden="false" customHeight="true" outlineLevel="0" collapsed="false">
      <c r="B96" s="22" t="n">
        <f aca="false">Cal!A24</f>
        <v>46318</v>
      </c>
      <c r="C96" s="44" t="str">
        <f aca="false">Cal!B24</f>
        <v>Fri</v>
      </c>
      <c r="D96" s="45"/>
      <c r="E96" s="45"/>
      <c r="F96" s="45"/>
      <c r="G96" s="45"/>
      <c r="H96" s="45"/>
      <c r="I96" s="45"/>
      <c r="J96" s="45"/>
      <c r="K96" s="45"/>
      <c r="L96" s="46" t="n">
        <f aca="false">IF(B96="","",SUM(D96:K96))</f>
        <v>0</v>
      </c>
      <c r="M96" s="24" t="n">
        <f aca="false">IF(B96="","",SUM($L$74:L96))</f>
        <v>0</v>
      </c>
    </row>
    <row r="97" customFormat="false" ht="16.5" hidden="false" customHeight="true" outlineLevel="0" collapsed="false">
      <c r="B97" s="22" t="n">
        <f aca="false">Cal!A25</f>
        <v>46319</v>
      </c>
      <c r="C97" s="44" t="str">
        <f aca="false">Cal!B25</f>
        <v>Sat</v>
      </c>
      <c r="D97" s="45"/>
      <c r="E97" s="45"/>
      <c r="F97" s="45"/>
      <c r="G97" s="45"/>
      <c r="H97" s="45"/>
      <c r="I97" s="45"/>
      <c r="J97" s="45"/>
      <c r="K97" s="45"/>
      <c r="L97" s="46" t="n">
        <f aca="false">IF(B97="","",SUM(D97:K97))</f>
        <v>0</v>
      </c>
      <c r="M97" s="24" t="n">
        <f aca="false">IF(B97="","",SUM($L$74:L97))</f>
        <v>0</v>
      </c>
    </row>
    <row r="98" customFormat="false" ht="16.5" hidden="false" customHeight="true" outlineLevel="0" collapsed="false">
      <c r="B98" s="22" t="n">
        <f aca="false">Cal!A26</f>
        <v>46320</v>
      </c>
      <c r="C98" s="44" t="str">
        <f aca="false">Cal!B26</f>
        <v>Sun</v>
      </c>
      <c r="D98" s="45"/>
      <c r="E98" s="45"/>
      <c r="F98" s="45"/>
      <c r="G98" s="45"/>
      <c r="H98" s="45"/>
      <c r="I98" s="45"/>
      <c r="J98" s="45"/>
      <c r="K98" s="45"/>
      <c r="L98" s="46" t="n">
        <f aca="false">IF(B98="","",SUM(D98:K98))</f>
        <v>0</v>
      </c>
      <c r="M98" s="24" t="n">
        <f aca="false">IF(B98="","",SUM($L$74:L98))</f>
        <v>0</v>
      </c>
    </row>
    <row r="99" customFormat="false" ht="16.5" hidden="false" customHeight="true" outlineLevel="0" collapsed="false">
      <c r="B99" s="22" t="n">
        <f aca="false">Cal!A27</f>
        <v>46321</v>
      </c>
      <c r="C99" s="44" t="str">
        <f aca="false">Cal!B27</f>
        <v>Mon</v>
      </c>
      <c r="D99" s="45"/>
      <c r="E99" s="45"/>
      <c r="F99" s="45"/>
      <c r="G99" s="45"/>
      <c r="H99" s="45"/>
      <c r="I99" s="45"/>
      <c r="J99" s="45"/>
      <c r="K99" s="45"/>
      <c r="L99" s="46" t="n">
        <f aca="false">IF(B99="","",SUM(D99:K99))</f>
        <v>0</v>
      </c>
      <c r="M99" s="24" t="n">
        <f aca="false">IF(B99="","",SUM($L$74:L99))</f>
        <v>0</v>
      </c>
    </row>
    <row r="100" customFormat="false" ht="16.5" hidden="false" customHeight="true" outlineLevel="0" collapsed="false">
      <c r="B100" s="22" t="n">
        <f aca="false">Cal!A28</f>
        <v>46322</v>
      </c>
      <c r="C100" s="44" t="str">
        <f aca="false">Cal!B28</f>
        <v>Tue</v>
      </c>
      <c r="D100" s="45"/>
      <c r="E100" s="45"/>
      <c r="F100" s="45"/>
      <c r="G100" s="45"/>
      <c r="H100" s="45"/>
      <c r="I100" s="45"/>
      <c r="J100" s="45"/>
      <c r="K100" s="45"/>
      <c r="L100" s="46" t="n">
        <f aca="false">IF(B100="","",SUM(D100:K100))</f>
        <v>0</v>
      </c>
      <c r="M100" s="24" t="n">
        <f aca="false">IF(B100="","",SUM($L$74:L100))</f>
        <v>0</v>
      </c>
    </row>
    <row r="101" customFormat="false" ht="16.5" hidden="false" customHeight="true" outlineLevel="0" collapsed="false">
      <c r="B101" s="22" t="n">
        <f aca="false">Cal!A29</f>
        <v>46323</v>
      </c>
      <c r="C101" s="44" t="str">
        <f aca="false">Cal!B29</f>
        <v>Wed</v>
      </c>
      <c r="D101" s="45"/>
      <c r="E101" s="45"/>
      <c r="F101" s="45"/>
      <c r="G101" s="45"/>
      <c r="H101" s="45"/>
      <c r="I101" s="45"/>
      <c r="J101" s="45"/>
      <c r="K101" s="45"/>
      <c r="L101" s="46" t="n">
        <f aca="false">IF(B101="","",SUM(D101:K101))</f>
        <v>0</v>
      </c>
      <c r="M101" s="24" t="n">
        <f aca="false">IF(B101="","",SUM($L$74:L101))</f>
        <v>0</v>
      </c>
    </row>
    <row r="102" customFormat="false" ht="16.5" hidden="false" customHeight="true" outlineLevel="0" collapsed="false">
      <c r="B102" s="22" t="n">
        <f aca="false">Cal!A30</f>
        <v>46324</v>
      </c>
      <c r="C102" s="44" t="str">
        <f aca="false">Cal!B30</f>
        <v>Thu</v>
      </c>
      <c r="D102" s="45"/>
      <c r="E102" s="45"/>
      <c r="F102" s="45"/>
      <c r="G102" s="45"/>
      <c r="H102" s="45"/>
      <c r="I102" s="45"/>
      <c r="J102" s="45"/>
      <c r="K102" s="45"/>
      <c r="L102" s="46" t="n">
        <f aca="false">IF(B102="","",SUM(D102:K102))</f>
        <v>0</v>
      </c>
      <c r="M102" s="24" t="n">
        <f aca="false">IF(B102="","",SUM($L$74:L102))</f>
        <v>0</v>
      </c>
    </row>
    <row r="103" customFormat="false" ht="16.5" hidden="false" customHeight="true" outlineLevel="0" collapsed="false">
      <c r="B103" s="22" t="n">
        <f aca="false">Cal!A31</f>
        <v>46325</v>
      </c>
      <c r="C103" s="44" t="str">
        <f aca="false">Cal!B31</f>
        <v>Fri</v>
      </c>
      <c r="D103" s="45"/>
      <c r="E103" s="45"/>
      <c r="F103" s="45"/>
      <c r="G103" s="45"/>
      <c r="H103" s="45"/>
      <c r="I103" s="45"/>
      <c r="J103" s="45"/>
      <c r="K103" s="45"/>
      <c r="L103" s="46" t="n">
        <f aca="false">IF(B103="","",SUM(D103:K103))</f>
        <v>0</v>
      </c>
      <c r="M103" s="24" t="n">
        <f aca="false">IF(B103="","",SUM($L$74:L103))</f>
        <v>0</v>
      </c>
    </row>
    <row r="104" customFormat="false" ht="16.5" hidden="false" customHeight="true" outlineLevel="0" collapsed="false">
      <c r="B104" s="22" t="n">
        <f aca="false">Cal!A32</f>
        <v>46326</v>
      </c>
      <c r="C104" s="44" t="str">
        <f aca="false">Cal!B32</f>
        <v>Sat</v>
      </c>
      <c r="D104" s="45"/>
      <c r="E104" s="45"/>
      <c r="F104" s="45"/>
      <c r="G104" s="45"/>
      <c r="H104" s="45"/>
      <c r="I104" s="45"/>
      <c r="J104" s="45"/>
      <c r="K104" s="45"/>
      <c r="L104" s="46" t="n">
        <f aca="false">IF(B104="","",SUM(D104:K104))</f>
        <v>0</v>
      </c>
      <c r="M104" s="24" t="n">
        <f aca="false">IF(B104="","",SUM($L$74:L104))</f>
        <v>0</v>
      </c>
    </row>
    <row r="105" customFormat="false" ht="19.5" hidden="false" customHeight="true" outlineLevel="0" collapsed="false">
      <c r="B105" s="47" t="s">
        <v>68</v>
      </c>
      <c r="C105" s="48"/>
      <c r="D105" s="29" t="n">
        <f aca="false">SUM(D74:D104)</f>
        <v>0</v>
      </c>
      <c r="E105" s="29" t="n">
        <f aca="false">SUM(E74:E104)</f>
        <v>0</v>
      </c>
      <c r="F105" s="29" t="n">
        <f aca="false">SUM(F74:F104)</f>
        <v>0</v>
      </c>
      <c r="G105" s="29" t="n">
        <f aca="false">SUM(G74:G104)</f>
        <v>0</v>
      </c>
      <c r="H105" s="29" t="n">
        <f aca="false">SUM(H74:H104)</f>
        <v>0</v>
      </c>
      <c r="I105" s="29" t="n">
        <f aca="false">SUM(I74:I104)</f>
        <v>0</v>
      </c>
      <c r="J105" s="29" t="n">
        <f aca="false">SUM(J74:J104)</f>
        <v>0</v>
      </c>
      <c r="K105" s="29" t="n">
        <f aca="false">SUM(K74:K104)</f>
        <v>0</v>
      </c>
      <c r="L105" s="29" t="n">
        <f aca="false">SUM(L74:L104)</f>
        <v>0</v>
      </c>
      <c r="M105" s="48"/>
    </row>
  </sheetData>
  <sheetProtection sheet="true" formatColumns="false" formatRows="false"/>
  <mergeCells count="39">
    <mergeCell ref="C2:L2"/>
    <mergeCell ref="C3:H3"/>
    <mergeCell ref="I3:L3"/>
    <mergeCell ref="C6:E6"/>
    <mergeCell ref="G6:I6"/>
    <mergeCell ref="K6:M10"/>
    <mergeCell ref="C7:E7"/>
    <mergeCell ref="G7:H7"/>
    <mergeCell ref="I7:J7"/>
    <mergeCell ref="C8:E8"/>
    <mergeCell ref="G8:H8"/>
    <mergeCell ref="I8:J8"/>
    <mergeCell ref="C9:E9"/>
    <mergeCell ref="G9:H9"/>
    <mergeCell ref="I9:J9"/>
    <mergeCell ref="C10:E10"/>
    <mergeCell ref="B12:C12"/>
    <mergeCell ref="D12:E12"/>
    <mergeCell ref="F12:G12"/>
    <mergeCell ref="H12:I12"/>
    <mergeCell ref="J12:K12"/>
    <mergeCell ref="L12:M12"/>
    <mergeCell ref="B13:C13"/>
    <mergeCell ref="D13:E13"/>
    <mergeCell ref="F13:G13"/>
    <mergeCell ref="H13:I13"/>
    <mergeCell ref="J13:K13"/>
    <mergeCell ref="L13:M13"/>
    <mergeCell ref="B14:C14"/>
    <mergeCell ref="D14:E14"/>
    <mergeCell ref="F14:G14"/>
    <mergeCell ref="H14:I14"/>
    <mergeCell ref="J14:K14"/>
    <mergeCell ref="L14:M14"/>
    <mergeCell ref="C16:M16"/>
    <mergeCell ref="C25:M25"/>
    <mergeCell ref="B37:M37"/>
    <mergeCell ref="C57:M57"/>
    <mergeCell ref="C70:M70"/>
  </mergeCells>
  <conditionalFormatting sqref="H28:H35">
    <cfRule type="cellIs" priority="2" operator="equal" aboveAverage="0" equalAverage="0" bottom="0" percent="0" rank="0" text="" dxfId="0">
      <formula>"GREEN"</formula>
    </cfRule>
    <cfRule type="cellIs" priority="3" operator="equal" aboveAverage="0" equalAverage="0" bottom="0" percent="0" rank="0" text="" dxfId="1">
      <formula>"YELLOW"</formula>
    </cfRule>
    <cfRule type="cellIs" priority="4" operator="equal" aboveAverage="0" equalAverage="0" bottom="0" percent="0" rank="0" text="" dxfId="2">
      <formula>"RED"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64</v>
      </c>
      <c r="B1" s="0" t="s">
        <v>65</v>
      </c>
      <c r="C1" s="0" t="s">
        <v>69</v>
      </c>
      <c r="D1" s="0" t="s">
        <v>70</v>
      </c>
      <c r="E1" s="0" t="s">
        <v>71</v>
      </c>
      <c r="G1" s="0" t="s">
        <v>23</v>
      </c>
      <c r="H1" s="0" t="s">
        <v>24</v>
      </c>
      <c r="I1" s="0" t="s">
        <v>25</v>
      </c>
      <c r="J1" s="0" t="s">
        <v>26</v>
      </c>
      <c r="L1" s="0" t="s">
        <v>72</v>
      </c>
    </row>
    <row r="2" customFormat="false" ht="15" hidden="false" customHeight="false" outlineLevel="0" collapsed="false">
      <c r="A2" s="49" t="n">
        <f aca="false">IF(Dashboard!$C$8+ROW()-2&gt;EOMONTH(Dashboard!$C$8,0),"",Dashboard!$C$8+ROW()-2)</f>
        <v>46296</v>
      </c>
      <c r="B2" s="0" t="str">
        <f aca="false">IF(A2="","",TEXT(A2,"ddd"))</f>
        <v>Thu</v>
      </c>
      <c r="C2" s="50" t="n">
        <f aca="false">IF(A2="","",INT((A2-WEEKDAY(A2,3)-(Dashboard!$C$8-WEEKDAY(Dashboard!$C$8,3)))/7)+1)</f>
        <v>1</v>
      </c>
      <c r="D2" s="50" t="n">
        <f aca="false">IF(A2="","",IF(OR(WEEKDAY(A2,2)=7,COUNTIF(Dashboard!$G$7:$J$9,A2)&gt;0),0,1))</f>
        <v>1</v>
      </c>
      <c r="E2" s="49" t="n">
        <f aca="false">IF(A2="","",IF(WEEKDAY(A2,2)=7,"",A2))</f>
        <v>46296</v>
      </c>
      <c r="G2" s="0" t="n">
        <v>1</v>
      </c>
      <c r="H2" s="49" t="n">
        <f aca="false">IF(COUNTIF($C$2:$C$32,G2)=0,"",_xlfn.MINIFS($E$2:$E$32,$C$2:$C$32,G2))</f>
        <v>46296</v>
      </c>
      <c r="I2" s="49" t="n">
        <f aca="false">IF(COUNTIF($C$2:$C$32,G2)=0,"",_xlfn.MAXIFS($E$2:$E$32,$C$2:$C$32,G2))</f>
        <v>46298</v>
      </c>
      <c r="J2" s="50" t="n">
        <f aca="false">SUMIFS($D$2:$D$32,$C$2:$C$32,G2)</f>
        <v>3</v>
      </c>
    </row>
    <row r="3" customFormat="false" ht="15" hidden="false" customHeight="false" outlineLevel="0" collapsed="false">
      <c r="A3" s="49" t="n">
        <f aca="false">IF(Dashboard!$C$8+ROW()-2&gt;EOMONTH(Dashboard!$C$8,0),"",Dashboard!$C$8+ROW()-2)</f>
        <v>46297</v>
      </c>
      <c r="B3" s="0" t="str">
        <f aca="false">IF(A3="","",TEXT(A3,"ddd"))</f>
        <v>Fri</v>
      </c>
      <c r="C3" s="50" t="n">
        <f aca="false">IF(A3="","",INT((A3-WEEKDAY(A3,3)-(Dashboard!$C$8-WEEKDAY(Dashboard!$C$8,3)))/7)+1)</f>
        <v>1</v>
      </c>
      <c r="D3" s="50" t="n">
        <f aca="false">IF(A3="","",IF(OR(WEEKDAY(A3,2)=7,COUNTIF(Dashboard!$G$7:$J$9,A3)&gt;0),0,1))</f>
        <v>1</v>
      </c>
      <c r="E3" s="49" t="n">
        <f aca="false">IF(A3="","",IF(WEEKDAY(A3,2)=7,"",A3))</f>
        <v>46297</v>
      </c>
      <c r="G3" s="0" t="n">
        <v>2</v>
      </c>
      <c r="H3" s="49" t="n">
        <f aca="false">IF(COUNTIF($C$2:$C$32,G3)=0,"",_xlfn.MINIFS($E$2:$E$32,$C$2:$C$32,G3))</f>
        <v>46300</v>
      </c>
      <c r="I3" s="49" t="n">
        <f aca="false">IF(COUNTIF($C$2:$C$32,G3)=0,"",_xlfn.MAXIFS($E$2:$E$32,$C$2:$C$32,G3))</f>
        <v>46305</v>
      </c>
      <c r="J3" s="50" t="n">
        <f aca="false">SUMIFS($D$2:$D$32,$C$2:$C$32,G3)</f>
        <v>6</v>
      </c>
    </row>
    <row r="4" customFormat="false" ht="15" hidden="false" customHeight="false" outlineLevel="0" collapsed="false">
      <c r="A4" s="49" t="n">
        <f aca="false">IF(Dashboard!$C$8+ROW()-2&gt;EOMONTH(Dashboard!$C$8,0),"",Dashboard!$C$8+ROW()-2)</f>
        <v>46298</v>
      </c>
      <c r="B4" s="0" t="str">
        <f aca="false">IF(A4="","",TEXT(A4,"ddd"))</f>
        <v>Sat</v>
      </c>
      <c r="C4" s="50" t="n">
        <f aca="false">IF(A4="","",INT((A4-WEEKDAY(A4,3)-(Dashboard!$C$8-WEEKDAY(Dashboard!$C$8,3)))/7)+1)</f>
        <v>1</v>
      </c>
      <c r="D4" s="50" t="n">
        <f aca="false">IF(A4="","",IF(OR(WEEKDAY(A4,2)=7,COUNTIF(Dashboard!$G$7:$J$9,A4)&gt;0),0,1))</f>
        <v>1</v>
      </c>
      <c r="E4" s="49" t="n">
        <f aca="false">IF(A4="","",IF(WEEKDAY(A4,2)=7,"",A4))</f>
        <v>46298</v>
      </c>
      <c r="G4" s="0" t="n">
        <v>3</v>
      </c>
      <c r="H4" s="49" t="n">
        <f aca="false">IF(COUNTIF($C$2:$C$32,G4)=0,"",_xlfn.MINIFS($E$2:$E$32,$C$2:$C$32,G4))</f>
        <v>46307</v>
      </c>
      <c r="I4" s="49" t="n">
        <f aca="false">IF(COUNTIF($C$2:$C$32,G4)=0,"",_xlfn.MAXIFS($E$2:$E$32,$C$2:$C$32,G4))</f>
        <v>46312</v>
      </c>
      <c r="J4" s="50" t="n">
        <f aca="false">SUMIFS($D$2:$D$32,$C$2:$C$32,G4)</f>
        <v>6</v>
      </c>
    </row>
    <row r="5" customFormat="false" ht="15" hidden="false" customHeight="false" outlineLevel="0" collapsed="false">
      <c r="A5" s="49" t="n">
        <f aca="false">IF(Dashboard!$C$8+ROW()-2&gt;EOMONTH(Dashboard!$C$8,0),"",Dashboard!$C$8+ROW()-2)</f>
        <v>46299</v>
      </c>
      <c r="B5" s="0" t="str">
        <f aca="false">IF(A5="","",TEXT(A5,"ddd"))</f>
        <v>Sun</v>
      </c>
      <c r="C5" s="50" t="n">
        <f aca="false">IF(A5="","",INT((A5-WEEKDAY(A5,3)-(Dashboard!$C$8-WEEKDAY(Dashboard!$C$8,3)))/7)+1)</f>
        <v>1</v>
      </c>
      <c r="D5" s="50" t="n">
        <f aca="false">IF(A5="","",IF(OR(WEEKDAY(A5,2)=7,COUNTIF(Dashboard!$G$7:$J$9,A5)&gt;0),0,1))</f>
        <v>0</v>
      </c>
      <c r="E5" s="49" t="str">
        <f aca="false">IF(A5="","",IF(WEEKDAY(A5,2)=7,"",A5))</f>
        <v/>
      </c>
      <c r="G5" s="0" t="n">
        <v>4</v>
      </c>
      <c r="H5" s="49" t="n">
        <f aca="false">IF(COUNTIF($C$2:$C$32,G5)=0,"",_xlfn.MINIFS($E$2:$E$32,$C$2:$C$32,G5))</f>
        <v>46314</v>
      </c>
      <c r="I5" s="49" t="n">
        <f aca="false">IF(COUNTIF($C$2:$C$32,G5)=0,"",_xlfn.MAXIFS($E$2:$E$32,$C$2:$C$32,G5))</f>
        <v>46319</v>
      </c>
      <c r="J5" s="50" t="n">
        <f aca="false">SUMIFS($D$2:$D$32,$C$2:$C$32,G5)</f>
        <v>6</v>
      </c>
    </row>
    <row r="6" customFormat="false" ht="15" hidden="false" customHeight="false" outlineLevel="0" collapsed="false">
      <c r="A6" s="49" t="n">
        <f aca="false">IF(Dashboard!$C$8+ROW()-2&gt;EOMONTH(Dashboard!$C$8,0),"",Dashboard!$C$8+ROW()-2)</f>
        <v>46300</v>
      </c>
      <c r="B6" s="0" t="str">
        <f aca="false">IF(A6="","",TEXT(A6,"ddd"))</f>
        <v>Mon</v>
      </c>
      <c r="C6" s="50" t="n">
        <f aca="false">IF(A6="","",INT((A6-WEEKDAY(A6,3)-(Dashboard!$C$8-WEEKDAY(Dashboard!$C$8,3)))/7)+1)</f>
        <v>2</v>
      </c>
      <c r="D6" s="50" t="n">
        <f aca="false">IF(A6="","",IF(OR(WEEKDAY(A6,2)=7,COUNTIF(Dashboard!$G$7:$J$9,A6)&gt;0),0,1))</f>
        <v>1</v>
      </c>
      <c r="E6" s="49" t="n">
        <f aca="false">IF(A6="","",IF(WEEKDAY(A6,2)=7,"",A6))</f>
        <v>46300</v>
      </c>
      <c r="G6" s="0" t="n">
        <v>5</v>
      </c>
      <c r="H6" s="49" t="n">
        <f aca="false">IF(COUNTIF($C$2:$C$32,G6)=0,"",_xlfn.MINIFS($E$2:$E$32,$C$2:$C$32,G6))</f>
        <v>46321</v>
      </c>
      <c r="I6" s="49" t="n">
        <f aca="false">IF(COUNTIF($C$2:$C$32,G6)=0,"",_xlfn.MAXIFS($E$2:$E$32,$C$2:$C$32,G6))</f>
        <v>46326</v>
      </c>
      <c r="J6" s="50" t="n">
        <f aca="false">SUMIFS($D$2:$D$32,$C$2:$C$32,G6)</f>
        <v>6</v>
      </c>
    </row>
    <row r="7" customFormat="false" ht="15" hidden="false" customHeight="false" outlineLevel="0" collapsed="false">
      <c r="A7" s="49" t="n">
        <f aca="false">IF(Dashboard!$C$8+ROW()-2&gt;EOMONTH(Dashboard!$C$8,0),"",Dashboard!$C$8+ROW()-2)</f>
        <v>46301</v>
      </c>
      <c r="B7" s="0" t="str">
        <f aca="false">IF(A7="","",TEXT(A7,"ddd"))</f>
        <v>Tue</v>
      </c>
      <c r="C7" s="50" t="n">
        <f aca="false">IF(A7="","",INT((A7-WEEKDAY(A7,3)-(Dashboard!$C$8-WEEKDAY(Dashboard!$C$8,3)))/7)+1)</f>
        <v>2</v>
      </c>
      <c r="D7" s="50" t="n">
        <f aca="false">IF(A7="","",IF(OR(WEEKDAY(A7,2)=7,COUNTIF(Dashboard!$G$7:$J$9,A7)&gt;0),0,1))</f>
        <v>1</v>
      </c>
      <c r="E7" s="49" t="n">
        <f aca="false">IF(A7="","",IF(WEEKDAY(A7,2)=7,"",A7))</f>
        <v>46301</v>
      </c>
    </row>
    <row r="8" customFormat="false" ht="15" hidden="false" customHeight="false" outlineLevel="0" collapsed="false">
      <c r="A8" s="49" t="n">
        <f aca="false">IF(Dashboard!$C$8+ROW()-2&gt;EOMONTH(Dashboard!$C$8,0),"",Dashboard!$C$8+ROW()-2)</f>
        <v>46302</v>
      </c>
      <c r="B8" s="0" t="str">
        <f aca="false">IF(A8="","",TEXT(A8,"ddd"))</f>
        <v>Wed</v>
      </c>
      <c r="C8" s="50" t="n">
        <f aca="false">IF(A8="","",INT((A8-WEEKDAY(A8,3)-(Dashboard!$C$8-WEEKDAY(Dashboard!$C$8,3)))/7)+1)</f>
        <v>2</v>
      </c>
      <c r="D8" s="50" t="n">
        <f aca="false">IF(A8="","",IF(OR(WEEKDAY(A8,2)=7,COUNTIF(Dashboard!$G$7:$J$9,A8)&gt;0),0,1))</f>
        <v>1</v>
      </c>
      <c r="E8" s="49" t="n">
        <f aca="false">IF(A8="","",IF(WEEKDAY(A8,2)=7,"",A8))</f>
        <v>46302</v>
      </c>
    </row>
    <row r="9" customFormat="false" ht="15" hidden="false" customHeight="false" outlineLevel="0" collapsed="false">
      <c r="A9" s="49" t="n">
        <f aca="false">IF(Dashboard!$C$8+ROW()-2&gt;EOMONTH(Dashboard!$C$8,0),"",Dashboard!$C$8+ROW()-2)</f>
        <v>46303</v>
      </c>
      <c r="B9" s="0" t="str">
        <f aca="false">IF(A9="","",TEXT(A9,"ddd"))</f>
        <v>Thu</v>
      </c>
      <c r="C9" s="50" t="n">
        <f aca="false">IF(A9="","",INT((A9-WEEKDAY(A9,3)-(Dashboard!$C$8-WEEKDAY(Dashboard!$C$8,3)))/7)+1)</f>
        <v>2</v>
      </c>
      <c r="D9" s="50" t="n">
        <f aca="false">IF(A9="","",IF(OR(WEEKDAY(A9,2)=7,COUNTIF(Dashboard!$G$7:$J$9,A9)&gt;0),0,1))</f>
        <v>1</v>
      </c>
      <c r="E9" s="49" t="n">
        <f aca="false">IF(A9="","",IF(WEEKDAY(A9,2)=7,"",A9))</f>
        <v>46303</v>
      </c>
    </row>
    <row r="10" customFormat="false" ht="15" hidden="false" customHeight="false" outlineLevel="0" collapsed="false">
      <c r="A10" s="49" t="n">
        <f aca="false">IF(Dashboard!$C$8+ROW()-2&gt;EOMONTH(Dashboard!$C$8,0),"",Dashboard!$C$8+ROW()-2)</f>
        <v>46304</v>
      </c>
      <c r="B10" s="0" t="str">
        <f aca="false">IF(A10="","",TEXT(A10,"ddd"))</f>
        <v>Fri</v>
      </c>
      <c r="C10" s="50" t="n">
        <f aca="false">IF(A10="","",INT((A10-WEEKDAY(A10,3)-(Dashboard!$C$8-WEEKDAY(Dashboard!$C$8,3)))/7)+1)</f>
        <v>2</v>
      </c>
      <c r="D10" s="50" t="n">
        <f aca="false">IF(A10="","",IF(OR(WEEKDAY(A10,2)=7,COUNTIF(Dashboard!$G$7:$J$9,A10)&gt;0),0,1))</f>
        <v>1</v>
      </c>
      <c r="E10" s="49" t="n">
        <f aca="false">IF(A10="","",IF(WEEKDAY(A10,2)=7,"",A10))</f>
        <v>46304</v>
      </c>
    </row>
    <row r="11" customFormat="false" ht="15" hidden="false" customHeight="false" outlineLevel="0" collapsed="false">
      <c r="A11" s="49" t="n">
        <f aca="false">IF(Dashboard!$C$8+ROW()-2&gt;EOMONTH(Dashboard!$C$8,0),"",Dashboard!$C$8+ROW()-2)</f>
        <v>46305</v>
      </c>
      <c r="B11" s="0" t="str">
        <f aca="false">IF(A11="","",TEXT(A11,"ddd"))</f>
        <v>Sat</v>
      </c>
      <c r="C11" s="50" t="n">
        <f aca="false">IF(A11="","",INT((A11-WEEKDAY(A11,3)-(Dashboard!$C$8-WEEKDAY(Dashboard!$C$8,3)))/7)+1)</f>
        <v>2</v>
      </c>
      <c r="D11" s="50" t="n">
        <f aca="false">IF(A11="","",IF(OR(WEEKDAY(A11,2)=7,COUNTIF(Dashboard!$G$7:$J$9,A11)&gt;0),0,1))</f>
        <v>1</v>
      </c>
      <c r="E11" s="49" t="n">
        <f aca="false">IF(A11="","",IF(WEEKDAY(A11,2)=7,"",A11))</f>
        <v>46305</v>
      </c>
    </row>
    <row r="12" customFormat="false" ht="15" hidden="false" customHeight="false" outlineLevel="0" collapsed="false">
      <c r="A12" s="49" t="n">
        <f aca="false">IF(Dashboard!$C$8+ROW()-2&gt;EOMONTH(Dashboard!$C$8,0),"",Dashboard!$C$8+ROW()-2)</f>
        <v>46306</v>
      </c>
      <c r="B12" s="0" t="str">
        <f aca="false">IF(A12="","",TEXT(A12,"ddd"))</f>
        <v>Sun</v>
      </c>
      <c r="C12" s="50" t="n">
        <f aca="false">IF(A12="","",INT((A12-WEEKDAY(A12,3)-(Dashboard!$C$8-WEEKDAY(Dashboard!$C$8,3)))/7)+1)</f>
        <v>2</v>
      </c>
      <c r="D12" s="50" t="n">
        <f aca="false">IF(A12="","",IF(OR(WEEKDAY(A12,2)=7,COUNTIF(Dashboard!$G$7:$J$9,A12)&gt;0),0,1))</f>
        <v>0</v>
      </c>
      <c r="E12" s="49" t="str">
        <f aca="false">IF(A12="","",IF(WEEKDAY(A12,2)=7,"",A12))</f>
        <v/>
      </c>
    </row>
    <row r="13" customFormat="false" ht="15" hidden="false" customHeight="false" outlineLevel="0" collapsed="false">
      <c r="A13" s="49" t="n">
        <f aca="false">IF(Dashboard!$C$8+ROW()-2&gt;EOMONTH(Dashboard!$C$8,0),"",Dashboard!$C$8+ROW()-2)</f>
        <v>46307</v>
      </c>
      <c r="B13" s="0" t="str">
        <f aca="false">IF(A13="","",TEXT(A13,"ddd"))</f>
        <v>Mon</v>
      </c>
      <c r="C13" s="50" t="n">
        <f aca="false">IF(A13="","",INT((A13-WEEKDAY(A13,3)-(Dashboard!$C$8-WEEKDAY(Dashboard!$C$8,3)))/7)+1)</f>
        <v>3</v>
      </c>
      <c r="D13" s="50" t="n">
        <f aca="false">IF(A13="","",IF(OR(WEEKDAY(A13,2)=7,COUNTIF(Dashboard!$G$7:$J$9,A13)&gt;0),0,1))</f>
        <v>1</v>
      </c>
      <c r="E13" s="49" t="n">
        <f aca="false">IF(A13="","",IF(WEEKDAY(A13,2)=7,"",A13))</f>
        <v>46307</v>
      </c>
    </row>
    <row r="14" customFormat="false" ht="15" hidden="false" customHeight="false" outlineLevel="0" collapsed="false">
      <c r="A14" s="49" t="n">
        <f aca="false">IF(Dashboard!$C$8+ROW()-2&gt;EOMONTH(Dashboard!$C$8,0),"",Dashboard!$C$8+ROW()-2)</f>
        <v>46308</v>
      </c>
      <c r="B14" s="0" t="str">
        <f aca="false">IF(A14="","",TEXT(A14,"ddd"))</f>
        <v>Tue</v>
      </c>
      <c r="C14" s="50" t="n">
        <f aca="false">IF(A14="","",INT((A14-WEEKDAY(A14,3)-(Dashboard!$C$8-WEEKDAY(Dashboard!$C$8,3)))/7)+1)</f>
        <v>3</v>
      </c>
      <c r="D14" s="50" t="n">
        <f aca="false">IF(A14="","",IF(OR(WEEKDAY(A14,2)=7,COUNTIF(Dashboard!$G$7:$J$9,A14)&gt;0),0,1))</f>
        <v>1</v>
      </c>
      <c r="E14" s="49" t="n">
        <f aca="false">IF(A14="","",IF(WEEKDAY(A14,2)=7,"",A14))</f>
        <v>46308</v>
      </c>
    </row>
    <row r="15" customFormat="false" ht="15" hidden="false" customHeight="false" outlineLevel="0" collapsed="false">
      <c r="A15" s="49" t="n">
        <f aca="false">IF(Dashboard!$C$8+ROW()-2&gt;EOMONTH(Dashboard!$C$8,0),"",Dashboard!$C$8+ROW()-2)</f>
        <v>46309</v>
      </c>
      <c r="B15" s="0" t="str">
        <f aca="false">IF(A15="","",TEXT(A15,"ddd"))</f>
        <v>Wed</v>
      </c>
      <c r="C15" s="50" t="n">
        <f aca="false">IF(A15="","",INT((A15-WEEKDAY(A15,3)-(Dashboard!$C$8-WEEKDAY(Dashboard!$C$8,3)))/7)+1)</f>
        <v>3</v>
      </c>
      <c r="D15" s="50" t="n">
        <f aca="false">IF(A15="","",IF(OR(WEEKDAY(A15,2)=7,COUNTIF(Dashboard!$G$7:$J$9,A15)&gt;0),0,1))</f>
        <v>1</v>
      </c>
      <c r="E15" s="49" t="n">
        <f aca="false">IF(A15="","",IF(WEEKDAY(A15,2)=7,"",A15))</f>
        <v>46309</v>
      </c>
    </row>
    <row r="16" customFormat="false" ht="15" hidden="false" customHeight="false" outlineLevel="0" collapsed="false">
      <c r="A16" s="49" t="n">
        <f aca="false">IF(Dashboard!$C$8+ROW()-2&gt;EOMONTH(Dashboard!$C$8,0),"",Dashboard!$C$8+ROW()-2)</f>
        <v>46310</v>
      </c>
      <c r="B16" s="0" t="str">
        <f aca="false">IF(A16="","",TEXT(A16,"ddd"))</f>
        <v>Thu</v>
      </c>
      <c r="C16" s="50" t="n">
        <f aca="false">IF(A16="","",INT((A16-WEEKDAY(A16,3)-(Dashboard!$C$8-WEEKDAY(Dashboard!$C$8,3)))/7)+1)</f>
        <v>3</v>
      </c>
      <c r="D16" s="50" t="n">
        <f aca="false">IF(A16="","",IF(OR(WEEKDAY(A16,2)=7,COUNTIF(Dashboard!$G$7:$J$9,A16)&gt;0),0,1))</f>
        <v>1</v>
      </c>
      <c r="E16" s="49" t="n">
        <f aca="false">IF(A16="","",IF(WEEKDAY(A16,2)=7,"",A16))</f>
        <v>46310</v>
      </c>
    </row>
    <row r="17" customFormat="false" ht="15" hidden="false" customHeight="false" outlineLevel="0" collapsed="false">
      <c r="A17" s="49" t="n">
        <f aca="false">IF(Dashboard!$C$8+ROW()-2&gt;EOMONTH(Dashboard!$C$8,0),"",Dashboard!$C$8+ROW()-2)</f>
        <v>46311</v>
      </c>
      <c r="B17" s="0" t="str">
        <f aca="false">IF(A17="","",TEXT(A17,"ddd"))</f>
        <v>Fri</v>
      </c>
      <c r="C17" s="50" t="n">
        <f aca="false">IF(A17="","",INT((A17-WEEKDAY(A17,3)-(Dashboard!$C$8-WEEKDAY(Dashboard!$C$8,3)))/7)+1)</f>
        <v>3</v>
      </c>
      <c r="D17" s="50" t="n">
        <f aca="false">IF(A17="","",IF(OR(WEEKDAY(A17,2)=7,COUNTIF(Dashboard!$G$7:$J$9,A17)&gt;0),0,1))</f>
        <v>1</v>
      </c>
      <c r="E17" s="49" t="n">
        <f aca="false">IF(A17="","",IF(WEEKDAY(A17,2)=7,"",A17))</f>
        <v>46311</v>
      </c>
    </row>
    <row r="18" customFormat="false" ht="15" hidden="false" customHeight="false" outlineLevel="0" collapsed="false">
      <c r="A18" s="49" t="n">
        <f aca="false">IF(Dashboard!$C$8+ROW()-2&gt;EOMONTH(Dashboard!$C$8,0),"",Dashboard!$C$8+ROW()-2)</f>
        <v>46312</v>
      </c>
      <c r="B18" s="0" t="str">
        <f aca="false">IF(A18="","",TEXT(A18,"ddd"))</f>
        <v>Sat</v>
      </c>
      <c r="C18" s="50" t="n">
        <f aca="false">IF(A18="","",INT((A18-WEEKDAY(A18,3)-(Dashboard!$C$8-WEEKDAY(Dashboard!$C$8,3)))/7)+1)</f>
        <v>3</v>
      </c>
      <c r="D18" s="50" t="n">
        <f aca="false">IF(A18="","",IF(OR(WEEKDAY(A18,2)=7,COUNTIF(Dashboard!$G$7:$J$9,A18)&gt;0),0,1))</f>
        <v>1</v>
      </c>
      <c r="E18" s="49" t="n">
        <f aca="false">IF(A18="","",IF(WEEKDAY(A18,2)=7,"",A18))</f>
        <v>46312</v>
      </c>
    </row>
    <row r="19" customFormat="false" ht="15" hidden="false" customHeight="false" outlineLevel="0" collapsed="false">
      <c r="A19" s="49" t="n">
        <f aca="false">IF(Dashboard!$C$8+ROW()-2&gt;EOMONTH(Dashboard!$C$8,0),"",Dashboard!$C$8+ROW()-2)</f>
        <v>46313</v>
      </c>
      <c r="B19" s="0" t="str">
        <f aca="false">IF(A19="","",TEXT(A19,"ddd"))</f>
        <v>Sun</v>
      </c>
      <c r="C19" s="50" t="n">
        <f aca="false">IF(A19="","",INT((A19-WEEKDAY(A19,3)-(Dashboard!$C$8-WEEKDAY(Dashboard!$C$8,3)))/7)+1)</f>
        <v>3</v>
      </c>
      <c r="D19" s="50" t="n">
        <f aca="false">IF(A19="","",IF(OR(WEEKDAY(A19,2)=7,COUNTIF(Dashboard!$G$7:$J$9,A19)&gt;0),0,1))</f>
        <v>0</v>
      </c>
      <c r="E19" s="49" t="str">
        <f aca="false">IF(A19="","",IF(WEEKDAY(A19,2)=7,"",A19))</f>
        <v/>
      </c>
    </row>
    <row r="20" customFormat="false" ht="15" hidden="false" customHeight="false" outlineLevel="0" collapsed="false">
      <c r="A20" s="49" t="n">
        <f aca="false">IF(Dashboard!$C$8+ROW()-2&gt;EOMONTH(Dashboard!$C$8,0),"",Dashboard!$C$8+ROW()-2)</f>
        <v>46314</v>
      </c>
      <c r="B20" s="0" t="str">
        <f aca="false">IF(A20="","",TEXT(A20,"ddd"))</f>
        <v>Mon</v>
      </c>
      <c r="C20" s="50" t="n">
        <f aca="false">IF(A20="","",INT((A20-WEEKDAY(A20,3)-(Dashboard!$C$8-WEEKDAY(Dashboard!$C$8,3)))/7)+1)</f>
        <v>4</v>
      </c>
      <c r="D20" s="50" t="n">
        <f aca="false">IF(A20="","",IF(OR(WEEKDAY(A20,2)=7,COUNTIF(Dashboard!$G$7:$J$9,A20)&gt;0),0,1))</f>
        <v>1</v>
      </c>
      <c r="E20" s="49" t="n">
        <f aca="false">IF(A20="","",IF(WEEKDAY(A20,2)=7,"",A20))</f>
        <v>46314</v>
      </c>
    </row>
    <row r="21" customFormat="false" ht="15" hidden="false" customHeight="false" outlineLevel="0" collapsed="false">
      <c r="A21" s="49" t="n">
        <f aca="false">IF(Dashboard!$C$8+ROW()-2&gt;EOMONTH(Dashboard!$C$8,0),"",Dashboard!$C$8+ROW()-2)</f>
        <v>46315</v>
      </c>
      <c r="B21" s="0" t="str">
        <f aca="false">IF(A21="","",TEXT(A21,"ddd"))</f>
        <v>Tue</v>
      </c>
      <c r="C21" s="50" t="n">
        <f aca="false">IF(A21="","",INT((A21-WEEKDAY(A21,3)-(Dashboard!$C$8-WEEKDAY(Dashboard!$C$8,3)))/7)+1)</f>
        <v>4</v>
      </c>
      <c r="D21" s="50" t="n">
        <f aca="false">IF(A21="","",IF(OR(WEEKDAY(A21,2)=7,COUNTIF(Dashboard!$G$7:$J$9,A21)&gt;0),0,1))</f>
        <v>1</v>
      </c>
      <c r="E21" s="49" t="n">
        <f aca="false">IF(A21="","",IF(WEEKDAY(A21,2)=7,"",A21))</f>
        <v>46315</v>
      </c>
    </row>
    <row r="22" customFormat="false" ht="15" hidden="false" customHeight="false" outlineLevel="0" collapsed="false">
      <c r="A22" s="49" t="n">
        <f aca="false">IF(Dashboard!$C$8+ROW()-2&gt;EOMONTH(Dashboard!$C$8,0),"",Dashboard!$C$8+ROW()-2)</f>
        <v>46316</v>
      </c>
      <c r="B22" s="0" t="str">
        <f aca="false">IF(A22="","",TEXT(A22,"ddd"))</f>
        <v>Wed</v>
      </c>
      <c r="C22" s="50" t="n">
        <f aca="false">IF(A22="","",INT((A22-WEEKDAY(A22,3)-(Dashboard!$C$8-WEEKDAY(Dashboard!$C$8,3)))/7)+1)</f>
        <v>4</v>
      </c>
      <c r="D22" s="50" t="n">
        <f aca="false">IF(A22="","",IF(OR(WEEKDAY(A22,2)=7,COUNTIF(Dashboard!$G$7:$J$9,A22)&gt;0),0,1))</f>
        <v>1</v>
      </c>
      <c r="E22" s="49" t="n">
        <f aca="false">IF(A22="","",IF(WEEKDAY(A22,2)=7,"",A22))</f>
        <v>46316</v>
      </c>
    </row>
    <row r="23" customFormat="false" ht="15" hidden="false" customHeight="false" outlineLevel="0" collapsed="false">
      <c r="A23" s="49" t="n">
        <f aca="false">IF(Dashboard!$C$8+ROW()-2&gt;EOMONTH(Dashboard!$C$8,0),"",Dashboard!$C$8+ROW()-2)</f>
        <v>46317</v>
      </c>
      <c r="B23" s="0" t="str">
        <f aca="false">IF(A23="","",TEXT(A23,"ddd"))</f>
        <v>Thu</v>
      </c>
      <c r="C23" s="50" t="n">
        <f aca="false">IF(A23="","",INT((A23-WEEKDAY(A23,3)-(Dashboard!$C$8-WEEKDAY(Dashboard!$C$8,3)))/7)+1)</f>
        <v>4</v>
      </c>
      <c r="D23" s="50" t="n">
        <f aca="false">IF(A23="","",IF(OR(WEEKDAY(A23,2)=7,COUNTIF(Dashboard!$G$7:$J$9,A23)&gt;0),0,1))</f>
        <v>1</v>
      </c>
      <c r="E23" s="49" t="n">
        <f aca="false">IF(A23="","",IF(WEEKDAY(A23,2)=7,"",A23))</f>
        <v>46317</v>
      </c>
    </row>
    <row r="24" customFormat="false" ht="15" hidden="false" customHeight="false" outlineLevel="0" collapsed="false">
      <c r="A24" s="49" t="n">
        <f aca="false">IF(Dashboard!$C$8+ROW()-2&gt;EOMONTH(Dashboard!$C$8,0),"",Dashboard!$C$8+ROW()-2)</f>
        <v>46318</v>
      </c>
      <c r="B24" s="0" t="str">
        <f aca="false">IF(A24="","",TEXT(A24,"ddd"))</f>
        <v>Fri</v>
      </c>
      <c r="C24" s="50" t="n">
        <f aca="false">IF(A24="","",INT((A24-WEEKDAY(A24,3)-(Dashboard!$C$8-WEEKDAY(Dashboard!$C$8,3)))/7)+1)</f>
        <v>4</v>
      </c>
      <c r="D24" s="50" t="n">
        <f aca="false">IF(A24="","",IF(OR(WEEKDAY(A24,2)=7,COUNTIF(Dashboard!$G$7:$J$9,A24)&gt;0),0,1))</f>
        <v>1</v>
      </c>
      <c r="E24" s="49" t="n">
        <f aca="false">IF(A24="","",IF(WEEKDAY(A24,2)=7,"",A24))</f>
        <v>46318</v>
      </c>
    </row>
    <row r="25" customFormat="false" ht="15" hidden="false" customHeight="false" outlineLevel="0" collapsed="false">
      <c r="A25" s="49" t="n">
        <f aca="false">IF(Dashboard!$C$8+ROW()-2&gt;EOMONTH(Dashboard!$C$8,0),"",Dashboard!$C$8+ROW()-2)</f>
        <v>46319</v>
      </c>
      <c r="B25" s="0" t="str">
        <f aca="false">IF(A25="","",TEXT(A25,"ddd"))</f>
        <v>Sat</v>
      </c>
      <c r="C25" s="50" t="n">
        <f aca="false">IF(A25="","",INT((A25-WEEKDAY(A25,3)-(Dashboard!$C$8-WEEKDAY(Dashboard!$C$8,3)))/7)+1)</f>
        <v>4</v>
      </c>
      <c r="D25" s="50" t="n">
        <f aca="false">IF(A25="","",IF(OR(WEEKDAY(A25,2)=7,COUNTIF(Dashboard!$G$7:$J$9,A25)&gt;0),0,1))</f>
        <v>1</v>
      </c>
      <c r="E25" s="49" t="n">
        <f aca="false">IF(A25="","",IF(WEEKDAY(A25,2)=7,"",A25))</f>
        <v>46319</v>
      </c>
    </row>
    <row r="26" customFormat="false" ht="15" hidden="false" customHeight="false" outlineLevel="0" collapsed="false">
      <c r="A26" s="49" t="n">
        <f aca="false">IF(Dashboard!$C$8+ROW()-2&gt;EOMONTH(Dashboard!$C$8,0),"",Dashboard!$C$8+ROW()-2)</f>
        <v>46320</v>
      </c>
      <c r="B26" s="0" t="str">
        <f aca="false">IF(A26="","",TEXT(A26,"ddd"))</f>
        <v>Sun</v>
      </c>
      <c r="C26" s="50" t="n">
        <f aca="false">IF(A26="","",INT((A26-WEEKDAY(A26,3)-(Dashboard!$C$8-WEEKDAY(Dashboard!$C$8,3)))/7)+1)</f>
        <v>4</v>
      </c>
      <c r="D26" s="50" t="n">
        <f aca="false">IF(A26="","",IF(OR(WEEKDAY(A26,2)=7,COUNTIF(Dashboard!$G$7:$J$9,A26)&gt;0),0,1))</f>
        <v>0</v>
      </c>
      <c r="E26" s="49" t="str">
        <f aca="false">IF(A26="","",IF(WEEKDAY(A26,2)=7,"",A26))</f>
        <v/>
      </c>
    </row>
    <row r="27" customFormat="false" ht="15" hidden="false" customHeight="false" outlineLevel="0" collapsed="false">
      <c r="A27" s="49" t="n">
        <f aca="false">IF(Dashboard!$C$8+ROW()-2&gt;EOMONTH(Dashboard!$C$8,0),"",Dashboard!$C$8+ROW()-2)</f>
        <v>46321</v>
      </c>
      <c r="B27" s="0" t="str">
        <f aca="false">IF(A27="","",TEXT(A27,"ddd"))</f>
        <v>Mon</v>
      </c>
      <c r="C27" s="50" t="n">
        <f aca="false">IF(A27="","",INT((A27-WEEKDAY(A27,3)-(Dashboard!$C$8-WEEKDAY(Dashboard!$C$8,3)))/7)+1)</f>
        <v>5</v>
      </c>
      <c r="D27" s="50" t="n">
        <f aca="false">IF(A27="","",IF(OR(WEEKDAY(A27,2)=7,COUNTIF(Dashboard!$G$7:$J$9,A27)&gt;0),0,1))</f>
        <v>1</v>
      </c>
      <c r="E27" s="49" t="n">
        <f aca="false">IF(A27="","",IF(WEEKDAY(A27,2)=7,"",A27))</f>
        <v>46321</v>
      </c>
    </row>
    <row r="28" customFormat="false" ht="15" hidden="false" customHeight="false" outlineLevel="0" collapsed="false">
      <c r="A28" s="49" t="n">
        <f aca="false">IF(Dashboard!$C$8+ROW()-2&gt;EOMONTH(Dashboard!$C$8,0),"",Dashboard!$C$8+ROW()-2)</f>
        <v>46322</v>
      </c>
      <c r="B28" s="0" t="str">
        <f aca="false">IF(A28="","",TEXT(A28,"ddd"))</f>
        <v>Tue</v>
      </c>
      <c r="C28" s="50" t="n">
        <f aca="false">IF(A28="","",INT((A28-WEEKDAY(A28,3)-(Dashboard!$C$8-WEEKDAY(Dashboard!$C$8,3)))/7)+1)</f>
        <v>5</v>
      </c>
      <c r="D28" s="50" t="n">
        <f aca="false">IF(A28="","",IF(OR(WEEKDAY(A28,2)=7,COUNTIF(Dashboard!$G$7:$J$9,A28)&gt;0),0,1))</f>
        <v>1</v>
      </c>
      <c r="E28" s="49" t="n">
        <f aca="false">IF(A28="","",IF(WEEKDAY(A28,2)=7,"",A28))</f>
        <v>46322</v>
      </c>
    </row>
    <row r="29" customFormat="false" ht="15" hidden="false" customHeight="false" outlineLevel="0" collapsed="false">
      <c r="A29" s="49" t="n">
        <f aca="false">IF(Dashboard!$C$8+ROW()-2&gt;EOMONTH(Dashboard!$C$8,0),"",Dashboard!$C$8+ROW()-2)</f>
        <v>46323</v>
      </c>
      <c r="B29" s="0" t="str">
        <f aca="false">IF(A29="","",TEXT(A29,"ddd"))</f>
        <v>Wed</v>
      </c>
      <c r="C29" s="50" t="n">
        <f aca="false">IF(A29="","",INT((A29-WEEKDAY(A29,3)-(Dashboard!$C$8-WEEKDAY(Dashboard!$C$8,3)))/7)+1)</f>
        <v>5</v>
      </c>
      <c r="D29" s="50" t="n">
        <f aca="false">IF(A29="","",IF(OR(WEEKDAY(A29,2)=7,COUNTIF(Dashboard!$G$7:$J$9,A29)&gt;0),0,1))</f>
        <v>1</v>
      </c>
      <c r="E29" s="49" t="n">
        <f aca="false">IF(A29="","",IF(WEEKDAY(A29,2)=7,"",A29))</f>
        <v>46323</v>
      </c>
    </row>
    <row r="30" customFormat="false" ht="15" hidden="false" customHeight="false" outlineLevel="0" collapsed="false">
      <c r="A30" s="49" t="n">
        <f aca="false">IF(Dashboard!$C$8+ROW()-2&gt;EOMONTH(Dashboard!$C$8,0),"",Dashboard!$C$8+ROW()-2)</f>
        <v>46324</v>
      </c>
      <c r="B30" s="0" t="str">
        <f aca="false">IF(A30="","",TEXT(A30,"ddd"))</f>
        <v>Thu</v>
      </c>
      <c r="C30" s="50" t="n">
        <f aca="false">IF(A30="","",INT((A30-WEEKDAY(A30,3)-(Dashboard!$C$8-WEEKDAY(Dashboard!$C$8,3)))/7)+1)</f>
        <v>5</v>
      </c>
      <c r="D30" s="50" t="n">
        <f aca="false">IF(A30="","",IF(OR(WEEKDAY(A30,2)=7,COUNTIF(Dashboard!$G$7:$J$9,A30)&gt;0),0,1))</f>
        <v>1</v>
      </c>
      <c r="E30" s="49" t="n">
        <f aca="false">IF(A30="","",IF(WEEKDAY(A30,2)=7,"",A30))</f>
        <v>46324</v>
      </c>
    </row>
    <row r="31" customFormat="false" ht="15" hidden="false" customHeight="false" outlineLevel="0" collapsed="false">
      <c r="A31" s="49" t="n">
        <f aca="false">IF(Dashboard!$C$8+ROW()-2&gt;EOMONTH(Dashboard!$C$8,0),"",Dashboard!$C$8+ROW()-2)</f>
        <v>46325</v>
      </c>
      <c r="B31" s="0" t="str">
        <f aca="false">IF(A31="","",TEXT(A31,"ddd"))</f>
        <v>Fri</v>
      </c>
      <c r="C31" s="50" t="n">
        <f aca="false">IF(A31="","",INT((A31-WEEKDAY(A31,3)-(Dashboard!$C$8-WEEKDAY(Dashboard!$C$8,3)))/7)+1)</f>
        <v>5</v>
      </c>
      <c r="D31" s="50" t="n">
        <f aca="false">IF(A31="","",IF(OR(WEEKDAY(A31,2)=7,COUNTIF(Dashboard!$G$7:$J$9,A31)&gt;0),0,1))</f>
        <v>1</v>
      </c>
      <c r="E31" s="49" t="n">
        <f aca="false">IF(A31="","",IF(WEEKDAY(A31,2)=7,"",A31))</f>
        <v>46325</v>
      </c>
    </row>
    <row r="32" customFormat="false" ht="15" hidden="false" customHeight="false" outlineLevel="0" collapsed="false">
      <c r="A32" s="49" t="n">
        <f aca="false">IF(Dashboard!$C$8+ROW()-2&gt;EOMONTH(Dashboard!$C$8,0),"",Dashboard!$C$8+ROW()-2)</f>
        <v>46326</v>
      </c>
      <c r="B32" s="0" t="str">
        <f aca="false">IF(A32="","",TEXT(A32,"ddd"))</f>
        <v>Sat</v>
      </c>
      <c r="C32" s="50" t="n">
        <f aca="false">IF(A32="","",INT((A32-WEEKDAY(A32,3)-(Dashboard!$C$8-WEEKDAY(Dashboard!$C$8,3)))/7)+1)</f>
        <v>5</v>
      </c>
      <c r="D32" s="50" t="n">
        <f aca="false">IF(A32="","",IF(OR(WEEKDAY(A32,2)=7,COUNTIF(Dashboard!$G$7:$J$9,A32)&gt;0),0,1))</f>
        <v>1</v>
      </c>
      <c r="E32" s="49" t="n">
        <f aca="false">IF(A32="","",IF(WEEKDAY(A32,2)=7,"",A32))</f>
        <v>46326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64</v>
      </c>
      <c r="B1" s="0" t="s">
        <v>23</v>
      </c>
      <c r="C1" s="0" t="s">
        <v>53</v>
      </c>
      <c r="D1" s="0" t="s">
        <v>54</v>
      </c>
      <c r="E1" s="0" t="s">
        <v>73</v>
      </c>
      <c r="F1" s="0" t="s">
        <v>74</v>
      </c>
      <c r="G1" s="0" t="s">
        <v>75</v>
      </c>
      <c r="H1" s="0" t="s">
        <v>57</v>
      </c>
      <c r="I1" s="0" t="s">
        <v>58</v>
      </c>
      <c r="J1" s="0" t="s">
        <v>59</v>
      </c>
      <c r="K1" s="0" t="s">
        <v>76</v>
      </c>
      <c r="L1" s="0" t="s">
        <v>61</v>
      </c>
      <c r="M1" s="0" t="s">
        <v>62</v>
      </c>
      <c r="O1" s="0" t="s">
        <v>77</v>
      </c>
    </row>
    <row r="2" customFormat="false" ht="15" hidden="false" customHeight="false" outlineLevel="0" collapsed="false">
      <c r="A2" s="49" t="n">
        <f aca="false">Cal!A2</f>
        <v>46296</v>
      </c>
      <c r="B2" s="50" t="n">
        <f aca="false">Cal!C2</f>
        <v>1</v>
      </c>
      <c r="C2" s="50" t="n">
        <f aca="false">'Form 1 Daily'!C13</f>
        <v>4</v>
      </c>
      <c r="D2" s="50" t="n">
        <f aca="false">IFERROR(IF(ISNUMBER('Form 1 Daily'!W13),'Form 1 Daily'!W13,VALUE(LEFT('Form 1 Daily'!W13,FIND(" ",'Form 1 Daily'!W13)-1))),0)</f>
        <v>0</v>
      </c>
      <c r="E2" s="50" t="n">
        <f aca="false">'Form 1 Daily'!C18</f>
        <v>2</v>
      </c>
      <c r="F2" s="50" t="n">
        <f aca="false">'Form 1 Daily'!M18</f>
        <v>1</v>
      </c>
      <c r="G2" s="0" t="str">
        <f aca="false">'Form 1 Daily'!W18</f>
        <v>Not with us today</v>
      </c>
      <c r="H2" s="50" t="n">
        <f aca="false">'Form 1 Daily'!AG18</f>
        <v>0</v>
      </c>
      <c r="I2" s="50" t="n">
        <f aca="false">'Form 1 Daily'!C23</f>
        <v>12</v>
      </c>
      <c r="J2" s="50" t="n">
        <f aca="false">'Form 1 Daily'!K23</f>
        <v>0</v>
      </c>
      <c r="K2" s="50" t="n">
        <f aca="false">'Form 1 Daily'!S23</f>
        <v>0</v>
      </c>
      <c r="L2" s="50" t="n">
        <f aca="false">'Form 1 Daily'!AA23</f>
        <v>0</v>
      </c>
      <c r="M2" s="50" t="n">
        <f aca="false">'Form 1 Daily'!AI23</f>
        <v>1</v>
      </c>
    </row>
    <row r="3" customFormat="false" ht="15" hidden="false" customHeight="false" outlineLevel="0" collapsed="false">
      <c r="A3" s="49" t="n">
        <f aca="false">Cal!A3</f>
        <v>46297</v>
      </c>
      <c r="B3" s="50" t="n">
        <f aca="false">Cal!C3</f>
        <v>1</v>
      </c>
      <c r="C3" s="50" t="n">
        <f aca="false">'Form 1 Daily'!C47</f>
        <v>8</v>
      </c>
      <c r="D3" s="50" t="n">
        <f aca="false">IFERROR(IF(ISNUMBER('Form 1 Daily'!W47),'Form 1 Daily'!W47,VALUE(LEFT('Form 1 Daily'!W47,FIND(" ",'Form 1 Daily'!W47)-1))),0)</f>
        <v>6</v>
      </c>
      <c r="E3" s="50" t="n">
        <f aca="false">'Form 1 Daily'!C52</f>
        <v>2</v>
      </c>
      <c r="F3" s="50" t="n">
        <f aca="false">'Form 1 Daily'!M52</f>
        <v>1</v>
      </c>
      <c r="G3" s="0" t="str">
        <f aca="false">'Form 1 Daily'!W52</f>
        <v>Ibrahim and Layan</v>
      </c>
      <c r="H3" s="50" t="n">
        <f aca="false">'Form 1 Daily'!AG52</f>
        <v>0</v>
      </c>
      <c r="I3" s="50" t="n">
        <f aca="false">'Form 1 Daily'!C57</f>
        <v>9</v>
      </c>
      <c r="J3" s="50" t="n">
        <f aca="false">'Form 1 Daily'!K57</f>
        <v>0</v>
      </c>
      <c r="K3" s="50" t="n">
        <f aca="false">'Form 1 Daily'!S57</f>
        <v>0</v>
      </c>
      <c r="L3" s="50" t="n">
        <f aca="false">'Form 1 Daily'!AA57</f>
        <v>0</v>
      </c>
      <c r="M3" s="50" t="n">
        <f aca="false">'Form 1 Daily'!AI57</f>
        <v>0</v>
      </c>
    </row>
    <row r="4" customFormat="false" ht="15" hidden="false" customHeight="false" outlineLevel="0" collapsed="false">
      <c r="A4" s="49" t="n">
        <f aca="false">Cal!A4</f>
        <v>46298</v>
      </c>
      <c r="B4" s="50" t="n">
        <f aca="false">Cal!C4</f>
        <v>1</v>
      </c>
      <c r="C4" s="50" t="n">
        <f aca="false">'Form 1 Daily'!C81</f>
        <v>0</v>
      </c>
      <c r="D4" s="50" t="n">
        <f aca="false">IFERROR(IF(ISNUMBER('Form 1 Daily'!W81),'Form 1 Daily'!W81,VALUE(LEFT('Form 1 Daily'!W81,FIND(" ",'Form 1 Daily'!W81)-1))),0)</f>
        <v>0</v>
      </c>
      <c r="E4" s="50" t="n">
        <f aca="false">'Form 1 Daily'!C86</f>
        <v>0</v>
      </c>
      <c r="F4" s="50" t="n">
        <f aca="false">'Form 1 Daily'!M86</f>
        <v>0</v>
      </c>
      <c r="G4" s="50" t="n">
        <f aca="false">'Form 1 Daily'!W86</f>
        <v>0</v>
      </c>
      <c r="H4" s="50" t="n">
        <f aca="false">'Form 1 Daily'!AG86</f>
        <v>0</v>
      </c>
      <c r="I4" s="50" t="n">
        <f aca="false">'Form 1 Daily'!C91</f>
        <v>0</v>
      </c>
      <c r="J4" s="50" t="n">
        <f aca="false">'Form 1 Daily'!K91</f>
        <v>0</v>
      </c>
      <c r="K4" s="50" t="n">
        <f aca="false">'Form 1 Daily'!S91</f>
        <v>0</v>
      </c>
      <c r="L4" s="50" t="n">
        <f aca="false">'Form 1 Daily'!AA91</f>
        <v>0</v>
      </c>
      <c r="M4" s="50" t="n">
        <f aca="false">'Form 1 Daily'!AI91</f>
        <v>0</v>
      </c>
    </row>
    <row r="5" customFormat="false" ht="15" hidden="false" customHeight="false" outlineLevel="0" collapsed="false">
      <c r="A5" s="49" t="n">
        <f aca="false">Cal!A5</f>
        <v>46299</v>
      </c>
      <c r="B5" s="50" t="n">
        <f aca="false">Cal!C5</f>
        <v>1</v>
      </c>
      <c r="C5" s="50" t="n">
        <f aca="false">'Form 1 Daily'!C115</f>
        <v>0</v>
      </c>
      <c r="D5" s="50" t="n">
        <f aca="false">IFERROR(IF(ISNUMBER('Form 1 Daily'!W115),'Form 1 Daily'!W115,VALUE(LEFT('Form 1 Daily'!W115,FIND(" ",'Form 1 Daily'!W115)-1))),0)</f>
        <v>0</v>
      </c>
      <c r="E5" s="50" t="n">
        <f aca="false">'Form 1 Daily'!C120</f>
        <v>0</v>
      </c>
      <c r="F5" s="50" t="n">
        <f aca="false">'Form 1 Daily'!M120</f>
        <v>0</v>
      </c>
      <c r="G5" s="50" t="n">
        <f aca="false">'Form 1 Daily'!W120</f>
        <v>0</v>
      </c>
      <c r="H5" s="50" t="n">
        <f aca="false">'Form 1 Daily'!AG120</f>
        <v>0</v>
      </c>
      <c r="I5" s="50" t="n">
        <f aca="false">'Form 1 Daily'!C125</f>
        <v>0</v>
      </c>
      <c r="J5" s="50" t="n">
        <f aca="false">'Form 1 Daily'!K125</f>
        <v>0</v>
      </c>
      <c r="K5" s="50" t="n">
        <f aca="false">'Form 1 Daily'!S125</f>
        <v>0</v>
      </c>
      <c r="L5" s="50" t="n">
        <f aca="false">'Form 1 Daily'!AA125</f>
        <v>0</v>
      </c>
      <c r="M5" s="50" t="n">
        <f aca="false">'Form 1 Daily'!AI125</f>
        <v>0</v>
      </c>
    </row>
    <row r="6" customFormat="false" ht="15" hidden="false" customHeight="false" outlineLevel="0" collapsed="false">
      <c r="A6" s="49" t="n">
        <f aca="false">Cal!A6</f>
        <v>46300</v>
      </c>
      <c r="B6" s="50" t="n">
        <f aca="false">Cal!C6</f>
        <v>2</v>
      </c>
      <c r="C6" s="50" t="n">
        <f aca="false">'Form 1 Daily'!C149</f>
        <v>0</v>
      </c>
      <c r="D6" s="50" t="n">
        <f aca="false">IFERROR(IF(ISNUMBER('Form 1 Daily'!W149),'Form 1 Daily'!W149,VALUE(LEFT('Form 1 Daily'!W149,FIND(" ",'Form 1 Daily'!W149)-1))),0)</f>
        <v>0</v>
      </c>
      <c r="E6" s="50" t="n">
        <f aca="false">'Form 1 Daily'!C154</f>
        <v>0</v>
      </c>
      <c r="F6" s="50" t="n">
        <f aca="false">'Form 1 Daily'!M154</f>
        <v>0</v>
      </c>
      <c r="G6" s="50" t="n">
        <f aca="false">'Form 1 Daily'!W154</f>
        <v>0</v>
      </c>
      <c r="H6" s="50" t="n">
        <f aca="false">'Form 1 Daily'!AG154</f>
        <v>0</v>
      </c>
      <c r="I6" s="50" t="n">
        <f aca="false">'Form 1 Daily'!C159</f>
        <v>0</v>
      </c>
      <c r="J6" s="50" t="n">
        <f aca="false">'Form 1 Daily'!K159</f>
        <v>0</v>
      </c>
      <c r="K6" s="50" t="n">
        <f aca="false">'Form 1 Daily'!S159</f>
        <v>0</v>
      </c>
      <c r="L6" s="50" t="n">
        <f aca="false">'Form 1 Daily'!AA159</f>
        <v>0</v>
      </c>
      <c r="M6" s="50" t="n">
        <f aca="false">'Form 1 Daily'!AI159</f>
        <v>0</v>
      </c>
    </row>
    <row r="7" customFormat="false" ht="15" hidden="false" customHeight="false" outlineLevel="0" collapsed="false">
      <c r="A7" s="49" t="n">
        <f aca="false">Cal!A7</f>
        <v>46301</v>
      </c>
      <c r="B7" s="50" t="n">
        <f aca="false">Cal!C7</f>
        <v>2</v>
      </c>
      <c r="C7" s="50" t="n">
        <f aca="false">'Form 1 Daily'!C183</f>
        <v>0</v>
      </c>
      <c r="D7" s="50" t="n">
        <f aca="false">IFERROR(IF(ISNUMBER('Form 1 Daily'!W183),'Form 1 Daily'!W183,VALUE(LEFT('Form 1 Daily'!W183,FIND(" ",'Form 1 Daily'!W183)-1))),0)</f>
        <v>0</v>
      </c>
      <c r="E7" s="50" t="n">
        <f aca="false">'Form 1 Daily'!C188</f>
        <v>0</v>
      </c>
      <c r="F7" s="50" t="n">
        <f aca="false">'Form 1 Daily'!M188</f>
        <v>0</v>
      </c>
      <c r="G7" s="50" t="n">
        <f aca="false">'Form 1 Daily'!W188</f>
        <v>0</v>
      </c>
      <c r="H7" s="50" t="n">
        <f aca="false">'Form 1 Daily'!AG188</f>
        <v>0</v>
      </c>
      <c r="I7" s="50" t="n">
        <f aca="false">'Form 1 Daily'!C193</f>
        <v>0</v>
      </c>
      <c r="J7" s="50" t="n">
        <f aca="false">'Form 1 Daily'!K193</f>
        <v>0</v>
      </c>
      <c r="K7" s="50" t="n">
        <f aca="false">'Form 1 Daily'!S193</f>
        <v>0</v>
      </c>
      <c r="L7" s="50" t="n">
        <f aca="false">'Form 1 Daily'!AA193</f>
        <v>0</v>
      </c>
      <c r="M7" s="50" t="n">
        <f aca="false">'Form 1 Daily'!AI193</f>
        <v>0</v>
      </c>
    </row>
    <row r="8" customFormat="false" ht="15" hidden="false" customHeight="false" outlineLevel="0" collapsed="false">
      <c r="A8" s="49" t="n">
        <f aca="false">Cal!A8</f>
        <v>46302</v>
      </c>
      <c r="B8" s="50" t="n">
        <f aca="false">Cal!C8</f>
        <v>2</v>
      </c>
      <c r="C8" s="50" t="n">
        <f aca="false">'Form 1 Daily'!C217</f>
        <v>0</v>
      </c>
      <c r="D8" s="50" t="n">
        <f aca="false">IFERROR(IF(ISNUMBER('Form 1 Daily'!W217),'Form 1 Daily'!W217,VALUE(LEFT('Form 1 Daily'!W217,FIND(" ",'Form 1 Daily'!W217)-1))),0)</f>
        <v>0</v>
      </c>
      <c r="E8" s="50" t="n">
        <f aca="false">'Form 1 Daily'!C222</f>
        <v>0</v>
      </c>
      <c r="F8" s="50" t="n">
        <f aca="false">'Form 1 Daily'!M222</f>
        <v>0</v>
      </c>
      <c r="G8" s="50" t="n">
        <f aca="false">'Form 1 Daily'!W222</f>
        <v>0</v>
      </c>
      <c r="H8" s="50" t="n">
        <f aca="false">'Form 1 Daily'!AG222</f>
        <v>0</v>
      </c>
      <c r="I8" s="50" t="n">
        <f aca="false">'Form 1 Daily'!C227</f>
        <v>0</v>
      </c>
      <c r="J8" s="50" t="n">
        <f aca="false">'Form 1 Daily'!K227</f>
        <v>0</v>
      </c>
      <c r="K8" s="50" t="n">
        <f aca="false">'Form 1 Daily'!S227</f>
        <v>0</v>
      </c>
      <c r="L8" s="50" t="n">
        <f aca="false">'Form 1 Daily'!AA227</f>
        <v>0</v>
      </c>
      <c r="M8" s="50" t="n">
        <f aca="false">'Form 1 Daily'!AI227</f>
        <v>0</v>
      </c>
    </row>
    <row r="9" customFormat="false" ht="15" hidden="false" customHeight="false" outlineLevel="0" collapsed="false">
      <c r="A9" s="49" t="n">
        <f aca="false">Cal!A9</f>
        <v>46303</v>
      </c>
      <c r="B9" s="50" t="n">
        <f aca="false">Cal!C9</f>
        <v>2</v>
      </c>
      <c r="C9" s="50" t="n">
        <f aca="false">'Form 1 Daily'!C251</f>
        <v>0</v>
      </c>
      <c r="D9" s="50" t="n">
        <f aca="false">IFERROR(IF(ISNUMBER('Form 1 Daily'!W251),'Form 1 Daily'!W251,VALUE(LEFT('Form 1 Daily'!W251,FIND(" ",'Form 1 Daily'!W251)-1))),0)</f>
        <v>0</v>
      </c>
      <c r="E9" s="50" t="n">
        <f aca="false">'Form 1 Daily'!C256</f>
        <v>0</v>
      </c>
      <c r="F9" s="50" t="n">
        <f aca="false">'Form 1 Daily'!M256</f>
        <v>0</v>
      </c>
      <c r="G9" s="50" t="n">
        <f aca="false">'Form 1 Daily'!W256</f>
        <v>0</v>
      </c>
      <c r="H9" s="50" t="n">
        <f aca="false">'Form 1 Daily'!AG256</f>
        <v>0</v>
      </c>
      <c r="I9" s="50" t="n">
        <f aca="false">'Form 1 Daily'!C261</f>
        <v>0</v>
      </c>
      <c r="J9" s="50" t="n">
        <f aca="false">'Form 1 Daily'!K261</f>
        <v>0</v>
      </c>
      <c r="K9" s="50" t="n">
        <f aca="false">'Form 1 Daily'!S261</f>
        <v>0</v>
      </c>
      <c r="L9" s="50" t="n">
        <f aca="false">'Form 1 Daily'!AA261</f>
        <v>0</v>
      </c>
      <c r="M9" s="50" t="n">
        <f aca="false">'Form 1 Daily'!AI261</f>
        <v>0</v>
      </c>
    </row>
    <row r="10" customFormat="false" ht="15" hidden="false" customHeight="false" outlineLevel="0" collapsed="false">
      <c r="A10" s="49" t="n">
        <f aca="false">Cal!A10</f>
        <v>46304</v>
      </c>
      <c r="B10" s="50" t="n">
        <f aca="false">Cal!C10</f>
        <v>2</v>
      </c>
      <c r="C10" s="50" t="n">
        <f aca="false">'Form 1 Daily'!C285</f>
        <v>0</v>
      </c>
      <c r="D10" s="50" t="n">
        <f aca="false">IFERROR(IF(ISNUMBER('Form 1 Daily'!W285),'Form 1 Daily'!W285,VALUE(LEFT('Form 1 Daily'!W285,FIND(" ",'Form 1 Daily'!W285)-1))),0)</f>
        <v>0</v>
      </c>
      <c r="E10" s="50" t="n">
        <f aca="false">'Form 1 Daily'!C290</f>
        <v>0</v>
      </c>
      <c r="F10" s="50" t="n">
        <f aca="false">'Form 1 Daily'!M290</f>
        <v>0</v>
      </c>
      <c r="G10" s="50" t="n">
        <f aca="false">'Form 1 Daily'!W290</f>
        <v>0</v>
      </c>
      <c r="H10" s="50" t="n">
        <f aca="false">'Form 1 Daily'!AG290</f>
        <v>0</v>
      </c>
      <c r="I10" s="50" t="n">
        <f aca="false">'Form 1 Daily'!C295</f>
        <v>0</v>
      </c>
      <c r="J10" s="50" t="n">
        <f aca="false">'Form 1 Daily'!K295</f>
        <v>0</v>
      </c>
      <c r="K10" s="50" t="n">
        <f aca="false">'Form 1 Daily'!S295</f>
        <v>0</v>
      </c>
      <c r="L10" s="50" t="n">
        <f aca="false">'Form 1 Daily'!AA295</f>
        <v>0</v>
      </c>
      <c r="M10" s="50" t="n">
        <f aca="false">'Form 1 Daily'!AI295</f>
        <v>0</v>
      </c>
    </row>
    <row r="11" customFormat="false" ht="15" hidden="false" customHeight="false" outlineLevel="0" collapsed="false">
      <c r="A11" s="49" t="n">
        <f aca="false">Cal!A11</f>
        <v>46305</v>
      </c>
      <c r="B11" s="50" t="n">
        <f aca="false">Cal!C11</f>
        <v>2</v>
      </c>
      <c r="C11" s="50" t="n">
        <f aca="false">'Form 1 Daily'!C319</f>
        <v>0</v>
      </c>
      <c r="D11" s="50" t="n">
        <f aca="false">IFERROR(IF(ISNUMBER('Form 1 Daily'!W319),'Form 1 Daily'!W319,VALUE(LEFT('Form 1 Daily'!W319,FIND(" ",'Form 1 Daily'!W319)-1))),0)</f>
        <v>0</v>
      </c>
      <c r="E11" s="50" t="n">
        <f aca="false">'Form 1 Daily'!C324</f>
        <v>0</v>
      </c>
      <c r="F11" s="50" t="n">
        <f aca="false">'Form 1 Daily'!M324</f>
        <v>0</v>
      </c>
      <c r="G11" s="50" t="n">
        <f aca="false">'Form 1 Daily'!W324</f>
        <v>0</v>
      </c>
      <c r="H11" s="50" t="n">
        <f aca="false">'Form 1 Daily'!AG324</f>
        <v>0</v>
      </c>
      <c r="I11" s="50" t="n">
        <f aca="false">'Form 1 Daily'!C329</f>
        <v>0</v>
      </c>
      <c r="J11" s="50" t="n">
        <f aca="false">'Form 1 Daily'!K329</f>
        <v>0</v>
      </c>
      <c r="K11" s="50" t="n">
        <f aca="false">'Form 1 Daily'!S329</f>
        <v>0</v>
      </c>
      <c r="L11" s="50" t="n">
        <f aca="false">'Form 1 Daily'!AA329</f>
        <v>0</v>
      </c>
      <c r="M11" s="50" t="n">
        <f aca="false">'Form 1 Daily'!AI329</f>
        <v>0</v>
      </c>
    </row>
    <row r="12" customFormat="false" ht="15" hidden="false" customHeight="false" outlineLevel="0" collapsed="false">
      <c r="A12" s="49" t="n">
        <f aca="false">Cal!A12</f>
        <v>46306</v>
      </c>
      <c r="B12" s="50" t="n">
        <f aca="false">Cal!C12</f>
        <v>2</v>
      </c>
      <c r="C12" s="50" t="n">
        <f aca="false">'Form 1 Daily'!C353</f>
        <v>0</v>
      </c>
      <c r="D12" s="50" t="n">
        <f aca="false">IFERROR(IF(ISNUMBER('Form 1 Daily'!W353),'Form 1 Daily'!W353,VALUE(LEFT('Form 1 Daily'!W353,FIND(" ",'Form 1 Daily'!W353)-1))),0)</f>
        <v>0</v>
      </c>
      <c r="E12" s="50" t="n">
        <f aca="false">'Form 1 Daily'!C358</f>
        <v>0</v>
      </c>
      <c r="F12" s="50" t="n">
        <f aca="false">'Form 1 Daily'!M358</f>
        <v>0</v>
      </c>
      <c r="G12" s="50" t="n">
        <f aca="false">'Form 1 Daily'!W358</f>
        <v>0</v>
      </c>
      <c r="H12" s="50" t="n">
        <f aca="false">'Form 1 Daily'!AG358</f>
        <v>0</v>
      </c>
      <c r="I12" s="50" t="n">
        <f aca="false">'Form 1 Daily'!C363</f>
        <v>0</v>
      </c>
      <c r="J12" s="50" t="n">
        <f aca="false">'Form 1 Daily'!K363</f>
        <v>0</v>
      </c>
      <c r="K12" s="50" t="n">
        <f aca="false">'Form 1 Daily'!S363</f>
        <v>0</v>
      </c>
      <c r="L12" s="50" t="n">
        <f aca="false">'Form 1 Daily'!AA363</f>
        <v>0</v>
      </c>
      <c r="M12" s="50" t="n">
        <f aca="false">'Form 1 Daily'!AI363</f>
        <v>0</v>
      </c>
    </row>
    <row r="13" customFormat="false" ht="15" hidden="false" customHeight="false" outlineLevel="0" collapsed="false">
      <c r="A13" s="49" t="n">
        <f aca="false">Cal!A13</f>
        <v>46307</v>
      </c>
      <c r="B13" s="50" t="n">
        <f aca="false">Cal!C13</f>
        <v>3</v>
      </c>
      <c r="C13" s="50" t="n">
        <f aca="false">'Form 1 Daily'!C387</f>
        <v>0</v>
      </c>
      <c r="D13" s="50" t="n">
        <f aca="false">IFERROR(IF(ISNUMBER('Form 1 Daily'!W387),'Form 1 Daily'!W387,VALUE(LEFT('Form 1 Daily'!W387,FIND(" ",'Form 1 Daily'!W387)-1))),0)</f>
        <v>0</v>
      </c>
      <c r="E13" s="50" t="n">
        <f aca="false">'Form 1 Daily'!C392</f>
        <v>0</v>
      </c>
      <c r="F13" s="50" t="n">
        <f aca="false">'Form 1 Daily'!M392</f>
        <v>0</v>
      </c>
      <c r="G13" s="50" t="n">
        <f aca="false">'Form 1 Daily'!W392</f>
        <v>0</v>
      </c>
      <c r="H13" s="50" t="n">
        <f aca="false">'Form 1 Daily'!AG392</f>
        <v>0</v>
      </c>
      <c r="I13" s="50" t="n">
        <f aca="false">'Form 1 Daily'!C397</f>
        <v>0</v>
      </c>
      <c r="J13" s="50" t="n">
        <f aca="false">'Form 1 Daily'!K397</f>
        <v>0</v>
      </c>
      <c r="K13" s="50" t="n">
        <f aca="false">'Form 1 Daily'!S397</f>
        <v>0</v>
      </c>
      <c r="L13" s="50" t="n">
        <f aca="false">'Form 1 Daily'!AA397</f>
        <v>0</v>
      </c>
      <c r="M13" s="50" t="n">
        <f aca="false">'Form 1 Daily'!AI397</f>
        <v>0</v>
      </c>
    </row>
    <row r="14" customFormat="false" ht="15" hidden="false" customHeight="false" outlineLevel="0" collapsed="false">
      <c r="A14" s="49" t="n">
        <f aca="false">Cal!A14</f>
        <v>46308</v>
      </c>
      <c r="B14" s="50" t="n">
        <f aca="false">Cal!C14</f>
        <v>3</v>
      </c>
      <c r="C14" s="50" t="n">
        <f aca="false">'Form 1 Daily'!C421</f>
        <v>0</v>
      </c>
      <c r="D14" s="50" t="n">
        <f aca="false">IFERROR(IF(ISNUMBER('Form 1 Daily'!W421),'Form 1 Daily'!W421,VALUE(LEFT('Form 1 Daily'!W421,FIND(" ",'Form 1 Daily'!W421)-1))),0)</f>
        <v>0</v>
      </c>
      <c r="E14" s="50" t="n">
        <f aca="false">'Form 1 Daily'!C426</f>
        <v>0</v>
      </c>
      <c r="F14" s="50" t="n">
        <f aca="false">'Form 1 Daily'!M426</f>
        <v>0</v>
      </c>
      <c r="G14" s="50" t="n">
        <f aca="false">'Form 1 Daily'!W426</f>
        <v>0</v>
      </c>
      <c r="H14" s="50" t="n">
        <f aca="false">'Form 1 Daily'!AG426</f>
        <v>0</v>
      </c>
      <c r="I14" s="50" t="n">
        <f aca="false">'Form 1 Daily'!C431</f>
        <v>0</v>
      </c>
      <c r="J14" s="50" t="n">
        <f aca="false">'Form 1 Daily'!K431</f>
        <v>0</v>
      </c>
      <c r="K14" s="50" t="n">
        <f aca="false">'Form 1 Daily'!S431</f>
        <v>0</v>
      </c>
      <c r="L14" s="50" t="n">
        <f aca="false">'Form 1 Daily'!AA431</f>
        <v>0</v>
      </c>
      <c r="M14" s="50" t="n">
        <f aca="false">'Form 1 Daily'!AI431</f>
        <v>0</v>
      </c>
    </row>
    <row r="15" customFormat="false" ht="15" hidden="false" customHeight="false" outlineLevel="0" collapsed="false">
      <c r="A15" s="49" t="n">
        <f aca="false">Cal!A15</f>
        <v>46309</v>
      </c>
      <c r="B15" s="50" t="n">
        <f aca="false">Cal!C15</f>
        <v>3</v>
      </c>
      <c r="C15" s="50" t="n">
        <f aca="false">'Form 1 Daily'!C455</f>
        <v>0</v>
      </c>
      <c r="D15" s="50" t="n">
        <f aca="false">IFERROR(IF(ISNUMBER('Form 1 Daily'!W455),'Form 1 Daily'!W455,VALUE(LEFT('Form 1 Daily'!W455,FIND(" ",'Form 1 Daily'!W455)-1))),0)</f>
        <v>0</v>
      </c>
      <c r="E15" s="50" t="n">
        <f aca="false">'Form 1 Daily'!C460</f>
        <v>0</v>
      </c>
      <c r="F15" s="50" t="n">
        <f aca="false">'Form 1 Daily'!M460</f>
        <v>0</v>
      </c>
      <c r="G15" s="50" t="n">
        <f aca="false">'Form 1 Daily'!W460</f>
        <v>0</v>
      </c>
      <c r="H15" s="50" t="n">
        <f aca="false">'Form 1 Daily'!AG460</f>
        <v>0</v>
      </c>
      <c r="I15" s="50" t="n">
        <f aca="false">'Form 1 Daily'!C465</f>
        <v>0</v>
      </c>
      <c r="J15" s="50" t="n">
        <f aca="false">'Form 1 Daily'!K465</f>
        <v>0</v>
      </c>
      <c r="K15" s="50" t="n">
        <f aca="false">'Form 1 Daily'!S465</f>
        <v>0</v>
      </c>
      <c r="L15" s="50" t="n">
        <f aca="false">'Form 1 Daily'!AA465</f>
        <v>0</v>
      </c>
      <c r="M15" s="50" t="n">
        <f aca="false">'Form 1 Daily'!AI465</f>
        <v>0</v>
      </c>
    </row>
    <row r="16" customFormat="false" ht="15" hidden="false" customHeight="false" outlineLevel="0" collapsed="false">
      <c r="A16" s="49" t="n">
        <f aca="false">Cal!A16</f>
        <v>46310</v>
      </c>
      <c r="B16" s="50" t="n">
        <f aca="false">Cal!C16</f>
        <v>3</v>
      </c>
      <c r="C16" s="50" t="n">
        <f aca="false">'Form 1 Daily'!C489</f>
        <v>0</v>
      </c>
      <c r="D16" s="50" t="n">
        <f aca="false">IFERROR(IF(ISNUMBER('Form 1 Daily'!W489),'Form 1 Daily'!W489,VALUE(LEFT('Form 1 Daily'!W489,FIND(" ",'Form 1 Daily'!W489)-1))),0)</f>
        <v>0</v>
      </c>
      <c r="E16" s="50" t="n">
        <f aca="false">'Form 1 Daily'!C494</f>
        <v>0</v>
      </c>
      <c r="F16" s="50" t="n">
        <f aca="false">'Form 1 Daily'!M494</f>
        <v>0</v>
      </c>
      <c r="G16" s="50" t="n">
        <f aca="false">'Form 1 Daily'!W494</f>
        <v>0</v>
      </c>
      <c r="H16" s="50" t="n">
        <f aca="false">'Form 1 Daily'!AG494</f>
        <v>0</v>
      </c>
      <c r="I16" s="50" t="n">
        <f aca="false">'Form 1 Daily'!C499</f>
        <v>0</v>
      </c>
      <c r="J16" s="50" t="n">
        <f aca="false">'Form 1 Daily'!K499</f>
        <v>0</v>
      </c>
      <c r="K16" s="50" t="n">
        <f aca="false">'Form 1 Daily'!S499</f>
        <v>0</v>
      </c>
      <c r="L16" s="50" t="n">
        <f aca="false">'Form 1 Daily'!AA499</f>
        <v>0</v>
      </c>
      <c r="M16" s="50" t="n">
        <f aca="false">'Form 1 Daily'!AI499</f>
        <v>0</v>
      </c>
    </row>
    <row r="17" customFormat="false" ht="15" hidden="false" customHeight="false" outlineLevel="0" collapsed="false">
      <c r="A17" s="49" t="n">
        <f aca="false">Cal!A17</f>
        <v>46311</v>
      </c>
      <c r="B17" s="50" t="n">
        <f aca="false">Cal!C17</f>
        <v>3</v>
      </c>
      <c r="C17" s="50" t="n">
        <f aca="false">'Form 1 Daily'!C523</f>
        <v>0</v>
      </c>
      <c r="D17" s="50" t="n">
        <f aca="false">IFERROR(IF(ISNUMBER('Form 1 Daily'!W523),'Form 1 Daily'!W523,VALUE(LEFT('Form 1 Daily'!W523,FIND(" ",'Form 1 Daily'!W523)-1))),0)</f>
        <v>0</v>
      </c>
      <c r="E17" s="50" t="n">
        <f aca="false">'Form 1 Daily'!C528</f>
        <v>0</v>
      </c>
      <c r="F17" s="50" t="n">
        <f aca="false">'Form 1 Daily'!M528</f>
        <v>0</v>
      </c>
      <c r="G17" s="50" t="n">
        <f aca="false">'Form 1 Daily'!W528</f>
        <v>0</v>
      </c>
      <c r="H17" s="50" t="n">
        <f aca="false">'Form 1 Daily'!AG528</f>
        <v>0</v>
      </c>
      <c r="I17" s="50" t="n">
        <f aca="false">'Form 1 Daily'!C533</f>
        <v>0</v>
      </c>
      <c r="J17" s="50" t="n">
        <f aca="false">'Form 1 Daily'!K533</f>
        <v>0</v>
      </c>
      <c r="K17" s="50" t="n">
        <f aca="false">'Form 1 Daily'!S533</f>
        <v>0</v>
      </c>
      <c r="L17" s="50" t="n">
        <f aca="false">'Form 1 Daily'!AA533</f>
        <v>0</v>
      </c>
      <c r="M17" s="50" t="n">
        <f aca="false">'Form 1 Daily'!AI533</f>
        <v>0</v>
      </c>
    </row>
    <row r="18" customFormat="false" ht="15" hidden="false" customHeight="false" outlineLevel="0" collapsed="false">
      <c r="A18" s="49" t="n">
        <f aca="false">Cal!A18</f>
        <v>46312</v>
      </c>
      <c r="B18" s="50" t="n">
        <f aca="false">Cal!C18</f>
        <v>3</v>
      </c>
      <c r="C18" s="50" t="n">
        <f aca="false">'Form 1 Daily'!C557</f>
        <v>0</v>
      </c>
      <c r="D18" s="50" t="n">
        <f aca="false">IFERROR(IF(ISNUMBER('Form 1 Daily'!W557),'Form 1 Daily'!W557,VALUE(LEFT('Form 1 Daily'!W557,FIND(" ",'Form 1 Daily'!W557)-1))),0)</f>
        <v>0</v>
      </c>
      <c r="E18" s="50" t="n">
        <f aca="false">'Form 1 Daily'!C562</f>
        <v>0</v>
      </c>
      <c r="F18" s="50" t="n">
        <f aca="false">'Form 1 Daily'!M562</f>
        <v>0</v>
      </c>
      <c r="G18" s="50" t="n">
        <f aca="false">'Form 1 Daily'!W562</f>
        <v>0</v>
      </c>
      <c r="H18" s="50" t="n">
        <f aca="false">'Form 1 Daily'!AG562</f>
        <v>0</v>
      </c>
      <c r="I18" s="50" t="n">
        <f aca="false">'Form 1 Daily'!C567</f>
        <v>0</v>
      </c>
      <c r="J18" s="50" t="n">
        <f aca="false">'Form 1 Daily'!K567</f>
        <v>0</v>
      </c>
      <c r="K18" s="50" t="n">
        <f aca="false">'Form 1 Daily'!S567</f>
        <v>0</v>
      </c>
      <c r="L18" s="50" t="n">
        <f aca="false">'Form 1 Daily'!AA567</f>
        <v>0</v>
      </c>
      <c r="M18" s="50" t="n">
        <f aca="false">'Form 1 Daily'!AI567</f>
        <v>0</v>
      </c>
    </row>
    <row r="19" customFormat="false" ht="15" hidden="false" customHeight="false" outlineLevel="0" collapsed="false">
      <c r="A19" s="49" t="n">
        <f aca="false">Cal!A19</f>
        <v>46313</v>
      </c>
      <c r="B19" s="50" t="n">
        <f aca="false">Cal!C19</f>
        <v>3</v>
      </c>
      <c r="C19" s="50" t="n">
        <f aca="false">'Form 1 Daily'!C591</f>
        <v>0</v>
      </c>
      <c r="D19" s="50" t="n">
        <f aca="false">IFERROR(IF(ISNUMBER('Form 1 Daily'!W591),'Form 1 Daily'!W591,VALUE(LEFT('Form 1 Daily'!W591,FIND(" ",'Form 1 Daily'!W591)-1))),0)</f>
        <v>0</v>
      </c>
      <c r="E19" s="50" t="n">
        <f aca="false">'Form 1 Daily'!C596</f>
        <v>0</v>
      </c>
      <c r="F19" s="50" t="n">
        <f aca="false">'Form 1 Daily'!M596</f>
        <v>0</v>
      </c>
      <c r="G19" s="50" t="n">
        <f aca="false">'Form 1 Daily'!W596</f>
        <v>0</v>
      </c>
      <c r="H19" s="50" t="n">
        <f aca="false">'Form 1 Daily'!AG596</f>
        <v>0</v>
      </c>
      <c r="I19" s="50" t="n">
        <f aca="false">'Form 1 Daily'!C601</f>
        <v>0</v>
      </c>
      <c r="J19" s="50" t="n">
        <f aca="false">'Form 1 Daily'!K601</f>
        <v>0</v>
      </c>
      <c r="K19" s="50" t="n">
        <f aca="false">'Form 1 Daily'!S601</f>
        <v>0</v>
      </c>
      <c r="L19" s="50" t="n">
        <f aca="false">'Form 1 Daily'!AA601</f>
        <v>0</v>
      </c>
      <c r="M19" s="50" t="n">
        <f aca="false">'Form 1 Daily'!AI601</f>
        <v>0</v>
      </c>
    </row>
    <row r="20" customFormat="false" ht="15" hidden="false" customHeight="false" outlineLevel="0" collapsed="false">
      <c r="A20" s="49" t="n">
        <f aca="false">Cal!A20</f>
        <v>46314</v>
      </c>
      <c r="B20" s="50" t="n">
        <f aca="false">Cal!C20</f>
        <v>4</v>
      </c>
      <c r="C20" s="50" t="n">
        <f aca="false">'Form 1 Daily'!C625</f>
        <v>0</v>
      </c>
      <c r="D20" s="50" t="n">
        <f aca="false">IFERROR(IF(ISNUMBER('Form 1 Daily'!W625),'Form 1 Daily'!W625,VALUE(LEFT('Form 1 Daily'!W625,FIND(" ",'Form 1 Daily'!W625)-1))),0)</f>
        <v>0</v>
      </c>
      <c r="E20" s="50" t="n">
        <f aca="false">'Form 1 Daily'!C630</f>
        <v>0</v>
      </c>
      <c r="F20" s="50" t="n">
        <f aca="false">'Form 1 Daily'!M630</f>
        <v>0</v>
      </c>
      <c r="G20" s="50" t="n">
        <f aca="false">'Form 1 Daily'!W630</f>
        <v>0</v>
      </c>
      <c r="H20" s="50" t="n">
        <f aca="false">'Form 1 Daily'!AG630</f>
        <v>0</v>
      </c>
      <c r="I20" s="50" t="n">
        <f aca="false">'Form 1 Daily'!C635</f>
        <v>0</v>
      </c>
      <c r="J20" s="50" t="n">
        <f aca="false">'Form 1 Daily'!K635</f>
        <v>0</v>
      </c>
      <c r="K20" s="50" t="n">
        <f aca="false">'Form 1 Daily'!S635</f>
        <v>0</v>
      </c>
      <c r="L20" s="50" t="n">
        <f aca="false">'Form 1 Daily'!AA635</f>
        <v>0</v>
      </c>
      <c r="M20" s="50" t="n">
        <f aca="false">'Form 1 Daily'!AI635</f>
        <v>0</v>
      </c>
    </row>
    <row r="21" customFormat="false" ht="15" hidden="false" customHeight="false" outlineLevel="0" collapsed="false">
      <c r="A21" s="49" t="n">
        <f aca="false">Cal!A21</f>
        <v>46315</v>
      </c>
      <c r="B21" s="50" t="n">
        <f aca="false">Cal!C21</f>
        <v>4</v>
      </c>
      <c r="C21" s="50" t="n">
        <f aca="false">'Form 1 Daily'!C659</f>
        <v>0</v>
      </c>
      <c r="D21" s="50" t="n">
        <f aca="false">IFERROR(IF(ISNUMBER('Form 1 Daily'!W659),'Form 1 Daily'!W659,VALUE(LEFT('Form 1 Daily'!W659,FIND(" ",'Form 1 Daily'!W659)-1))),0)</f>
        <v>0</v>
      </c>
      <c r="E21" s="50" t="n">
        <f aca="false">'Form 1 Daily'!C664</f>
        <v>0</v>
      </c>
      <c r="F21" s="50" t="n">
        <f aca="false">'Form 1 Daily'!M664</f>
        <v>0</v>
      </c>
      <c r="G21" s="50" t="n">
        <f aca="false">'Form 1 Daily'!W664</f>
        <v>0</v>
      </c>
      <c r="H21" s="50" t="n">
        <f aca="false">'Form 1 Daily'!AG664</f>
        <v>0</v>
      </c>
      <c r="I21" s="50" t="n">
        <f aca="false">'Form 1 Daily'!C669</f>
        <v>0</v>
      </c>
      <c r="J21" s="50" t="n">
        <f aca="false">'Form 1 Daily'!K669</f>
        <v>0</v>
      </c>
      <c r="K21" s="50" t="n">
        <f aca="false">'Form 1 Daily'!S669</f>
        <v>0</v>
      </c>
      <c r="L21" s="50" t="n">
        <f aca="false">'Form 1 Daily'!AA669</f>
        <v>0</v>
      </c>
      <c r="M21" s="50" t="n">
        <f aca="false">'Form 1 Daily'!AI669</f>
        <v>0</v>
      </c>
    </row>
    <row r="22" customFormat="false" ht="15" hidden="false" customHeight="false" outlineLevel="0" collapsed="false">
      <c r="A22" s="49" t="n">
        <f aca="false">Cal!A22</f>
        <v>46316</v>
      </c>
      <c r="B22" s="50" t="n">
        <f aca="false">Cal!C22</f>
        <v>4</v>
      </c>
      <c r="C22" s="50" t="n">
        <f aca="false">'Form 1 Daily'!C693</f>
        <v>0</v>
      </c>
      <c r="D22" s="50" t="n">
        <f aca="false">IFERROR(IF(ISNUMBER('Form 1 Daily'!W693),'Form 1 Daily'!W693,VALUE(LEFT('Form 1 Daily'!W693,FIND(" ",'Form 1 Daily'!W693)-1))),0)</f>
        <v>0</v>
      </c>
      <c r="E22" s="50" t="n">
        <f aca="false">'Form 1 Daily'!C698</f>
        <v>0</v>
      </c>
      <c r="F22" s="50" t="n">
        <f aca="false">'Form 1 Daily'!M698</f>
        <v>0</v>
      </c>
      <c r="G22" s="50" t="n">
        <f aca="false">'Form 1 Daily'!W698</f>
        <v>0</v>
      </c>
      <c r="H22" s="50" t="n">
        <f aca="false">'Form 1 Daily'!AG698</f>
        <v>0</v>
      </c>
      <c r="I22" s="50" t="n">
        <f aca="false">'Form 1 Daily'!C703</f>
        <v>0</v>
      </c>
      <c r="J22" s="50" t="n">
        <f aca="false">'Form 1 Daily'!K703</f>
        <v>0</v>
      </c>
      <c r="K22" s="50" t="n">
        <f aca="false">'Form 1 Daily'!S703</f>
        <v>0</v>
      </c>
      <c r="L22" s="50" t="n">
        <f aca="false">'Form 1 Daily'!AA703</f>
        <v>0</v>
      </c>
      <c r="M22" s="50" t="n">
        <f aca="false">'Form 1 Daily'!AI703</f>
        <v>0</v>
      </c>
    </row>
    <row r="23" customFormat="false" ht="15" hidden="false" customHeight="false" outlineLevel="0" collapsed="false">
      <c r="A23" s="49" t="n">
        <f aca="false">Cal!A23</f>
        <v>46317</v>
      </c>
      <c r="B23" s="50" t="n">
        <f aca="false">Cal!C23</f>
        <v>4</v>
      </c>
      <c r="C23" s="50" t="n">
        <f aca="false">'Form 1 Daily'!C727</f>
        <v>0</v>
      </c>
      <c r="D23" s="50" t="n">
        <f aca="false">IFERROR(IF(ISNUMBER('Form 1 Daily'!W727),'Form 1 Daily'!W727,VALUE(LEFT('Form 1 Daily'!W727,FIND(" ",'Form 1 Daily'!W727)-1))),0)</f>
        <v>0</v>
      </c>
      <c r="E23" s="50" t="n">
        <f aca="false">'Form 1 Daily'!C732</f>
        <v>0</v>
      </c>
      <c r="F23" s="50" t="n">
        <f aca="false">'Form 1 Daily'!M732</f>
        <v>0</v>
      </c>
      <c r="G23" s="50" t="n">
        <f aca="false">'Form 1 Daily'!W732</f>
        <v>0</v>
      </c>
      <c r="H23" s="50" t="n">
        <f aca="false">'Form 1 Daily'!AG732</f>
        <v>0</v>
      </c>
      <c r="I23" s="50" t="n">
        <f aca="false">'Form 1 Daily'!C737</f>
        <v>0</v>
      </c>
      <c r="J23" s="50" t="n">
        <f aca="false">'Form 1 Daily'!K737</f>
        <v>0</v>
      </c>
      <c r="K23" s="50" t="n">
        <f aca="false">'Form 1 Daily'!S737</f>
        <v>0</v>
      </c>
      <c r="L23" s="50" t="n">
        <f aca="false">'Form 1 Daily'!AA737</f>
        <v>0</v>
      </c>
      <c r="M23" s="50" t="n">
        <f aca="false">'Form 1 Daily'!AI737</f>
        <v>0</v>
      </c>
    </row>
    <row r="24" customFormat="false" ht="15" hidden="false" customHeight="false" outlineLevel="0" collapsed="false">
      <c r="A24" s="49" t="n">
        <f aca="false">Cal!A24</f>
        <v>46318</v>
      </c>
      <c r="B24" s="50" t="n">
        <f aca="false">Cal!C24</f>
        <v>4</v>
      </c>
      <c r="C24" s="50" t="n">
        <f aca="false">'Form 1 Daily'!C761</f>
        <v>0</v>
      </c>
      <c r="D24" s="50" t="n">
        <f aca="false">IFERROR(IF(ISNUMBER('Form 1 Daily'!W761),'Form 1 Daily'!W761,VALUE(LEFT('Form 1 Daily'!W761,FIND(" ",'Form 1 Daily'!W761)-1))),0)</f>
        <v>0</v>
      </c>
      <c r="E24" s="50" t="n">
        <f aca="false">'Form 1 Daily'!C766</f>
        <v>0</v>
      </c>
      <c r="F24" s="50" t="n">
        <f aca="false">'Form 1 Daily'!M766</f>
        <v>0</v>
      </c>
      <c r="G24" s="50" t="n">
        <f aca="false">'Form 1 Daily'!W766</f>
        <v>0</v>
      </c>
      <c r="H24" s="50" t="n">
        <f aca="false">'Form 1 Daily'!AG766</f>
        <v>0</v>
      </c>
      <c r="I24" s="50" t="n">
        <f aca="false">'Form 1 Daily'!C771</f>
        <v>0</v>
      </c>
      <c r="J24" s="50" t="n">
        <f aca="false">'Form 1 Daily'!K771</f>
        <v>0</v>
      </c>
      <c r="K24" s="50" t="n">
        <f aca="false">'Form 1 Daily'!S771</f>
        <v>0</v>
      </c>
      <c r="L24" s="50" t="n">
        <f aca="false">'Form 1 Daily'!AA771</f>
        <v>0</v>
      </c>
      <c r="M24" s="50" t="n">
        <f aca="false">'Form 1 Daily'!AI771</f>
        <v>0</v>
      </c>
    </row>
    <row r="25" customFormat="false" ht="15" hidden="false" customHeight="false" outlineLevel="0" collapsed="false">
      <c r="A25" s="49" t="n">
        <f aca="false">Cal!A25</f>
        <v>46319</v>
      </c>
      <c r="B25" s="50" t="n">
        <f aca="false">Cal!C25</f>
        <v>4</v>
      </c>
      <c r="C25" s="50" t="n">
        <f aca="false">'Form 1 Daily'!C795</f>
        <v>0</v>
      </c>
      <c r="D25" s="50" t="n">
        <f aca="false">IFERROR(IF(ISNUMBER('Form 1 Daily'!W795),'Form 1 Daily'!W795,VALUE(LEFT('Form 1 Daily'!W795,FIND(" ",'Form 1 Daily'!W795)-1))),0)</f>
        <v>0</v>
      </c>
      <c r="E25" s="50" t="n">
        <f aca="false">'Form 1 Daily'!C800</f>
        <v>0</v>
      </c>
      <c r="F25" s="50" t="n">
        <f aca="false">'Form 1 Daily'!M800</f>
        <v>0</v>
      </c>
      <c r="G25" s="50" t="n">
        <f aca="false">'Form 1 Daily'!W800</f>
        <v>0</v>
      </c>
      <c r="H25" s="50" t="n">
        <f aca="false">'Form 1 Daily'!AG800</f>
        <v>0</v>
      </c>
      <c r="I25" s="50" t="n">
        <f aca="false">'Form 1 Daily'!C805</f>
        <v>0</v>
      </c>
      <c r="J25" s="50" t="n">
        <f aca="false">'Form 1 Daily'!K805</f>
        <v>0</v>
      </c>
      <c r="K25" s="50" t="n">
        <f aca="false">'Form 1 Daily'!S805</f>
        <v>0</v>
      </c>
      <c r="L25" s="50" t="n">
        <f aca="false">'Form 1 Daily'!AA805</f>
        <v>0</v>
      </c>
      <c r="M25" s="50" t="n">
        <f aca="false">'Form 1 Daily'!AI805</f>
        <v>0</v>
      </c>
    </row>
    <row r="26" customFormat="false" ht="15" hidden="false" customHeight="false" outlineLevel="0" collapsed="false">
      <c r="A26" s="49" t="n">
        <f aca="false">Cal!A26</f>
        <v>46320</v>
      </c>
      <c r="B26" s="50" t="n">
        <f aca="false">Cal!C26</f>
        <v>4</v>
      </c>
      <c r="C26" s="50" t="n">
        <f aca="false">'Form 1 Daily'!C829</f>
        <v>0</v>
      </c>
      <c r="D26" s="50" t="n">
        <f aca="false">IFERROR(IF(ISNUMBER('Form 1 Daily'!W829),'Form 1 Daily'!W829,VALUE(LEFT('Form 1 Daily'!W829,FIND(" ",'Form 1 Daily'!W829)-1))),0)</f>
        <v>0</v>
      </c>
      <c r="E26" s="50" t="n">
        <f aca="false">'Form 1 Daily'!C834</f>
        <v>0</v>
      </c>
      <c r="F26" s="50" t="n">
        <f aca="false">'Form 1 Daily'!M834</f>
        <v>0</v>
      </c>
      <c r="G26" s="50" t="n">
        <f aca="false">'Form 1 Daily'!W834</f>
        <v>0</v>
      </c>
      <c r="H26" s="50" t="n">
        <f aca="false">'Form 1 Daily'!AG834</f>
        <v>0</v>
      </c>
      <c r="I26" s="50" t="n">
        <f aca="false">'Form 1 Daily'!C839</f>
        <v>0</v>
      </c>
      <c r="J26" s="50" t="n">
        <f aca="false">'Form 1 Daily'!K839</f>
        <v>0</v>
      </c>
      <c r="K26" s="50" t="n">
        <f aca="false">'Form 1 Daily'!S839</f>
        <v>0</v>
      </c>
      <c r="L26" s="50" t="n">
        <f aca="false">'Form 1 Daily'!AA839</f>
        <v>0</v>
      </c>
      <c r="M26" s="50" t="n">
        <f aca="false">'Form 1 Daily'!AI839</f>
        <v>0</v>
      </c>
    </row>
    <row r="27" customFormat="false" ht="15" hidden="false" customHeight="false" outlineLevel="0" collapsed="false">
      <c r="A27" s="49" t="n">
        <f aca="false">Cal!A27</f>
        <v>46321</v>
      </c>
      <c r="B27" s="50" t="n">
        <f aca="false">Cal!C27</f>
        <v>5</v>
      </c>
      <c r="C27" s="50" t="n">
        <f aca="false">'Form 1 Daily'!C863</f>
        <v>0</v>
      </c>
      <c r="D27" s="50" t="n">
        <f aca="false">IFERROR(IF(ISNUMBER('Form 1 Daily'!W863),'Form 1 Daily'!W863,VALUE(LEFT('Form 1 Daily'!W863,FIND(" ",'Form 1 Daily'!W863)-1))),0)</f>
        <v>0</v>
      </c>
      <c r="E27" s="50" t="n">
        <f aca="false">'Form 1 Daily'!C868</f>
        <v>0</v>
      </c>
      <c r="F27" s="50" t="n">
        <f aca="false">'Form 1 Daily'!M868</f>
        <v>0</v>
      </c>
      <c r="G27" s="50" t="n">
        <f aca="false">'Form 1 Daily'!W868</f>
        <v>0</v>
      </c>
      <c r="H27" s="50" t="n">
        <f aca="false">'Form 1 Daily'!AG868</f>
        <v>0</v>
      </c>
      <c r="I27" s="50" t="n">
        <f aca="false">'Form 1 Daily'!C873</f>
        <v>0</v>
      </c>
      <c r="J27" s="50" t="n">
        <f aca="false">'Form 1 Daily'!K873</f>
        <v>0</v>
      </c>
      <c r="K27" s="50" t="n">
        <f aca="false">'Form 1 Daily'!S873</f>
        <v>0</v>
      </c>
      <c r="L27" s="50" t="n">
        <f aca="false">'Form 1 Daily'!AA873</f>
        <v>0</v>
      </c>
      <c r="M27" s="50" t="n">
        <f aca="false">'Form 1 Daily'!AI873</f>
        <v>0</v>
      </c>
    </row>
    <row r="28" customFormat="false" ht="15" hidden="false" customHeight="false" outlineLevel="0" collapsed="false">
      <c r="A28" s="49" t="n">
        <f aca="false">Cal!A28</f>
        <v>46322</v>
      </c>
      <c r="B28" s="50" t="n">
        <f aca="false">Cal!C28</f>
        <v>5</v>
      </c>
      <c r="C28" s="50" t="n">
        <f aca="false">'Form 1 Daily'!C897</f>
        <v>0</v>
      </c>
      <c r="D28" s="50" t="n">
        <f aca="false">IFERROR(IF(ISNUMBER('Form 1 Daily'!W897),'Form 1 Daily'!W897,VALUE(LEFT('Form 1 Daily'!W897,FIND(" ",'Form 1 Daily'!W897)-1))),0)</f>
        <v>0</v>
      </c>
      <c r="E28" s="50" t="n">
        <f aca="false">'Form 1 Daily'!C902</f>
        <v>0</v>
      </c>
      <c r="F28" s="50" t="n">
        <f aca="false">'Form 1 Daily'!M902</f>
        <v>0</v>
      </c>
      <c r="G28" s="50" t="n">
        <f aca="false">'Form 1 Daily'!W902</f>
        <v>0</v>
      </c>
      <c r="H28" s="50" t="n">
        <f aca="false">'Form 1 Daily'!AG902</f>
        <v>0</v>
      </c>
      <c r="I28" s="50" t="n">
        <f aca="false">'Form 1 Daily'!C907</f>
        <v>0</v>
      </c>
      <c r="J28" s="50" t="n">
        <f aca="false">'Form 1 Daily'!K907</f>
        <v>0</v>
      </c>
      <c r="K28" s="50" t="n">
        <f aca="false">'Form 1 Daily'!S907</f>
        <v>0</v>
      </c>
      <c r="L28" s="50" t="n">
        <f aca="false">'Form 1 Daily'!AA907</f>
        <v>0</v>
      </c>
      <c r="M28" s="50" t="n">
        <f aca="false">'Form 1 Daily'!AI907</f>
        <v>0</v>
      </c>
    </row>
    <row r="29" customFormat="false" ht="15" hidden="false" customHeight="false" outlineLevel="0" collapsed="false">
      <c r="A29" s="49" t="n">
        <f aca="false">Cal!A29</f>
        <v>46323</v>
      </c>
      <c r="B29" s="50" t="n">
        <f aca="false">Cal!C29</f>
        <v>5</v>
      </c>
      <c r="C29" s="50" t="n">
        <f aca="false">'Form 1 Daily'!C931</f>
        <v>0</v>
      </c>
      <c r="D29" s="50" t="n">
        <f aca="false">IFERROR(IF(ISNUMBER('Form 1 Daily'!W931),'Form 1 Daily'!W931,VALUE(LEFT('Form 1 Daily'!W931,FIND(" ",'Form 1 Daily'!W931)-1))),0)</f>
        <v>0</v>
      </c>
      <c r="E29" s="50" t="n">
        <f aca="false">'Form 1 Daily'!C936</f>
        <v>0</v>
      </c>
      <c r="F29" s="50" t="n">
        <f aca="false">'Form 1 Daily'!M936</f>
        <v>0</v>
      </c>
      <c r="G29" s="50" t="n">
        <f aca="false">'Form 1 Daily'!W936</f>
        <v>0</v>
      </c>
      <c r="H29" s="50" t="n">
        <f aca="false">'Form 1 Daily'!AG936</f>
        <v>0</v>
      </c>
      <c r="I29" s="50" t="n">
        <f aca="false">'Form 1 Daily'!C941</f>
        <v>0</v>
      </c>
      <c r="J29" s="50" t="n">
        <f aca="false">'Form 1 Daily'!K941</f>
        <v>0</v>
      </c>
      <c r="K29" s="50" t="n">
        <f aca="false">'Form 1 Daily'!S941</f>
        <v>0</v>
      </c>
      <c r="L29" s="50" t="n">
        <f aca="false">'Form 1 Daily'!AA941</f>
        <v>0</v>
      </c>
      <c r="M29" s="50" t="n">
        <f aca="false">'Form 1 Daily'!AI941</f>
        <v>0</v>
      </c>
    </row>
    <row r="30" customFormat="false" ht="15" hidden="false" customHeight="false" outlineLevel="0" collapsed="false">
      <c r="A30" s="49" t="n">
        <f aca="false">Cal!A30</f>
        <v>46324</v>
      </c>
      <c r="B30" s="50" t="n">
        <f aca="false">Cal!C30</f>
        <v>5</v>
      </c>
      <c r="C30" s="50" t="n">
        <f aca="false">'Form 1 Daily'!C965</f>
        <v>0</v>
      </c>
      <c r="D30" s="50" t="n">
        <f aca="false">IFERROR(IF(ISNUMBER('Form 1 Daily'!W965),'Form 1 Daily'!W965,VALUE(LEFT('Form 1 Daily'!W965,FIND(" ",'Form 1 Daily'!W965)-1))),0)</f>
        <v>0</v>
      </c>
      <c r="E30" s="50" t="n">
        <f aca="false">'Form 1 Daily'!C970</f>
        <v>0</v>
      </c>
      <c r="F30" s="50" t="n">
        <f aca="false">'Form 1 Daily'!M970</f>
        <v>0</v>
      </c>
      <c r="G30" s="50" t="n">
        <f aca="false">'Form 1 Daily'!W970</f>
        <v>0</v>
      </c>
      <c r="H30" s="50" t="n">
        <f aca="false">'Form 1 Daily'!AG970</f>
        <v>0</v>
      </c>
      <c r="I30" s="50" t="n">
        <f aca="false">'Form 1 Daily'!C975</f>
        <v>0</v>
      </c>
      <c r="J30" s="50" t="n">
        <f aca="false">'Form 1 Daily'!K975</f>
        <v>0</v>
      </c>
      <c r="K30" s="50" t="n">
        <f aca="false">'Form 1 Daily'!S975</f>
        <v>0</v>
      </c>
      <c r="L30" s="50" t="n">
        <f aca="false">'Form 1 Daily'!AA975</f>
        <v>0</v>
      </c>
      <c r="M30" s="50" t="n">
        <f aca="false">'Form 1 Daily'!AI975</f>
        <v>0</v>
      </c>
    </row>
    <row r="31" customFormat="false" ht="15" hidden="false" customHeight="false" outlineLevel="0" collapsed="false">
      <c r="A31" s="49" t="n">
        <f aca="false">Cal!A31</f>
        <v>46325</v>
      </c>
      <c r="B31" s="50" t="n">
        <f aca="false">Cal!C31</f>
        <v>5</v>
      </c>
      <c r="C31" s="50" t="n">
        <f aca="false">'Form 1 Daily'!C999</f>
        <v>0</v>
      </c>
      <c r="D31" s="50" t="n">
        <f aca="false">IFERROR(IF(ISNUMBER('Form 1 Daily'!W999),'Form 1 Daily'!W999,VALUE(LEFT('Form 1 Daily'!W999,FIND(" ",'Form 1 Daily'!W999)-1))),0)</f>
        <v>0</v>
      </c>
      <c r="E31" s="50" t="n">
        <f aca="false">'Form 1 Daily'!C1004</f>
        <v>0</v>
      </c>
      <c r="F31" s="50" t="n">
        <f aca="false">'Form 1 Daily'!M1004</f>
        <v>0</v>
      </c>
      <c r="G31" s="50" t="n">
        <f aca="false">'Form 1 Daily'!W1004</f>
        <v>0</v>
      </c>
      <c r="H31" s="50" t="n">
        <f aca="false">'Form 1 Daily'!AG1004</f>
        <v>0</v>
      </c>
      <c r="I31" s="50" t="n">
        <f aca="false">'Form 1 Daily'!C1009</f>
        <v>0</v>
      </c>
      <c r="J31" s="50" t="n">
        <f aca="false">'Form 1 Daily'!K1009</f>
        <v>0</v>
      </c>
      <c r="K31" s="50" t="n">
        <f aca="false">'Form 1 Daily'!S1009</f>
        <v>0</v>
      </c>
      <c r="L31" s="50" t="n">
        <f aca="false">'Form 1 Daily'!AA1009</f>
        <v>0</v>
      </c>
      <c r="M31" s="50" t="n">
        <f aca="false">'Form 1 Daily'!AI1009</f>
        <v>0</v>
      </c>
    </row>
    <row r="32" customFormat="false" ht="15" hidden="false" customHeight="false" outlineLevel="0" collapsed="false">
      <c r="A32" s="49" t="n">
        <f aca="false">Cal!A32</f>
        <v>46326</v>
      </c>
      <c r="B32" s="50" t="n">
        <f aca="false">Cal!C32</f>
        <v>5</v>
      </c>
      <c r="C32" s="50" t="n">
        <f aca="false">'Form 1 Daily'!C1033</f>
        <v>0</v>
      </c>
      <c r="D32" s="50" t="n">
        <f aca="false">IFERROR(IF(ISNUMBER('Form 1 Daily'!W1033),'Form 1 Daily'!W1033,VALUE(LEFT('Form 1 Daily'!W1033,FIND(" ",'Form 1 Daily'!W1033)-1))),0)</f>
        <v>0</v>
      </c>
      <c r="E32" s="50" t="n">
        <f aca="false">'Form 1 Daily'!C1038</f>
        <v>0</v>
      </c>
      <c r="F32" s="50" t="n">
        <f aca="false">'Form 1 Daily'!M1038</f>
        <v>0</v>
      </c>
      <c r="G32" s="50" t="n">
        <f aca="false">'Form 1 Daily'!W1038</f>
        <v>0</v>
      </c>
      <c r="H32" s="50" t="n">
        <f aca="false">'Form 1 Daily'!AG1038</f>
        <v>0</v>
      </c>
      <c r="I32" s="50" t="n">
        <f aca="false">'Form 1 Daily'!C1043</f>
        <v>0</v>
      </c>
      <c r="J32" s="50" t="n">
        <f aca="false">'Form 1 Daily'!K1043</f>
        <v>0</v>
      </c>
      <c r="K32" s="50" t="n">
        <f aca="false">'Form 1 Daily'!S1043</f>
        <v>0</v>
      </c>
      <c r="L32" s="50" t="n">
        <f aca="false">'Form 1 Daily'!AA1043</f>
        <v>0</v>
      </c>
      <c r="M32" s="50" t="n">
        <f aca="false">'Form 1 Daily'!AI1043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AM10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39" min="2" style="0" width="2.3"/>
    <col collapsed="false" customWidth="true" hidden="false" outlineLevel="0" max="40" min="40" style="0" width="1.2"/>
  </cols>
  <sheetData>
    <row r="1" customFormat="false" ht="7.5" hidden="false" customHeight="true" outlineLevel="0" collapsed="false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customFormat="false" ht="19.5" hidden="false" customHeight="true" outlineLevel="0" collapsed="false">
      <c r="B2" s="1"/>
      <c r="C2" s="51" t="s">
        <v>78</v>
      </c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1"/>
      <c r="AC2" s="1"/>
      <c r="AD2" s="1"/>
      <c r="AE2" s="52" t="s">
        <v>79</v>
      </c>
      <c r="AF2" s="52"/>
      <c r="AG2" s="52"/>
      <c r="AH2" s="52"/>
      <c r="AI2" s="52"/>
      <c r="AJ2" s="52"/>
      <c r="AK2" s="52"/>
      <c r="AL2" s="1"/>
      <c r="AM2" s="1"/>
    </row>
    <row r="3" customFormat="false" ht="30" hidden="false" customHeight="true" outlineLevel="0" collapsed="false">
      <c r="B3" s="1"/>
      <c r="C3" s="53" t="s">
        <v>80</v>
      </c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4" t="s">
        <v>81</v>
      </c>
      <c r="AC3" s="54"/>
      <c r="AD3" s="54"/>
      <c r="AE3" s="54"/>
      <c r="AF3" s="54"/>
      <c r="AG3" s="54"/>
      <c r="AH3" s="54"/>
      <c r="AI3" s="54"/>
      <c r="AJ3" s="54"/>
      <c r="AK3" s="54"/>
      <c r="AL3" s="1"/>
      <c r="AM3" s="1"/>
    </row>
    <row r="4" customFormat="false" ht="15.75" hidden="false" customHeight="true" outlineLevel="0" collapsed="false">
      <c r="B4" s="1"/>
      <c r="C4" s="55" t="s">
        <v>82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customFormat="false" ht="9.75" hidden="false" customHeight="true" outlineLevel="0" collapsed="false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customFormat="false" ht="3.75" hidden="false" customHeight="true" outlineLevel="0" collapsed="false"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</row>
    <row r="7" customFormat="false" ht="7.5" hidden="false" customHeight="true" outlineLevel="0" collapsed="false"/>
    <row r="8" customFormat="false" ht="13.5" hidden="false" customHeight="true" outlineLevel="0" collapsed="false">
      <c r="B8" s="56" t="s">
        <v>83</v>
      </c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P8" s="56" t="s">
        <v>84</v>
      </c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C8" s="56" t="s">
        <v>85</v>
      </c>
      <c r="AD8" s="56"/>
      <c r="AE8" s="56"/>
      <c r="AF8" s="56"/>
      <c r="AG8" s="56"/>
      <c r="AH8" s="56"/>
      <c r="AI8" s="56"/>
      <c r="AJ8" s="56"/>
      <c r="AK8" s="56"/>
      <c r="AL8" s="56"/>
      <c r="AM8" s="56"/>
    </row>
    <row r="9" customFormat="false" ht="21.75" hidden="false" customHeight="true" outlineLevel="0" collapsed="false">
      <c r="B9" s="57" t="str">
        <f aca="false">Dashboard!$C$6</f>
        <v>Bindhya TB</v>
      </c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P9" s="57" t="str">
        <f aca="false">Dashboard!$C$7</f>
        <v>Tourism &amp; Business</v>
      </c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C9" s="58" t="n">
        <f aca="false">Cal!A2</f>
        <v>46296</v>
      </c>
      <c r="AD9" s="58"/>
      <c r="AE9" s="58"/>
      <c r="AF9" s="58"/>
      <c r="AG9" s="58"/>
      <c r="AH9" s="58"/>
      <c r="AI9" s="58"/>
      <c r="AJ9" s="58"/>
      <c r="AK9" s="58"/>
      <c r="AL9" s="58"/>
      <c r="AM9" s="58"/>
    </row>
    <row r="10" customFormat="false" ht="9.75" hidden="false" customHeight="true" outlineLevel="0" collapsed="false"/>
    <row r="11" customFormat="false" ht="21.75" hidden="false" customHeight="true" outlineLevel="0" collapsed="false">
      <c r="B11" s="6"/>
      <c r="C11" s="19" t="s">
        <v>86</v>
      </c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59" t="s">
        <v>87</v>
      </c>
      <c r="Q11" s="59"/>
      <c r="R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  <c r="AF11" s="59"/>
      <c r="AG11" s="59"/>
      <c r="AH11" s="59"/>
      <c r="AI11" s="59"/>
      <c r="AJ11" s="59"/>
      <c r="AK11" s="59"/>
      <c r="AL11" s="59"/>
      <c r="AM11" s="59"/>
    </row>
    <row r="12" customFormat="false" ht="19.5" hidden="false" customHeight="true" outlineLevel="0" collapsed="false">
      <c r="B12" s="60"/>
      <c r="C12" s="61" t="n">
        <v>1</v>
      </c>
      <c r="D12" s="62" t="s">
        <v>88</v>
      </c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62"/>
      <c r="S12" s="62"/>
      <c r="T12" s="62"/>
      <c r="V12" s="60"/>
      <c r="W12" s="61" t="n">
        <v>2</v>
      </c>
      <c r="X12" s="62" t="s">
        <v>89</v>
      </c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  <c r="AL12" s="62"/>
      <c r="AM12" s="62"/>
    </row>
    <row r="13" customFormat="false" ht="49.5" hidden="false" customHeight="true" outlineLevel="0" collapsed="false">
      <c r="B13" s="63"/>
      <c r="C13" s="64" t="n">
        <v>4</v>
      </c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5"/>
      <c r="V13" s="63"/>
      <c r="W13" s="66" t="s">
        <v>90</v>
      </c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5"/>
    </row>
    <row r="14" customFormat="false" ht="6" hidden="false" customHeight="true" outlineLevel="0" collapsed="false">
      <c r="B14" s="67"/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9"/>
      <c r="V14" s="67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9"/>
    </row>
    <row r="15" customFormat="false" ht="9.75" hidden="false" customHeight="true" outlineLevel="0" collapsed="false"/>
    <row r="16" customFormat="false" ht="21.75" hidden="false" customHeight="true" outlineLevel="0" collapsed="false">
      <c r="B16" s="6"/>
      <c r="C16" s="19" t="s">
        <v>91</v>
      </c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59" t="s">
        <v>92</v>
      </c>
      <c r="W16" s="59"/>
      <c r="X16" s="59"/>
      <c r="Y16" s="59"/>
      <c r="Z16" s="59"/>
      <c r="AA16" s="59"/>
      <c r="AB16" s="59"/>
      <c r="AC16" s="59"/>
      <c r="AD16" s="59"/>
      <c r="AE16" s="59"/>
      <c r="AF16" s="59"/>
      <c r="AG16" s="59"/>
      <c r="AH16" s="59"/>
      <c r="AI16" s="59"/>
      <c r="AJ16" s="59"/>
      <c r="AK16" s="59"/>
      <c r="AL16" s="59"/>
      <c r="AM16" s="59"/>
    </row>
    <row r="17" customFormat="false" ht="27.75" hidden="false" customHeight="true" outlineLevel="0" collapsed="false">
      <c r="B17" s="60"/>
      <c r="C17" s="61" t="n">
        <v>3</v>
      </c>
      <c r="D17" s="62" t="s">
        <v>93</v>
      </c>
      <c r="E17" s="62"/>
      <c r="F17" s="62"/>
      <c r="G17" s="62"/>
      <c r="H17" s="62"/>
      <c r="I17" s="62"/>
      <c r="J17" s="62"/>
      <c r="L17" s="60"/>
      <c r="M17" s="61" t="n">
        <v>4</v>
      </c>
      <c r="N17" s="62" t="s">
        <v>94</v>
      </c>
      <c r="O17" s="62"/>
      <c r="P17" s="62"/>
      <c r="Q17" s="62"/>
      <c r="R17" s="62"/>
      <c r="S17" s="62"/>
      <c r="T17" s="62"/>
      <c r="V17" s="60"/>
      <c r="W17" s="61" t="n">
        <v>5</v>
      </c>
      <c r="X17" s="62" t="s">
        <v>95</v>
      </c>
      <c r="Y17" s="62"/>
      <c r="Z17" s="62"/>
      <c r="AA17" s="62"/>
      <c r="AB17" s="62"/>
      <c r="AC17" s="62"/>
      <c r="AD17" s="62"/>
      <c r="AF17" s="60"/>
      <c r="AG17" s="61" t="n">
        <v>6</v>
      </c>
      <c r="AH17" s="62" t="s">
        <v>96</v>
      </c>
      <c r="AI17" s="62"/>
      <c r="AJ17" s="62"/>
      <c r="AK17" s="62"/>
      <c r="AL17" s="62"/>
      <c r="AM17" s="62"/>
    </row>
    <row r="18" customFormat="false" ht="25.5" hidden="false" customHeight="true" outlineLevel="0" collapsed="false">
      <c r="B18" s="63"/>
      <c r="C18" s="64" t="n">
        <v>2</v>
      </c>
      <c r="D18" s="64"/>
      <c r="E18" s="64"/>
      <c r="F18" s="64"/>
      <c r="G18" s="64"/>
      <c r="H18" s="64"/>
      <c r="I18" s="64"/>
      <c r="J18" s="65"/>
      <c r="L18" s="63"/>
      <c r="M18" s="64" t="n">
        <v>1</v>
      </c>
      <c r="N18" s="64"/>
      <c r="O18" s="64"/>
      <c r="P18" s="64"/>
      <c r="Q18" s="64"/>
      <c r="R18" s="64"/>
      <c r="S18" s="64"/>
      <c r="T18" s="65"/>
      <c r="V18" s="63"/>
      <c r="W18" s="70" t="s">
        <v>97</v>
      </c>
      <c r="X18" s="70"/>
      <c r="Y18" s="70"/>
      <c r="Z18" s="70"/>
      <c r="AA18" s="70"/>
      <c r="AB18" s="70"/>
      <c r="AC18" s="70"/>
      <c r="AD18" s="65"/>
      <c r="AF18" s="63"/>
      <c r="AG18" s="64" t="n">
        <v>0</v>
      </c>
      <c r="AH18" s="64"/>
      <c r="AI18" s="64"/>
      <c r="AJ18" s="64"/>
      <c r="AK18" s="64"/>
      <c r="AL18" s="64"/>
      <c r="AM18" s="65"/>
    </row>
    <row r="19" customFormat="false" ht="6" hidden="false" customHeight="true" outlineLevel="0" collapsed="false">
      <c r="B19" s="67"/>
      <c r="C19" s="68"/>
      <c r="D19" s="68"/>
      <c r="E19" s="68"/>
      <c r="F19" s="68"/>
      <c r="G19" s="68"/>
      <c r="H19" s="68"/>
      <c r="I19" s="68"/>
      <c r="J19" s="69"/>
      <c r="L19" s="67"/>
      <c r="M19" s="68"/>
      <c r="N19" s="68"/>
      <c r="O19" s="68"/>
      <c r="P19" s="68"/>
      <c r="Q19" s="68"/>
      <c r="R19" s="68"/>
      <c r="S19" s="68"/>
      <c r="T19" s="69"/>
      <c r="V19" s="67"/>
      <c r="W19" s="68"/>
      <c r="X19" s="68"/>
      <c r="Y19" s="68"/>
      <c r="Z19" s="68"/>
      <c r="AA19" s="68"/>
      <c r="AB19" s="68"/>
      <c r="AC19" s="68"/>
      <c r="AD19" s="69"/>
      <c r="AF19" s="67"/>
      <c r="AG19" s="68"/>
      <c r="AH19" s="68"/>
      <c r="AI19" s="68"/>
      <c r="AJ19" s="68"/>
      <c r="AK19" s="68"/>
      <c r="AL19" s="68"/>
      <c r="AM19" s="69"/>
    </row>
    <row r="20" customFormat="false" ht="9.75" hidden="false" customHeight="true" outlineLevel="0" collapsed="false"/>
    <row r="21" customFormat="false" ht="21.75" hidden="false" customHeight="true" outlineLevel="0" collapsed="false">
      <c r="B21" s="6"/>
      <c r="C21" s="19" t="s">
        <v>98</v>
      </c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59" t="s">
        <v>99</v>
      </c>
      <c r="W21" s="59"/>
      <c r="X21" s="59"/>
      <c r="Y21" s="59"/>
      <c r="Z21" s="59"/>
      <c r="AA21" s="59"/>
      <c r="AB21" s="59"/>
      <c r="AC21" s="59"/>
      <c r="AD21" s="59"/>
      <c r="AE21" s="59"/>
      <c r="AF21" s="59"/>
      <c r="AG21" s="59"/>
      <c r="AH21" s="59"/>
      <c r="AI21" s="59"/>
      <c r="AJ21" s="59"/>
      <c r="AK21" s="59"/>
      <c r="AL21" s="59"/>
      <c r="AM21" s="59"/>
    </row>
    <row r="22" customFormat="false" ht="27.75" hidden="false" customHeight="true" outlineLevel="0" collapsed="false">
      <c r="B22" s="60"/>
      <c r="C22" s="61" t="n">
        <v>7</v>
      </c>
      <c r="D22" s="62" t="s">
        <v>100</v>
      </c>
      <c r="E22" s="62"/>
      <c r="F22" s="62"/>
      <c r="G22" s="62"/>
      <c r="H22" s="62"/>
      <c r="J22" s="60"/>
      <c r="K22" s="61" t="n">
        <v>8</v>
      </c>
      <c r="L22" s="62" t="s">
        <v>101</v>
      </c>
      <c r="M22" s="62"/>
      <c r="N22" s="62"/>
      <c r="O22" s="62"/>
      <c r="P22" s="62"/>
      <c r="R22" s="60"/>
      <c r="S22" s="61" t="n">
        <v>9</v>
      </c>
      <c r="T22" s="62" t="s">
        <v>102</v>
      </c>
      <c r="U22" s="62"/>
      <c r="V22" s="62"/>
      <c r="W22" s="62"/>
      <c r="X22" s="62"/>
      <c r="Z22" s="60"/>
      <c r="AA22" s="61" t="n">
        <v>10</v>
      </c>
      <c r="AB22" s="62" t="s">
        <v>103</v>
      </c>
      <c r="AC22" s="62"/>
      <c r="AD22" s="62"/>
      <c r="AE22" s="62"/>
      <c r="AF22" s="62"/>
      <c r="AH22" s="60"/>
      <c r="AI22" s="61" t="n">
        <v>11</v>
      </c>
      <c r="AJ22" s="62" t="s">
        <v>104</v>
      </c>
      <c r="AK22" s="62"/>
      <c r="AL22" s="62"/>
      <c r="AM22" s="62"/>
    </row>
    <row r="23" customFormat="false" ht="25.5" hidden="false" customHeight="true" outlineLevel="0" collapsed="false">
      <c r="B23" s="63"/>
      <c r="C23" s="64" t="n">
        <v>12</v>
      </c>
      <c r="D23" s="64"/>
      <c r="E23" s="64"/>
      <c r="F23" s="64"/>
      <c r="G23" s="64"/>
      <c r="H23" s="65"/>
      <c r="J23" s="63"/>
      <c r="K23" s="64" t="n">
        <v>0</v>
      </c>
      <c r="L23" s="64"/>
      <c r="M23" s="64"/>
      <c r="N23" s="64"/>
      <c r="O23" s="64"/>
      <c r="P23" s="65"/>
      <c r="R23" s="63"/>
      <c r="S23" s="64" t="n">
        <v>0</v>
      </c>
      <c r="T23" s="64"/>
      <c r="U23" s="64"/>
      <c r="V23" s="64"/>
      <c r="W23" s="64"/>
      <c r="X23" s="65"/>
      <c r="Z23" s="63"/>
      <c r="AA23" s="64" t="n">
        <v>0</v>
      </c>
      <c r="AB23" s="64"/>
      <c r="AC23" s="64"/>
      <c r="AD23" s="64"/>
      <c r="AE23" s="64"/>
      <c r="AF23" s="65"/>
      <c r="AH23" s="63"/>
      <c r="AI23" s="71" t="n">
        <v>1</v>
      </c>
      <c r="AJ23" s="71"/>
      <c r="AK23" s="71"/>
      <c r="AL23" s="71"/>
      <c r="AM23" s="65"/>
    </row>
    <row r="24" customFormat="false" ht="6" hidden="false" customHeight="true" outlineLevel="0" collapsed="false">
      <c r="B24" s="67"/>
      <c r="C24" s="68"/>
      <c r="D24" s="68"/>
      <c r="E24" s="68"/>
      <c r="F24" s="68"/>
      <c r="G24" s="68"/>
      <c r="H24" s="69"/>
      <c r="J24" s="67"/>
      <c r="K24" s="68"/>
      <c r="L24" s="68"/>
      <c r="M24" s="68"/>
      <c r="N24" s="68"/>
      <c r="O24" s="68"/>
      <c r="P24" s="69"/>
      <c r="R24" s="67"/>
      <c r="S24" s="68"/>
      <c r="T24" s="68"/>
      <c r="U24" s="68"/>
      <c r="V24" s="68"/>
      <c r="W24" s="68"/>
      <c r="X24" s="69"/>
      <c r="Z24" s="67"/>
      <c r="AA24" s="68"/>
      <c r="AB24" s="68"/>
      <c r="AC24" s="68"/>
      <c r="AD24" s="68"/>
      <c r="AE24" s="68"/>
      <c r="AF24" s="69"/>
      <c r="AH24" s="67"/>
      <c r="AI24" s="68"/>
      <c r="AJ24" s="68"/>
      <c r="AK24" s="68"/>
      <c r="AL24" s="68"/>
      <c r="AM24" s="69"/>
    </row>
    <row r="25" customFormat="false" ht="9.75" hidden="false" customHeight="true" outlineLevel="0" collapsed="false"/>
    <row r="26" customFormat="false" ht="21.75" hidden="false" customHeight="true" outlineLevel="0" collapsed="false">
      <c r="B26" s="6"/>
      <c r="C26" s="19" t="s">
        <v>105</v>
      </c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59" t="s">
        <v>106</v>
      </c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  <c r="AF26" s="59"/>
      <c r="AG26" s="59"/>
      <c r="AH26" s="59"/>
      <c r="AI26" s="59"/>
      <c r="AJ26" s="59"/>
      <c r="AK26" s="59"/>
      <c r="AL26" s="59"/>
      <c r="AM26" s="59"/>
    </row>
    <row r="27" customFormat="false" ht="24" hidden="false" customHeight="true" outlineLevel="0" collapsed="false"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  <c r="AL27" s="72"/>
      <c r="AM27" s="72"/>
    </row>
    <row r="28" customFormat="false" ht="24" hidden="false" customHeight="true" outlineLevel="0" collapsed="false"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  <c r="AA28" s="72"/>
      <c r="AB28" s="72"/>
      <c r="AC28" s="72"/>
      <c r="AD28" s="72"/>
      <c r="AE28" s="72"/>
      <c r="AF28" s="72"/>
      <c r="AG28" s="72"/>
      <c r="AH28" s="72"/>
      <c r="AI28" s="72"/>
      <c r="AJ28" s="72"/>
      <c r="AK28" s="72"/>
      <c r="AL28" s="72"/>
      <c r="AM28" s="72"/>
    </row>
    <row r="29" customFormat="false" ht="24" hidden="false" customHeight="true" outlineLevel="0" collapsed="false"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  <c r="AA29" s="72"/>
      <c r="AB29" s="72"/>
      <c r="AC29" s="72"/>
      <c r="AD29" s="72"/>
      <c r="AE29" s="72"/>
      <c r="AF29" s="72"/>
      <c r="AG29" s="72"/>
      <c r="AH29" s="72"/>
      <c r="AI29" s="72"/>
      <c r="AJ29" s="72"/>
      <c r="AK29" s="72"/>
      <c r="AL29" s="72"/>
      <c r="AM29" s="72"/>
    </row>
    <row r="30" customFormat="false" ht="295.5" hidden="false" customHeight="true" outlineLevel="0" collapsed="false"/>
    <row r="31" customFormat="false" ht="6" hidden="false" customHeight="true" outlineLevel="0" collapsed="false"/>
    <row r="32" customFormat="false" ht="19.5" hidden="false" customHeight="true" outlineLevel="0" collapsed="false">
      <c r="B32" s="73" t="s">
        <v>107</v>
      </c>
      <c r="C32" s="73"/>
      <c r="D32" s="73"/>
      <c r="E32" s="73"/>
      <c r="F32" s="73"/>
      <c r="G32" s="73"/>
      <c r="H32" s="73"/>
      <c r="I32" s="73"/>
      <c r="J32" s="73"/>
      <c r="K32" s="73"/>
      <c r="L32" s="74" t="s">
        <v>108</v>
      </c>
      <c r="M32" s="74"/>
      <c r="N32" s="74"/>
      <c r="O32" s="74"/>
      <c r="P32" s="74"/>
      <c r="Q32" s="74"/>
      <c r="R32" s="74"/>
      <c r="S32" s="74"/>
      <c r="U32" s="73" t="s">
        <v>109</v>
      </c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4" t="s">
        <v>108</v>
      </c>
      <c r="AG32" s="74"/>
      <c r="AH32" s="74"/>
      <c r="AI32" s="74"/>
      <c r="AJ32" s="74"/>
      <c r="AK32" s="74"/>
      <c r="AL32" s="74"/>
      <c r="AM32" s="74"/>
    </row>
    <row r="33" customFormat="false" ht="9.75" hidden="false" customHeight="true" outlineLevel="0" collapsed="false"/>
    <row r="34" customFormat="false" ht="18" hidden="false" customHeight="true" outlineLevel="0" collapsed="false">
      <c r="B34" s="75" t="s">
        <v>110</v>
      </c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6" t="s">
        <v>111</v>
      </c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6"/>
      <c r="AF34" s="76"/>
      <c r="AG34" s="76"/>
      <c r="AH34" s="76"/>
      <c r="AI34" s="76"/>
      <c r="AJ34" s="76"/>
      <c r="AK34" s="76"/>
      <c r="AL34" s="76"/>
      <c r="AM34" s="76"/>
    </row>
    <row r="35" customFormat="false" ht="7.5" hidden="false" customHeight="true" outlineLevel="0" collapsed="false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customFormat="false" ht="19.5" hidden="false" customHeight="true" outlineLevel="0" collapsed="false">
      <c r="B36" s="1"/>
      <c r="C36" s="51" t="s">
        <v>78</v>
      </c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  <c r="AA36" s="51"/>
      <c r="AB36" s="1"/>
      <c r="AC36" s="1"/>
      <c r="AD36" s="1"/>
      <c r="AE36" s="52" t="s">
        <v>79</v>
      </c>
      <c r="AF36" s="52"/>
      <c r="AG36" s="52"/>
      <c r="AH36" s="52"/>
      <c r="AI36" s="52"/>
      <c r="AJ36" s="52"/>
      <c r="AK36" s="52"/>
      <c r="AL36" s="1"/>
      <c r="AM36" s="1"/>
    </row>
    <row r="37" customFormat="false" ht="30" hidden="false" customHeight="true" outlineLevel="0" collapsed="false">
      <c r="B37" s="1"/>
      <c r="C37" s="53" t="s">
        <v>80</v>
      </c>
      <c r="D37" s="53"/>
      <c r="E37" s="53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  <c r="AB37" s="54" t="s">
        <v>81</v>
      </c>
      <c r="AC37" s="54"/>
      <c r="AD37" s="54"/>
      <c r="AE37" s="54"/>
      <c r="AF37" s="54"/>
      <c r="AG37" s="54"/>
      <c r="AH37" s="54"/>
      <c r="AI37" s="54"/>
      <c r="AJ37" s="54"/>
      <c r="AK37" s="54"/>
      <c r="AL37" s="1"/>
      <c r="AM37" s="1"/>
    </row>
    <row r="38" customFormat="false" ht="15.75" hidden="false" customHeight="true" outlineLevel="0" collapsed="false">
      <c r="B38" s="1"/>
      <c r="C38" s="55" t="s">
        <v>82</v>
      </c>
      <c r="D38" s="55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customFormat="false" ht="9.75" hidden="false" customHeight="true" outlineLevel="0" collapsed="false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  <row r="40" customFormat="false" ht="3.75" hidden="false" customHeight="true" outlineLevel="0" collapsed="false"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</row>
    <row r="41" customFormat="false" ht="7.5" hidden="false" customHeight="true" outlineLevel="0" collapsed="false"/>
    <row r="42" customFormat="false" ht="13.5" hidden="false" customHeight="true" outlineLevel="0" collapsed="false">
      <c r="B42" s="56" t="s">
        <v>83</v>
      </c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P42" s="56" t="s">
        <v>84</v>
      </c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  <c r="AC42" s="56" t="s">
        <v>85</v>
      </c>
      <c r="AD42" s="56"/>
      <c r="AE42" s="56"/>
      <c r="AF42" s="56"/>
      <c r="AG42" s="56"/>
      <c r="AH42" s="56"/>
      <c r="AI42" s="56"/>
      <c r="AJ42" s="56"/>
      <c r="AK42" s="56"/>
      <c r="AL42" s="56"/>
      <c r="AM42" s="56"/>
    </row>
    <row r="43" customFormat="false" ht="21.75" hidden="false" customHeight="true" outlineLevel="0" collapsed="false">
      <c r="B43" s="57" t="str">
        <f aca="false">Dashboard!$C$6</f>
        <v>Bindhya TB</v>
      </c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P43" s="57" t="str">
        <f aca="false">Dashboard!$C$7</f>
        <v>Tourism &amp; Business</v>
      </c>
      <c r="Q43" s="57"/>
      <c r="R43" s="57"/>
      <c r="S43" s="57"/>
      <c r="T43" s="57"/>
      <c r="U43" s="57"/>
      <c r="V43" s="57"/>
      <c r="W43" s="57"/>
      <c r="X43" s="57"/>
      <c r="Y43" s="57"/>
      <c r="Z43" s="57"/>
      <c r="AA43" s="57"/>
      <c r="AC43" s="58" t="n">
        <f aca="false">Cal!A3</f>
        <v>46297</v>
      </c>
      <c r="AD43" s="58"/>
      <c r="AE43" s="58"/>
      <c r="AF43" s="58"/>
      <c r="AG43" s="58"/>
      <c r="AH43" s="58"/>
      <c r="AI43" s="58"/>
      <c r="AJ43" s="58"/>
      <c r="AK43" s="58"/>
      <c r="AL43" s="58"/>
      <c r="AM43" s="58"/>
    </row>
    <row r="44" customFormat="false" ht="9.75" hidden="false" customHeight="true" outlineLevel="0" collapsed="false"/>
    <row r="45" customFormat="false" ht="21.75" hidden="false" customHeight="true" outlineLevel="0" collapsed="false">
      <c r="B45" s="6"/>
      <c r="C45" s="19" t="s">
        <v>86</v>
      </c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59" t="s">
        <v>87</v>
      </c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59"/>
      <c r="AH45" s="59"/>
      <c r="AI45" s="59"/>
      <c r="AJ45" s="59"/>
      <c r="AK45" s="59"/>
      <c r="AL45" s="59"/>
      <c r="AM45" s="59"/>
    </row>
    <row r="46" customFormat="false" ht="19.5" hidden="false" customHeight="true" outlineLevel="0" collapsed="false">
      <c r="B46" s="60"/>
      <c r="C46" s="61" t="n">
        <v>1</v>
      </c>
      <c r="D46" s="62" t="s">
        <v>88</v>
      </c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V46" s="60"/>
      <c r="W46" s="61" t="n">
        <v>2</v>
      </c>
      <c r="X46" s="62" t="s">
        <v>89</v>
      </c>
      <c r="Y46" s="62"/>
      <c r="Z46" s="62"/>
      <c r="AA46" s="62"/>
      <c r="AB46" s="62"/>
      <c r="AC46" s="62"/>
      <c r="AD46" s="62"/>
      <c r="AE46" s="62"/>
      <c r="AF46" s="62"/>
      <c r="AG46" s="62"/>
      <c r="AH46" s="62"/>
      <c r="AI46" s="62"/>
      <c r="AJ46" s="62"/>
      <c r="AK46" s="62"/>
      <c r="AL46" s="62"/>
      <c r="AM46" s="62"/>
    </row>
    <row r="47" customFormat="false" ht="49.5" hidden="false" customHeight="true" outlineLevel="0" collapsed="false">
      <c r="B47" s="63"/>
      <c r="C47" s="64" t="n">
        <v>8</v>
      </c>
      <c r="D47" s="64"/>
      <c r="E47" s="64"/>
      <c r="F47" s="64"/>
      <c r="G47" s="64"/>
      <c r="H47" s="64"/>
      <c r="I47" s="64"/>
      <c r="J47" s="64"/>
      <c r="K47" s="64"/>
      <c r="L47" s="64"/>
      <c r="M47" s="64"/>
      <c r="N47" s="64"/>
      <c r="O47" s="64"/>
      <c r="P47" s="64"/>
      <c r="Q47" s="64"/>
      <c r="R47" s="64"/>
      <c r="S47" s="64"/>
      <c r="T47" s="65"/>
      <c r="V47" s="63"/>
      <c r="W47" s="77" t="s">
        <v>112</v>
      </c>
      <c r="X47" s="77"/>
      <c r="Y47" s="77"/>
      <c r="Z47" s="77"/>
      <c r="AA47" s="77"/>
      <c r="AB47" s="77"/>
      <c r="AC47" s="77"/>
      <c r="AD47" s="77"/>
      <c r="AE47" s="77"/>
      <c r="AF47" s="77"/>
      <c r="AG47" s="77"/>
      <c r="AH47" s="77"/>
      <c r="AI47" s="77"/>
      <c r="AJ47" s="77"/>
      <c r="AK47" s="77"/>
      <c r="AL47" s="77"/>
      <c r="AM47" s="65"/>
    </row>
    <row r="48" customFormat="false" ht="6" hidden="false" customHeight="true" outlineLevel="0" collapsed="false">
      <c r="B48" s="67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9"/>
      <c r="V48" s="67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9"/>
    </row>
    <row r="49" customFormat="false" ht="9.75" hidden="false" customHeight="true" outlineLevel="0" collapsed="false"/>
    <row r="50" customFormat="false" ht="21.75" hidden="false" customHeight="true" outlineLevel="0" collapsed="false">
      <c r="B50" s="6"/>
      <c r="C50" s="19" t="s">
        <v>91</v>
      </c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59" t="s">
        <v>92</v>
      </c>
      <c r="W50" s="59"/>
      <c r="X50" s="59"/>
      <c r="Y50" s="59"/>
      <c r="Z50" s="59"/>
      <c r="AA50" s="59"/>
      <c r="AB50" s="59"/>
      <c r="AC50" s="59"/>
      <c r="AD50" s="59"/>
      <c r="AE50" s="59"/>
      <c r="AF50" s="59"/>
      <c r="AG50" s="59"/>
      <c r="AH50" s="59"/>
      <c r="AI50" s="59"/>
      <c r="AJ50" s="59"/>
      <c r="AK50" s="59"/>
      <c r="AL50" s="59"/>
      <c r="AM50" s="59"/>
    </row>
    <row r="51" customFormat="false" ht="27.75" hidden="false" customHeight="true" outlineLevel="0" collapsed="false">
      <c r="B51" s="60"/>
      <c r="C51" s="61" t="n">
        <v>3</v>
      </c>
      <c r="D51" s="62" t="s">
        <v>93</v>
      </c>
      <c r="E51" s="62"/>
      <c r="F51" s="62"/>
      <c r="G51" s="62"/>
      <c r="H51" s="62"/>
      <c r="I51" s="62"/>
      <c r="J51" s="62"/>
      <c r="L51" s="60"/>
      <c r="M51" s="61" t="n">
        <v>4</v>
      </c>
      <c r="N51" s="62" t="s">
        <v>94</v>
      </c>
      <c r="O51" s="62"/>
      <c r="P51" s="62"/>
      <c r="Q51" s="62"/>
      <c r="R51" s="62"/>
      <c r="S51" s="62"/>
      <c r="T51" s="62"/>
      <c r="V51" s="60"/>
      <c r="W51" s="61" t="n">
        <v>5</v>
      </c>
      <c r="X51" s="62" t="s">
        <v>95</v>
      </c>
      <c r="Y51" s="62"/>
      <c r="Z51" s="62"/>
      <c r="AA51" s="62"/>
      <c r="AB51" s="62"/>
      <c r="AC51" s="62"/>
      <c r="AD51" s="62"/>
      <c r="AF51" s="60"/>
      <c r="AG51" s="61" t="n">
        <v>6</v>
      </c>
      <c r="AH51" s="62" t="s">
        <v>96</v>
      </c>
      <c r="AI51" s="62"/>
      <c r="AJ51" s="62"/>
      <c r="AK51" s="62"/>
      <c r="AL51" s="62"/>
      <c r="AM51" s="62"/>
    </row>
    <row r="52" customFormat="false" ht="25.5" hidden="false" customHeight="true" outlineLevel="0" collapsed="false">
      <c r="B52" s="63"/>
      <c r="C52" s="64" t="n">
        <v>2</v>
      </c>
      <c r="D52" s="64"/>
      <c r="E52" s="64"/>
      <c r="F52" s="64"/>
      <c r="G52" s="64"/>
      <c r="H52" s="64"/>
      <c r="I52" s="64"/>
      <c r="J52" s="65"/>
      <c r="L52" s="63"/>
      <c r="M52" s="64" t="n">
        <v>1</v>
      </c>
      <c r="N52" s="64"/>
      <c r="O52" s="64"/>
      <c r="P52" s="64"/>
      <c r="Q52" s="64"/>
      <c r="R52" s="64"/>
      <c r="S52" s="64"/>
      <c r="T52" s="65"/>
      <c r="V52" s="63"/>
      <c r="W52" s="70" t="s">
        <v>113</v>
      </c>
      <c r="X52" s="70"/>
      <c r="Y52" s="70"/>
      <c r="Z52" s="70"/>
      <c r="AA52" s="70"/>
      <c r="AB52" s="70"/>
      <c r="AC52" s="70"/>
      <c r="AD52" s="65"/>
      <c r="AF52" s="63"/>
      <c r="AG52" s="71"/>
      <c r="AH52" s="71"/>
      <c r="AI52" s="71"/>
      <c r="AJ52" s="71"/>
      <c r="AK52" s="71"/>
      <c r="AL52" s="71"/>
      <c r="AM52" s="65"/>
    </row>
    <row r="53" customFormat="false" ht="6" hidden="false" customHeight="true" outlineLevel="0" collapsed="false">
      <c r="B53" s="67"/>
      <c r="C53" s="68"/>
      <c r="D53" s="68"/>
      <c r="E53" s="68"/>
      <c r="F53" s="68"/>
      <c r="G53" s="68"/>
      <c r="H53" s="68"/>
      <c r="I53" s="68"/>
      <c r="J53" s="69"/>
      <c r="L53" s="67"/>
      <c r="M53" s="68"/>
      <c r="N53" s="68"/>
      <c r="O53" s="68"/>
      <c r="P53" s="68"/>
      <c r="Q53" s="68"/>
      <c r="R53" s="68"/>
      <c r="S53" s="68"/>
      <c r="T53" s="69"/>
      <c r="V53" s="67"/>
      <c r="W53" s="68"/>
      <c r="X53" s="68"/>
      <c r="Y53" s="68"/>
      <c r="Z53" s="68"/>
      <c r="AA53" s="68"/>
      <c r="AB53" s="68"/>
      <c r="AC53" s="68"/>
      <c r="AD53" s="69"/>
      <c r="AF53" s="67"/>
      <c r="AG53" s="68"/>
      <c r="AH53" s="68"/>
      <c r="AI53" s="68"/>
      <c r="AJ53" s="68"/>
      <c r="AK53" s="68"/>
      <c r="AL53" s="68"/>
      <c r="AM53" s="69"/>
    </row>
    <row r="54" customFormat="false" ht="9.75" hidden="false" customHeight="true" outlineLevel="0" collapsed="false"/>
    <row r="55" customFormat="false" ht="21.75" hidden="false" customHeight="true" outlineLevel="0" collapsed="false">
      <c r="B55" s="6"/>
      <c r="C55" s="19" t="s">
        <v>98</v>
      </c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59" t="s">
        <v>99</v>
      </c>
      <c r="W55" s="59"/>
      <c r="X55" s="59"/>
      <c r="Y55" s="59"/>
      <c r="Z55" s="59"/>
      <c r="AA55" s="59"/>
      <c r="AB55" s="59"/>
      <c r="AC55" s="59"/>
      <c r="AD55" s="59"/>
      <c r="AE55" s="59"/>
      <c r="AF55" s="59"/>
      <c r="AG55" s="59"/>
      <c r="AH55" s="59"/>
      <c r="AI55" s="59"/>
      <c r="AJ55" s="59"/>
      <c r="AK55" s="59"/>
      <c r="AL55" s="59"/>
      <c r="AM55" s="59"/>
    </row>
    <row r="56" customFormat="false" ht="27.75" hidden="false" customHeight="true" outlineLevel="0" collapsed="false">
      <c r="B56" s="60"/>
      <c r="C56" s="61" t="n">
        <v>7</v>
      </c>
      <c r="D56" s="62" t="s">
        <v>100</v>
      </c>
      <c r="E56" s="62"/>
      <c r="F56" s="62"/>
      <c r="G56" s="62"/>
      <c r="H56" s="62"/>
      <c r="J56" s="60"/>
      <c r="K56" s="61" t="n">
        <v>8</v>
      </c>
      <c r="L56" s="62" t="s">
        <v>101</v>
      </c>
      <c r="M56" s="62"/>
      <c r="N56" s="62"/>
      <c r="O56" s="62"/>
      <c r="P56" s="62"/>
      <c r="R56" s="60"/>
      <c r="S56" s="61" t="n">
        <v>9</v>
      </c>
      <c r="T56" s="62" t="s">
        <v>102</v>
      </c>
      <c r="U56" s="62"/>
      <c r="V56" s="62"/>
      <c r="W56" s="62"/>
      <c r="X56" s="62"/>
      <c r="Z56" s="60"/>
      <c r="AA56" s="61" t="n">
        <v>10</v>
      </c>
      <c r="AB56" s="62" t="s">
        <v>103</v>
      </c>
      <c r="AC56" s="62"/>
      <c r="AD56" s="62"/>
      <c r="AE56" s="62"/>
      <c r="AF56" s="62"/>
      <c r="AH56" s="60"/>
      <c r="AI56" s="61" t="n">
        <v>11</v>
      </c>
      <c r="AJ56" s="62" t="s">
        <v>104</v>
      </c>
      <c r="AK56" s="62"/>
      <c r="AL56" s="62"/>
      <c r="AM56" s="62"/>
    </row>
    <row r="57" customFormat="false" ht="25.5" hidden="false" customHeight="true" outlineLevel="0" collapsed="false">
      <c r="B57" s="63"/>
      <c r="C57" s="64" t="n">
        <v>9</v>
      </c>
      <c r="D57" s="64"/>
      <c r="E57" s="64"/>
      <c r="F57" s="64"/>
      <c r="G57" s="64"/>
      <c r="H57" s="65"/>
      <c r="J57" s="63"/>
      <c r="K57" s="64" t="n">
        <v>0</v>
      </c>
      <c r="L57" s="64"/>
      <c r="M57" s="64"/>
      <c r="N57" s="64"/>
      <c r="O57" s="64"/>
      <c r="P57" s="65"/>
      <c r="R57" s="63"/>
      <c r="S57" s="64" t="n">
        <v>0</v>
      </c>
      <c r="T57" s="64"/>
      <c r="U57" s="64"/>
      <c r="V57" s="64"/>
      <c r="W57" s="64"/>
      <c r="X57" s="65"/>
      <c r="Z57" s="63"/>
      <c r="AA57" s="64" t="n">
        <v>0</v>
      </c>
      <c r="AB57" s="64"/>
      <c r="AC57" s="64"/>
      <c r="AD57" s="64"/>
      <c r="AE57" s="64"/>
      <c r="AF57" s="65"/>
      <c r="AH57" s="63"/>
      <c r="AI57" s="64" t="n">
        <v>0</v>
      </c>
      <c r="AJ57" s="64"/>
      <c r="AK57" s="64"/>
      <c r="AL57" s="64"/>
      <c r="AM57" s="65"/>
    </row>
    <row r="58" customFormat="false" ht="6" hidden="false" customHeight="true" outlineLevel="0" collapsed="false">
      <c r="B58" s="67"/>
      <c r="C58" s="68"/>
      <c r="D58" s="68"/>
      <c r="E58" s="68"/>
      <c r="F58" s="68"/>
      <c r="G58" s="68"/>
      <c r="H58" s="69"/>
      <c r="J58" s="67"/>
      <c r="K58" s="68"/>
      <c r="L58" s="68"/>
      <c r="M58" s="68"/>
      <c r="N58" s="68"/>
      <c r="O58" s="68"/>
      <c r="P58" s="69"/>
      <c r="R58" s="67"/>
      <c r="S58" s="68"/>
      <c r="T58" s="68"/>
      <c r="U58" s="68"/>
      <c r="V58" s="68"/>
      <c r="W58" s="68"/>
      <c r="X58" s="69"/>
      <c r="Z58" s="67"/>
      <c r="AA58" s="68"/>
      <c r="AB58" s="68"/>
      <c r="AC58" s="68"/>
      <c r="AD58" s="68"/>
      <c r="AE58" s="68"/>
      <c r="AF58" s="69"/>
      <c r="AH58" s="67"/>
      <c r="AI58" s="68"/>
      <c r="AJ58" s="68"/>
      <c r="AK58" s="68"/>
      <c r="AL58" s="68"/>
      <c r="AM58" s="69"/>
    </row>
    <row r="59" customFormat="false" ht="9.75" hidden="false" customHeight="true" outlineLevel="0" collapsed="false"/>
    <row r="60" customFormat="false" ht="21.75" hidden="false" customHeight="true" outlineLevel="0" collapsed="false">
      <c r="B60" s="6"/>
      <c r="C60" s="19" t="s">
        <v>105</v>
      </c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59" t="s">
        <v>106</v>
      </c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  <c r="AF60" s="59"/>
      <c r="AG60" s="59"/>
      <c r="AH60" s="59"/>
      <c r="AI60" s="59"/>
      <c r="AJ60" s="59"/>
      <c r="AK60" s="59"/>
      <c r="AL60" s="59"/>
      <c r="AM60" s="59"/>
    </row>
    <row r="61" customFormat="false" ht="24" hidden="false" customHeight="true" outlineLevel="0" collapsed="false"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  <c r="AA61" s="72"/>
      <c r="AB61" s="72"/>
      <c r="AC61" s="72"/>
      <c r="AD61" s="72"/>
      <c r="AE61" s="72"/>
      <c r="AF61" s="72"/>
      <c r="AG61" s="72"/>
      <c r="AH61" s="72"/>
      <c r="AI61" s="72"/>
      <c r="AJ61" s="72"/>
      <c r="AK61" s="72"/>
      <c r="AL61" s="72"/>
      <c r="AM61" s="72"/>
    </row>
    <row r="62" customFormat="false" ht="24" hidden="false" customHeight="true" outlineLevel="0" collapsed="false"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  <c r="AL62" s="72"/>
      <c r="AM62" s="72"/>
    </row>
    <row r="63" customFormat="false" ht="24" hidden="false" customHeight="true" outlineLevel="0" collapsed="false"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  <c r="AA63" s="72"/>
      <c r="AB63" s="72"/>
      <c r="AC63" s="72"/>
      <c r="AD63" s="72"/>
      <c r="AE63" s="72"/>
      <c r="AF63" s="72"/>
      <c r="AG63" s="72"/>
      <c r="AH63" s="72"/>
      <c r="AI63" s="72"/>
      <c r="AJ63" s="72"/>
      <c r="AK63" s="72"/>
      <c r="AL63" s="72"/>
      <c r="AM63" s="72"/>
    </row>
    <row r="64" customFormat="false" ht="295.5" hidden="false" customHeight="true" outlineLevel="0" collapsed="false"/>
    <row r="65" customFormat="false" ht="6" hidden="false" customHeight="true" outlineLevel="0" collapsed="false"/>
    <row r="66" customFormat="false" ht="19.5" hidden="false" customHeight="true" outlineLevel="0" collapsed="false">
      <c r="B66" s="73" t="s">
        <v>107</v>
      </c>
      <c r="C66" s="73"/>
      <c r="D66" s="73"/>
      <c r="E66" s="73"/>
      <c r="F66" s="73"/>
      <c r="G66" s="73"/>
      <c r="H66" s="73"/>
      <c r="I66" s="73"/>
      <c r="J66" s="73"/>
      <c r="K66" s="73"/>
      <c r="L66" s="74" t="s">
        <v>108</v>
      </c>
      <c r="M66" s="74"/>
      <c r="N66" s="74"/>
      <c r="O66" s="74"/>
      <c r="P66" s="74"/>
      <c r="Q66" s="74"/>
      <c r="R66" s="74"/>
      <c r="S66" s="74"/>
      <c r="U66" s="73" t="s">
        <v>109</v>
      </c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4" t="s">
        <v>108</v>
      </c>
      <c r="AG66" s="74"/>
      <c r="AH66" s="74"/>
      <c r="AI66" s="74"/>
      <c r="AJ66" s="74"/>
      <c r="AK66" s="74"/>
      <c r="AL66" s="74"/>
      <c r="AM66" s="74"/>
    </row>
    <row r="67" customFormat="false" ht="9.75" hidden="false" customHeight="true" outlineLevel="0" collapsed="false"/>
    <row r="68" customFormat="false" ht="18" hidden="false" customHeight="true" outlineLevel="0" collapsed="false">
      <c r="B68" s="75" t="s">
        <v>110</v>
      </c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6" t="s">
        <v>111</v>
      </c>
      <c r="U68" s="76"/>
      <c r="V68" s="76"/>
      <c r="W68" s="76"/>
      <c r="X68" s="76"/>
      <c r="Y68" s="76"/>
      <c r="Z68" s="76"/>
      <c r="AA68" s="76"/>
      <c r="AB68" s="76"/>
      <c r="AC68" s="76"/>
      <c r="AD68" s="76"/>
      <c r="AE68" s="76"/>
      <c r="AF68" s="76"/>
      <c r="AG68" s="76"/>
      <c r="AH68" s="76"/>
      <c r="AI68" s="76"/>
      <c r="AJ68" s="76"/>
      <c r="AK68" s="76"/>
      <c r="AL68" s="76"/>
      <c r="AM68" s="76"/>
    </row>
    <row r="69" customFormat="false" ht="7.5" hidden="false" customHeight="true" outlineLevel="0" collapsed="false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customFormat="false" ht="19.5" hidden="false" customHeight="true" outlineLevel="0" collapsed="false">
      <c r="B70" s="1"/>
      <c r="C70" s="51" t="s">
        <v>78</v>
      </c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1"/>
      <c r="AC70" s="1"/>
      <c r="AD70" s="1"/>
      <c r="AE70" s="52" t="s">
        <v>79</v>
      </c>
      <c r="AF70" s="52"/>
      <c r="AG70" s="52"/>
      <c r="AH70" s="52"/>
      <c r="AI70" s="52"/>
      <c r="AJ70" s="52"/>
      <c r="AK70" s="52"/>
      <c r="AL70" s="1"/>
      <c r="AM70" s="1"/>
    </row>
    <row r="71" customFormat="false" ht="30" hidden="false" customHeight="true" outlineLevel="0" collapsed="false">
      <c r="B71" s="1"/>
      <c r="C71" s="53" t="s">
        <v>80</v>
      </c>
      <c r="D71" s="53"/>
      <c r="E71" s="53"/>
      <c r="F71" s="53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  <c r="AB71" s="54" t="s">
        <v>81</v>
      </c>
      <c r="AC71" s="54"/>
      <c r="AD71" s="54"/>
      <c r="AE71" s="54"/>
      <c r="AF71" s="54"/>
      <c r="AG71" s="54"/>
      <c r="AH71" s="54"/>
      <c r="AI71" s="54"/>
      <c r="AJ71" s="54"/>
      <c r="AK71" s="54"/>
      <c r="AL71" s="1"/>
      <c r="AM71" s="1"/>
    </row>
    <row r="72" customFormat="false" ht="15.75" hidden="false" customHeight="true" outlineLevel="0" collapsed="false">
      <c r="B72" s="1"/>
      <c r="C72" s="55" t="s">
        <v>82</v>
      </c>
      <c r="D72" s="55"/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55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customFormat="false" ht="9.75" hidden="false" customHeight="true" outlineLevel="0" collapsed="false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customFormat="false" ht="3.75" hidden="false" customHeight="true" outlineLevel="0" collapsed="false"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</row>
    <row r="75" customFormat="false" ht="7.5" hidden="false" customHeight="true" outlineLevel="0" collapsed="false"/>
    <row r="76" customFormat="false" ht="13.5" hidden="false" customHeight="true" outlineLevel="0" collapsed="false">
      <c r="B76" s="56" t="s">
        <v>83</v>
      </c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P76" s="56" t="s">
        <v>84</v>
      </c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C76" s="56" t="s">
        <v>85</v>
      </c>
      <c r="AD76" s="56"/>
      <c r="AE76" s="56"/>
      <c r="AF76" s="56"/>
      <c r="AG76" s="56"/>
      <c r="AH76" s="56"/>
      <c r="AI76" s="56"/>
      <c r="AJ76" s="56"/>
      <c r="AK76" s="56"/>
      <c r="AL76" s="56"/>
      <c r="AM76" s="56"/>
    </row>
    <row r="77" customFormat="false" ht="21.75" hidden="false" customHeight="true" outlineLevel="0" collapsed="false">
      <c r="B77" s="57" t="str">
        <f aca="false">Dashboard!$C$6</f>
        <v>Bindhya TB</v>
      </c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P77" s="57" t="str">
        <f aca="false">Dashboard!$C$7</f>
        <v>Tourism &amp; Business</v>
      </c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C77" s="58" t="n">
        <f aca="false">Cal!A4</f>
        <v>46298</v>
      </c>
      <c r="AD77" s="58"/>
      <c r="AE77" s="58"/>
      <c r="AF77" s="58"/>
      <c r="AG77" s="58"/>
      <c r="AH77" s="58"/>
      <c r="AI77" s="58"/>
      <c r="AJ77" s="58"/>
      <c r="AK77" s="58"/>
      <c r="AL77" s="58"/>
      <c r="AM77" s="58"/>
    </row>
    <row r="78" customFormat="false" ht="9.75" hidden="false" customHeight="true" outlineLevel="0" collapsed="false"/>
    <row r="79" customFormat="false" ht="21.75" hidden="false" customHeight="true" outlineLevel="0" collapsed="false">
      <c r="B79" s="6"/>
      <c r="C79" s="19" t="s">
        <v>86</v>
      </c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59" t="s">
        <v>87</v>
      </c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  <c r="AF79" s="59"/>
      <c r="AG79" s="59"/>
      <c r="AH79" s="59"/>
      <c r="AI79" s="59"/>
      <c r="AJ79" s="59"/>
      <c r="AK79" s="59"/>
      <c r="AL79" s="59"/>
      <c r="AM79" s="59"/>
    </row>
    <row r="80" customFormat="false" ht="19.5" hidden="false" customHeight="true" outlineLevel="0" collapsed="false">
      <c r="B80" s="60"/>
      <c r="C80" s="61" t="n">
        <v>1</v>
      </c>
      <c r="D80" s="62" t="s">
        <v>88</v>
      </c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V80" s="60"/>
      <c r="W80" s="61" t="n">
        <v>2</v>
      </c>
      <c r="X80" s="62" t="s">
        <v>89</v>
      </c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  <c r="AM80" s="62"/>
    </row>
    <row r="81" customFormat="false" ht="49.5" hidden="false" customHeight="true" outlineLevel="0" collapsed="false"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5"/>
      <c r="V81" s="63"/>
      <c r="W81" s="77"/>
      <c r="X81" s="77"/>
      <c r="Y81" s="77"/>
      <c r="Z81" s="77"/>
      <c r="AA81" s="77"/>
      <c r="AB81" s="77"/>
      <c r="AC81" s="77"/>
      <c r="AD81" s="77"/>
      <c r="AE81" s="77"/>
      <c r="AF81" s="77"/>
      <c r="AG81" s="77"/>
      <c r="AH81" s="77"/>
      <c r="AI81" s="77"/>
      <c r="AJ81" s="77"/>
      <c r="AK81" s="77"/>
      <c r="AL81" s="77"/>
      <c r="AM81" s="65"/>
    </row>
    <row r="82" customFormat="false" ht="6" hidden="false" customHeight="true" outlineLevel="0" collapsed="false">
      <c r="B82" s="67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9"/>
      <c r="V82" s="67"/>
      <c r="W82" s="68"/>
      <c r="X82" s="68"/>
      <c r="Y82" s="68"/>
      <c r="Z82" s="68"/>
      <c r="AA82" s="68"/>
      <c r="AB82" s="68"/>
      <c r="AC82" s="68"/>
      <c r="AD82" s="68"/>
      <c r="AE82" s="68"/>
      <c r="AF82" s="68"/>
      <c r="AG82" s="68"/>
      <c r="AH82" s="68"/>
      <c r="AI82" s="68"/>
      <c r="AJ82" s="68"/>
      <c r="AK82" s="68"/>
      <c r="AL82" s="68"/>
      <c r="AM82" s="69"/>
    </row>
    <row r="83" customFormat="false" ht="9.75" hidden="false" customHeight="true" outlineLevel="0" collapsed="false"/>
    <row r="84" customFormat="false" ht="21.75" hidden="false" customHeight="true" outlineLevel="0" collapsed="false">
      <c r="B84" s="6"/>
      <c r="C84" s="19" t="s">
        <v>91</v>
      </c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59" t="s">
        <v>92</v>
      </c>
      <c r="W84" s="59"/>
      <c r="X84" s="59"/>
      <c r="Y84" s="59"/>
      <c r="Z84" s="59"/>
      <c r="AA84" s="59"/>
      <c r="AB84" s="59"/>
      <c r="AC84" s="59"/>
      <c r="AD84" s="59"/>
      <c r="AE84" s="59"/>
      <c r="AF84" s="59"/>
      <c r="AG84" s="59"/>
      <c r="AH84" s="59"/>
      <c r="AI84" s="59"/>
      <c r="AJ84" s="59"/>
      <c r="AK84" s="59"/>
      <c r="AL84" s="59"/>
      <c r="AM84" s="59"/>
    </row>
    <row r="85" customFormat="false" ht="27.75" hidden="false" customHeight="true" outlineLevel="0" collapsed="false">
      <c r="B85" s="60"/>
      <c r="C85" s="61" t="n">
        <v>3</v>
      </c>
      <c r="D85" s="62" t="s">
        <v>93</v>
      </c>
      <c r="E85" s="62"/>
      <c r="F85" s="62"/>
      <c r="G85" s="62"/>
      <c r="H85" s="62"/>
      <c r="I85" s="62"/>
      <c r="J85" s="62"/>
      <c r="L85" s="60"/>
      <c r="M85" s="61" t="n">
        <v>4</v>
      </c>
      <c r="N85" s="62" t="s">
        <v>94</v>
      </c>
      <c r="O85" s="62"/>
      <c r="P85" s="62"/>
      <c r="Q85" s="62"/>
      <c r="R85" s="62"/>
      <c r="S85" s="62"/>
      <c r="T85" s="62"/>
      <c r="V85" s="60"/>
      <c r="W85" s="61" t="n">
        <v>5</v>
      </c>
      <c r="X85" s="62" t="s">
        <v>95</v>
      </c>
      <c r="Y85" s="62"/>
      <c r="Z85" s="62"/>
      <c r="AA85" s="62"/>
      <c r="AB85" s="62"/>
      <c r="AC85" s="62"/>
      <c r="AD85" s="62"/>
      <c r="AF85" s="60"/>
      <c r="AG85" s="61" t="n">
        <v>6</v>
      </c>
      <c r="AH85" s="62" t="s">
        <v>96</v>
      </c>
      <c r="AI85" s="62"/>
      <c r="AJ85" s="62"/>
      <c r="AK85" s="62"/>
      <c r="AL85" s="62"/>
      <c r="AM85" s="62"/>
    </row>
    <row r="86" customFormat="false" ht="25.5" hidden="false" customHeight="true" outlineLevel="0" collapsed="false">
      <c r="B86" s="63"/>
      <c r="C86" s="64"/>
      <c r="D86" s="64"/>
      <c r="E86" s="64"/>
      <c r="F86" s="64"/>
      <c r="G86" s="64"/>
      <c r="H86" s="64"/>
      <c r="I86" s="64"/>
      <c r="J86" s="65"/>
      <c r="L86" s="63"/>
      <c r="M86" s="64"/>
      <c r="N86" s="64"/>
      <c r="O86" s="64"/>
      <c r="P86" s="64"/>
      <c r="Q86" s="64"/>
      <c r="R86" s="64"/>
      <c r="S86" s="64"/>
      <c r="T86" s="65"/>
      <c r="V86" s="63"/>
      <c r="W86" s="70"/>
      <c r="X86" s="70"/>
      <c r="Y86" s="70"/>
      <c r="Z86" s="70"/>
      <c r="AA86" s="70"/>
      <c r="AB86" s="70"/>
      <c r="AC86" s="70"/>
      <c r="AD86" s="65"/>
      <c r="AF86" s="63"/>
      <c r="AG86" s="64"/>
      <c r="AH86" s="64"/>
      <c r="AI86" s="64"/>
      <c r="AJ86" s="64"/>
      <c r="AK86" s="64"/>
      <c r="AL86" s="64"/>
      <c r="AM86" s="65"/>
    </row>
    <row r="87" customFormat="false" ht="6" hidden="false" customHeight="true" outlineLevel="0" collapsed="false">
      <c r="B87" s="67"/>
      <c r="C87" s="68"/>
      <c r="D87" s="68"/>
      <c r="E87" s="68"/>
      <c r="F87" s="68"/>
      <c r="G87" s="68"/>
      <c r="H87" s="68"/>
      <c r="I87" s="68"/>
      <c r="J87" s="69"/>
      <c r="L87" s="67"/>
      <c r="M87" s="68"/>
      <c r="N87" s="68"/>
      <c r="O87" s="68"/>
      <c r="P87" s="68"/>
      <c r="Q87" s="68"/>
      <c r="R87" s="68"/>
      <c r="S87" s="68"/>
      <c r="T87" s="69"/>
      <c r="V87" s="67"/>
      <c r="W87" s="68"/>
      <c r="X87" s="68"/>
      <c r="Y87" s="68"/>
      <c r="Z87" s="68"/>
      <c r="AA87" s="68"/>
      <c r="AB87" s="68"/>
      <c r="AC87" s="68"/>
      <c r="AD87" s="69"/>
      <c r="AF87" s="67"/>
      <c r="AG87" s="68"/>
      <c r="AH87" s="68"/>
      <c r="AI87" s="68"/>
      <c r="AJ87" s="68"/>
      <c r="AK87" s="68"/>
      <c r="AL87" s="68"/>
      <c r="AM87" s="69"/>
    </row>
    <row r="88" customFormat="false" ht="9.75" hidden="false" customHeight="true" outlineLevel="0" collapsed="false"/>
    <row r="89" customFormat="false" ht="21.75" hidden="false" customHeight="true" outlineLevel="0" collapsed="false">
      <c r="B89" s="6"/>
      <c r="C89" s="19" t="s">
        <v>98</v>
      </c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59" t="s">
        <v>99</v>
      </c>
      <c r="W89" s="59"/>
      <c r="X89" s="59"/>
      <c r="Y89" s="59"/>
      <c r="Z89" s="59"/>
      <c r="AA89" s="59"/>
      <c r="AB89" s="59"/>
      <c r="AC89" s="59"/>
      <c r="AD89" s="59"/>
      <c r="AE89" s="59"/>
      <c r="AF89" s="59"/>
      <c r="AG89" s="59"/>
      <c r="AH89" s="59"/>
      <c r="AI89" s="59"/>
      <c r="AJ89" s="59"/>
      <c r="AK89" s="59"/>
      <c r="AL89" s="59"/>
      <c r="AM89" s="59"/>
    </row>
    <row r="90" customFormat="false" ht="27.75" hidden="false" customHeight="true" outlineLevel="0" collapsed="false">
      <c r="B90" s="60"/>
      <c r="C90" s="61" t="n">
        <v>7</v>
      </c>
      <c r="D90" s="62" t="s">
        <v>100</v>
      </c>
      <c r="E90" s="62"/>
      <c r="F90" s="62"/>
      <c r="G90" s="62"/>
      <c r="H90" s="62"/>
      <c r="J90" s="60"/>
      <c r="K90" s="61" t="n">
        <v>8</v>
      </c>
      <c r="L90" s="62" t="s">
        <v>101</v>
      </c>
      <c r="M90" s="62"/>
      <c r="N90" s="62"/>
      <c r="O90" s="62"/>
      <c r="P90" s="62"/>
      <c r="R90" s="60"/>
      <c r="S90" s="61" t="n">
        <v>9</v>
      </c>
      <c r="T90" s="62" t="s">
        <v>102</v>
      </c>
      <c r="U90" s="62"/>
      <c r="V90" s="62"/>
      <c r="W90" s="62"/>
      <c r="X90" s="62"/>
      <c r="Z90" s="60"/>
      <c r="AA90" s="61" t="n">
        <v>10</v>
      </c>
      <c r="AB90" s="62" t="s">
        <v>103</v>
      </c>
      <c r="AC90" s="62"/>
      <c r="AD90" s="62"/>
      <c r="AE90" s="62"/>
      <c r="AF90" s="62"/>
      <c r="AH90" s="60"/>
      <c r="AI90" s="61" t="n">
        <v>11</v>
      </c>
      <c r="AJ90" s="62" t="s">
        <v>104</v>
      </c>
      <c r="AK90" s="62"/>
      <c r="AL90" s="62"/>
      <c r="AM90" s="62"/>
    </row>
    <row r="91" customFormat="false" ht="25.5" hidden="false" customHeight="true" outlineLevel="0" collapsed="false">
      <c r="B91" s="63"/>
      <c r="C91" s="64"/>
      <c r="D91" s="64"/>
      <c r="E91" s="64"/>
      <c r="F91" s="64"/>
      <c r="G91" s="64"/>
      <c r="H91" s="65"/>
      <c r="J91" s="63"/>
      <c r="K91" s="64"/>
      <c r="L91" s="64"/>
      <c r="M91" s="64"/>
      <c r="N91" s="64"/>
      <c r="O91" s="64"/>
      <c r="P91" s="65"/>
      <c r="R91" s="63"/>
      <c r="S91" s="64"/>
      <c r="T91" s="64"/>
      <c r="U91" s="64"/>
      <c r="V91" s="64"/>
      <c r="W91" s="64"/>
      <c r="X91" s="65"/>
      <c r="Z91" s="63"/>
      <c r="AA91" s="64"/>
      <c r="AB91" s="64"/>
      <c r="AC91" s="64"/>
      <c r="AD91" s="64"/>
      <c r="AE91" s="64"/>
      <c r="AF91" s="65"/>
      <c r="AH91" s="63"/>
      <c r="AI91" s="64"/>
      <c r="AJ91" s="64"/>
      <c r="AK91" s="64"/>
      <c r="AL91" s="64"/>
      <c r="AM91" s="65"/>
    </row>
    <row r="92" customFormat="false" ht="6" hidden="false" customHeight="true" outlineLevel="0" collapsed="false">
      <c r="B92" s="67"/>
      <c r="C92" s="68"/>
      <c r="D92" s="68"/>
      <c r="E92" s="68"/>
      <c r="F92" s="68"/>
      <c r="G92" s="68"/>
      <c r="H92" s="69"/>
      <c r="J92" s="67"/>
      <c r="K92" s="68"/>
      <c r="L92" s="68"/>
      <c r="M92" s="68"/>
      <c r="N92" s="68"/>
      <c r="O92" s="68"/>
      <c r="P92" s="69"/>
      <c r="R92" s="67"/>
      <c r="S92" s="68"/>
      <c r="T92" s="68"/>
      <c r="U92" s="68"/>
      <c r="V92" s="68"/>
      <c r="W92" s="68"/>
      <c r="X92" s="69"/>
      <c r="Z92" s="67"/>
      <c r="AA92" s="68"/>
      <c r="AB92" s="68"/>
      <c r="AC92" s="68"/>
      <c r="AD92" s="68"/>
      <c r="AE92" s="68"/>
      <c r="AF92" s="69"/>
      <c r="AH92" s="67"/>
      <c r="AI92" s="68"/>
      <c r="AJ92" s="68"/>
      <c r="AK92" s="68"/>
      <c r="AL92" s="68"/>
      <c r="AM92" s="69"/>
    </row>
    <row r="93" customFormat="false" ht="9.75" hidden="false" customHeight="true" outlineLevel="0" collapsed="false"/>
    <row r="94" customFormat="false" ht="21.75" hidden="false" customHeight="true" outlineLevel="0" collapsed="false">
      <c r="B94" s="6"/>
      <c r="C94" s="19" t="s">
        <v>105</v>
      </c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59" t="s">
        <v>106</v>
      </c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  <c r="AF94" s="59"/>
      <c r="AG94" s="59"/>
      <c r="AH94" s="59"/>
      <c r="AI94" s="59"/>
      <c r="AJ94" s="59"/>
      <c r="AK94" s="59"/>
      <c r="AL94" s="59"/>
      <c r="AM94" s="59"/>
    </row>
    <row r="95" customFormat="false" ht="24" hidden="false" customHeight="true" outlineLevel="0" collapsed="false"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  <c r="AE95" s="72"/>
      <c r="AF95" s="72"/>
      <c r="AG95" s="72"/>
      <c r="AH95" s="72"/>
      <c r="AI95" s="72"/>
      <c r="AJ95" s="72"/>
      <c r="AK95" s="72"/>
      <c r="AL95" s="72"/>
      <c r="AM95" s="72"/>
    </row>
    <row r="96" customFormat="false" ht="24" hidden="false" customHeight="true" outlineLevel="0" collapsed="false"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2"/>
      <c r="AD96" s="72"/>
      <c r="AE96" s="72"/>
      <c r="AF96" s="72"/>
      <c r="AG96" s="72"/>
      <c r="AH96" s="72"/>
      <c r="AI96" s="72"/>
      <c r="AJ96" s="72"/>
      <c r="AK96" s="72"/>
      <c r="AL96" s="72"/>
      <c r="AM96" s="72"/>
    </row>
    <row r="97" customFormat="false" ht="24" hidden="false" customHeight="true" outlineLevel="0" collapsed="false"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  <c r="AA97" s="72"/>
      <c r="AB97" s="72"/>
      <c r="AC97" s="72"/>
      <c r="AD97" s="72"/>
      <c r="AE97" s="72"/>
      <c r="AF97" s="72"/>
      <c r="AG97" s="72"/>
      <c r="AH97" s="72"/>
      <c r="AI97" s="72"/>
      <c r="AJ97" s="72"/>
      <c r="AK97" s="72"/>
      <c r="AL97" s="72"/>
      <c r="AM97" s="72"/>
    </row>
    <row r="98" customFormat="false" ht="295.5" hidden="false" customHeight="true" outlineLevel="0" collapsed="false"/>
    <row r="99" customFormat="false" ht="6" hidden="false" customHeight="true" outlineLevel="0" collapsed="false"/>
    <row r="100" customFormat="false" ht="19.5" hidden="false" customHeight="true" outlineLevel="0" collapsed="false">
      <c r="B100" s="73" t="s">
        <v>107</v>
      </c>
      <c r="C100" s="73"/>
      <c r="D100" s="73"/>
      <c r="E100" s="73"/>
      <c r="F100" s="73"/>
      <c r="G100" s="73"/>
      <c r="H100" s="73"/>
      <c r="I100" s="73"/>
      <c r="J100" s="73"/>
      <c r="K100" s="73"/>
      <c r="L100" s="74" t="s">
        <v>108</v>
      </c>
      <c r="M100" s="74"/>
      <c r="N100" s="74"/>
      <c r="O100" s="74"/>
      <c r="P100" s="74"/>
      <c r="Q100" s="74"/>
      <c r="R100" s="74"/>
      <c r="S100" s="74"/>
      <c r="U100" s="73" t="s">
        <v>109</v>
      </c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4" t="s">
        <v>108</v>
      </c>
      <c r="AG100" s="74"/>
      <c r="AH100" s="74"/>
      <c r="AI100" s="74"/>
      <c r="AJ100" s="74"/>
      <c r="AK100" s="74"/>
      <c r="AL100" s="74"/>
      <c r="AM100" s="74"/>
    </row>
    <row r="101" customFormat="false" ht="9.75" hidden="false" customHeight="true" outlineLevel="0" collapsed="false"/>
    <row r="102" customFormat="false" ht="18" hidden="false" customHeight="true" outlineLevel="0" collapsed="false">
      <c r="B102" s="75" t="s">
        <v>110</v>
      </c>
      <c r="C102" s="75"/>
      <c r="D102" s="75"/>
      <c r="E102" s="75"/>
      <c r="F102" s="75"/>
      <c r="G102" s="75"/>
      <c r="H102" s="75"/>
      <c r="I102" s="75"/>
      <c r="J102" s="75"/>
      <c r="K102" s="75"/>
      <c r="L102" s="75"/>
      <c r="M102" s="75"/>
      <c r="N102" s="75"/>
      <c r="O102" s="75"/>
      <c r="P102" s="75"/>
      <c r="Q102" s="75"/>
      <c r="R102" s="75"/>
      <c r="S102" s="75"/>
      <c r="T102" s="76" t="s">
        <v>111</v>
      </c>
      <c r="U102" s="76"/>
      <c r="V102" s="76"/>
      <c r="W102" s="76"/>
      <c r="X102" s="76"/>
      <c r="Y102" s="76"/>
      <c r="Z102" s="76"/>
      <c r="AA102" s="76"/>
      <c r="AB102" s="76"/>
      <c r="AC102" s="76"/>
      <c r="AD102" s="76"/>
      <c r="AE102" s="76"/>
      <c r="AF102" s="76"/>
      <c r="AG102" s="76"/>
      <c r="AH102" s="76"/>
      <c r="AI102" s="76"/>
      <c r="AJ102" s="76"/>
      <c r="AK102" s="76"/>
      <c r="AL102" s="76"/>
      <c r="AM102" s="76"/>
    </row>
    <row r="103" customFormat="false" ht="7.5" hidden="false" customHeight="true" outlineLevel="0" collapsed="false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</row>
    <row r="104" customFormat="false" ht="19.5" hidden="false" customHeight="true" outlineLevel="0" collapsed="false">
      <c r="B104" s="1"/>
      <c r="C104" s="51" t="s">
        <v>78</v>
      </c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1"/>
      <c r="AC104" s="1"/>
      <c r="AD104" s="1"/>
      <c r="AE104" s="52" t="s">
        <v>79</v>
      </c>
      <c r="AF104" s="52"/>
      <c r="AG104" s="52"/>
      <c r="AH104" s="52"/>
      <c r="AI104" s="52"/>
      <c r="AJ104" s="52"/>
      <c r="AK104" s="52"/>
      <c r="AL104" s="1"/>
      <c r="AM104" s="1"/>
    </row>
    <row r="105" customFormat="false" ht="30" hidden="false" customHeight="true" outlineLevel="0" collapsed="false">
      <c r="B105" s="1"/>
      <c r="C105" s="53" t="s">
        <v>80</v>
      </c>
      <c r="D105" s="53"/>
      <c r="E105" s="53"/>
      <c r="F105" s="53"/>
      <c r="G105" s="53"/>
      <c r="H105" s="53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  <c r="AB105" s="54" t="s">
        <v>81</v>
      </c>
      <c r="AC105" s="54"/>
      <c r="AD105" s="54"/>
      <c r="AE105" s="54"/>
      <c r="AF105" s="54"/>
      <c r="AG105" s="54"/>
      <c r="AH105" s="54"/>
      <c r="AI105" s="54"/>
      <c r="AJ105" s="54"/>
      <c r="AK105" s="54"/>
      <c r="AL105" s="1"/>
      <c r="AM105" s="1"/>
    </row>
    <row r="106" customFormat="false" ht="15.75" hidden="false" customHeight="true" outlineLevel="0" collapsed="false">
      <c r="B106" s="1"/>
      <c r="C106" s="55" t="s">
        <v>82</v>
      </c>
      <c r="D106" s="55"/>
      <c r="E106" s="55"/>
      <c r="F106" s="55"/>
      <c r="G106" s="55"/>
      <c r="H106" s="55"/>
      <c r="I106" s="55"/>
      <c r="J106" s="55"/>
      <c r="K106" s="55"/>
      <c r="L106" s="55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  <c r="AA106" s="55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</row>
    <row r="107" customFormat="false" ht="9.75" hidden="false" customHeight="true" outlineLevel="0" collapsed="false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</row>
    <row r="108" customFormat="false" ht="3.75" hidden="false" customHeight="true" outlineLevel="0" collapsed="false"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</row>
    <row r="109" customFormat="false" ht="7.5" hidden="false" customHeight="true" outlineLevel="0" collapsed="false"/>
    <row r="110" customFormat="false" ht="13.5" hidden="false" customHeight="true" outlineLevel="0" collapsed="false">
      <c r="B110" s="56" t="s">
        <v>83</v>
      </c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P110" s="56" t="s">
        <v>84</v>
      </c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C110" s="56" t="s">
        <v>85</v>
      </c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</row>
    <row r="111" customFormat="false" ht="21.75" hidden="false" customHeight="true" outlineLevel="0" collapsed="false">
      <c r="B111" s="57" t="str">
        <f aca="false">Dashboard!$C$6</f>
        <v>Bindhya TB</v>
      </c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P111" s="57" t="str">
        <f aca="false">Dashboard!$C$7</f>
        <v>Tourism &amp; Business</v>
      </c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C111" s="58" t="n">
        <f aca="false">Cal!A5</f>
        <v>46299</v>
      </c>
      <c r="AD111" s="58"/>
      <c r="AE111" s="58"/>
      <c r="AF111" s="58"/>
      <c r="AG111" s="58"/>
      <c r="AH111" s="58"/>
      <c r="AI111" s="58"/>
      <c r="AJ111" s="58"/>
      <c r="AK111" s="58"/>
      <c r="AL111" s="58"/>
      <c r="AM111" s="58"/>
    </row>
    <row r="112" customFormat="false" ht="9.75" hidden="false" customHeight="true" outlineLevel="0" collapsed="false"/>
    <row r="113" customFormat="false" ht="21.75" hidden="false" customHeight="true" outlineLevel="0" collapsed="false">
      <c r="B113" s="6"/>
      <c r="C113" s="19" t="s">
        <v>86</v>
      </c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59" t="s">
        <v>87</v>
      </c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  <c r="AF113" s="59"/>
      <c r="AG113" s="59"/>
      <c r="AH113" s="59"/>
      <c r="AI113" s="59"/>
      <c r="AJ113" s="59"/>
      <c r="AK113" s="59"/>
      <c r="AL113" s="59"/>
      <c r="AM113" s="59"/>
    </row>
    <row r="114" customFormat="false" ht="19.5" hidden="false" customHeight="true" outlineLevel="0" collapsed="false">
      <c r="B114" s="60"/>
      <c r="C114" s="61" t="n">
        <v>1</v>
      </c>
      <c r="D114" s="62" t="s">
        <v>88</v>
      </c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V114" s="60"/>
      <c r="W114" s="61" t="n">
        <v>2</v>
      </c>
      <c r="X114" s="62" t="s">
        <v>89</v>
      </c>
      <c r="Y114" s="62"/>
      <c r="Z114" s="62"/>
      <c r="AA114" s="62"/>
      <c r="AB114" s="62"/>
      <c r="AC114" s="62"/>
      <c r="AD114" s="62"/>
      <c r="AE114" s="62"/>
      <c r="AF114" s="62"/>
      <c r="AG114" s="62"/>
      <c r="AH114" s="62"/>
      <c r="AI114" s="62"/>
      <c r="AJ114" s="62"/>
      <c r="AK114" s="62"/>
      <c r="AL114" s="62"/>
      <c r="AM114" s="62"/>
    </row>
    <row r="115" customFormat="false" ht="49.5" hidden="false" customHeight="true" outlineLevel="0" collapsed="false">
      <c r="B115" s="63"/>
      <c r="C115" s="64"/>
      <c r="D115" s="64"/>
      <c r="E115" s="64"/>
      <c r="F115" s="64"/>
      <c r="G115" s="64"/>
      <c r="H115" s="64"/>
      <c r="I115" s="64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5"/>
      <c r="V115" s="63"/>
      <c r="W115" s="77"/>
      <c r="X115" s="77"/>
      <c r="Y115" s="77"/>
      <c r="Z115" s="77"/>
      <c r="AA115" s="77"/>
      <c r="AB115" s="77"/>
      <c r="AC115" s="77"/>
      <c r="AD115" s="77"/>
      <c r="AE115" s="77"/>
      <c r="AF115" s="77"/>
      <c r="AG115" s="77"/>
      <c r="AH115" s="77"/>
      <c r="AI115" s="77"/>
      <c r="AJ115" s="77"/>
      <c r="AK115" s="77"/>
      <c r="AL115" s="77"/>
      <c r="AM115" s="65"/>
    </row>
    <row r="116" customFormat="false" ht="6" hidden="false" customHeight="true" outlineLevel="0" collapsed="false">
      <c r="B116" s="67"/>
      <c r="C116" s="68"/>
      <c r="D116" s="68"/>
      <c r="E116" s="68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  <c r="S116" s="68"/>
      <c r="T116" s="69"/>
      <c r="V116" s="67"/>
      <c r="W116" s="68"/>
      <c r="X116" s="68"/>
      <c r="Y116" s="68"/>
      <c r="Z116" s="68"/>
      <c r="AA116" s="68"/>
      <c r="AB116" s="68"/>
      <c r="AC116" s="68"/>
      <c r="AD116" s="68"/>
      <c r="AE116" s="68"/>
      <c r="AF116" s="68"/>
      <c r="AG116" s="68"/>
      <c r="AH116" s="68"/>
      <c r="AI116" s="68"/>
      <c r="AJ116" s="68"/>
      <c r="AK116" s="68"/>
      <c r="AL116" s="68"/>
      <c r="AM116" s="69"/>
    </row>
    <row r="117" customFormat="false" ht="9.75" hidden="false" customHeight="true" outlineLevel="0" collapsed="false"/>
    <row r="118" customFormat="false" ht="21.75" hidden="false" customHeight="true" outlineLevel="0" collapsed="false">
      <c r="B118" s="6"/>
      <c r="C118" s="19" t="s">
        <v>91</v>
      </c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59" t="s">
        <v>92</v>
      </c>
      <c r="W118" s="59"/>
      <c r="X118" s="59"/>
      <c r="Y118" s="59"/>
      <c r="Z118" s="59"/>
      <c r="AA118" s="59"/>
      <c r="AB118" s="59"/>
      <c r="AC118" s="59"/>
      <c r="AD118" s="59"/>
      <c r="AE118" s="59"/>
      <c r="AF118" s="59"/>
      <c r="AG118" s="59"/>
      <c r="AH118" s="59"/>
      <c r="AI118" s="59"/>
      <c r="AJ118" s="59"/>
      <c r="AK118" s="59"/>
      <c r="AL118" s="59"/>
      <c r="AM118" s="59"/>
    </row>
    <row r="119" customFormat="false" ht="27.75" hidden="false" customHeight="true" outlineLevel="0" collapsed="false">
      <c r="B119" s="60"/>
      <c r="C119" s="61" t="n">
        <v>3</v>
      </c>
      <c r="D119" s="62" t="s">
        <v>93</v>
      </c>
      <c r="E119" s="62"/>
      <c r="F119" s="62"/>
      <c r="G119" s="62"/>
      <c r="H119" s="62"/>
      <c r="I119" s="62"/>
      <c r="J119" s="62"/>
      <c r="L119" s="60"/>
      <c r="M119" s="61" t="n">
        <v>4</v>
      </c>
      <c r="N119" s="62" t="s">
        <v>94</v>
      </c>
      <c r="O119" s="62"/>
      <c r="P119" s="62"/>
      <c r="Q119" s="62"/>
      <c r="R119" s="62"/>
      <c r="S119" s="62"/>
      <c r="T119" s="62"/>
      <c r="V119" s="60"/>
      <c r="W119" s="61" t="n">
        <v>5</v>
      </c>
      <c r="X119" s="62" t="s">
        <v>95</v>
      </c>
      <c r="Y119" s="62"/>
      <c r="Z119" s="62"/>
      <c r="AA119" s="62"/>
      <c r="AB119" s="62"/>
      <c r="AC119" s="62"/>
      <c r="AD119" s="62"/>
      <c r="AF119" s="60"/>
      <c r="AG119" s="61" t="n">
        <v>6</v>
      </c>
      <c r="AH119" s="62" t="s">
        <v>96</v>
      </c>
      <c r="AI119" s="62"/>
      <c r="AJ119" s="62"/>
      <c r="AK119" s="62"/>
      <c r="AL119" s="62"/>
      <c r="AM119" s="62"/>
    </row>
    <row r="120" customFormat="false" ht="25.5" hidden="false" customHeight="true" outlineLevel="0" collapsed="false">
      <c r="B120" s="63"/>
      <c r="C120" s="64"/>
      <c r="D120" s="64"/>
      <c r="E120" s="64"/>
      <c r="F120" s="64"/>
      <c r="G120" s="64"/>
      <c r="H120" s="64"/>
      <c r="I120" s="64"/>
      <c r="J120" s="65"/>
      <c r="L120" s="63"/>
      <c r="M120" s="64"/>
      <c r="N120" s="64"/>
      <c r="O120" s="64"/>
      <c r="P120" s="64"/>
      <c r="Q120" s="64"/>
      <c r="R120" s="64"/>
      <c r="S120" s="64"/>
      <c r="T120" s="65"/>
      <c r="V120" s="63"/>
      <c r="W120" s="70"/>
      <c r="X120" s="70"/>
      <c r="Y120" s="70"/>
      <c r="Z120" s="70"/>
      <c r="AA120" s="70"/>
      <c r="AB120" s="70"/>
      <c r="AC120" s="70"/>
      <c r="AD120" s="65"/>
      <c r="AF120" s="63"/>
      <c r="AG120" s="64"/>
      <c r="AH120" s="64"/>
      <c r="AI120" s="64"/>
      <c r="AJ120" s="64"/>
      <c r="AK120" s="64"/>
      <c r="AL120" s="64"/>
      <c r="AM120" s="65"/>
    </row>
    <row r="121" customFormat="false" ht="6" hidden="false" customHeight="true" outlineLevel="0" collapsed="false">
      <c r="B121" s="67"/>
      <c r="C121" s="68"/>
      <c r="D121" s="68"/>
      <c r="E121" s="68"/>
      <c r="F121" s="68"/>
      <c r="G121" s="68"/>
      <c r="H121" s="68"/>
      <c r="I121" s="68"/>
      <c r="J121" s="69"/>
      <c r="L121" s="67"/>
      <c r="M121" s="68"/>
      <c r="N121" s="68"/>
      <c r="O121" s="68"/>
      <c r="P121" s="68"/>
      <c r="Q121" s="68"/>
      <c r="R121" s="68"/>
      <c r="S121" s="68"/>
      <c r="T121" s="69"/>
      <c r="V121" s="67"/>
      <c r="W121" s="68"/>
      <c r="X121" s="68"/>
      <c r="Y121" s="68"/>
      <c r="Z121" s="68"/>
      <c r="AA121" s="68"/>
      <c r="AB121" s="68"/>
      <c r="AC121" s="68"/>
      <c r="AD121" s="69"/>
      <c r="AF121" s="67"/>
      <c r="AG121" s="68"/>
      <c r="AH121" s="68"/>
      <c r="AI121" s="68"/>
      <c r="AJ121" s="68"/>
      <c r="AK121" s="68"/>
      <c r="AL121" s="68"/>
      <c r="AM121" s="69"/>
    </row>
    <row r="122" customFormat="false" ht="9.75" hidden="false" customHeight="true" outlineLevel="0" collapsed="false"/>
    <row r="123" customFormat="false" ht="21.75" hidden="false" customHeight="true" outlineLevel="0" collapsed="false">
      <c r="B123" s="6"/>
      <c r="C123" s="19" t="s">
        <v>98</v>
      </c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59" t="s">
        <v>99</v>
      </c>
      <c r="W123" s="59"/>
      <c r="X123" s="59"/>
      <c r="Y123" s="59"/>
      <c r="Z123" s="59"/>
      <c r="AA123" s="59"/>
      <c r="AB123" s="59"/>
      <c r="AC123" s="59"/>
      <c r="AD123" s="59"/>
      <c r="AE123" s="59"/>
      <c r="AF123" s="59"/>
      <c r="AG123" s="59"/>
      <c r="AH123" s="59"/>
      <c r="AI123" s="59"/>
      <c r="AJ123" s="59"/>
      <c r="AK123" s="59"/>
      <c r="AL123" s="59"/>
      <c r="AM123" s="59"/>
    </row>
    <row r="124" customFormat="false" ht="27.75" hidden="false" customHeight="true" outlineLevel="0" collapsed="false">
      <c r="B124" s="60"/>
      <c r="C124" s="61" t="n">
        <v>7</v>
      </c>
      <c r="D124" s="62" t="s">
        <v>100</v>
      </c>
      <c r="E124" s="62"/>
      <c r="F124" s="62"/>
      <c r="G124" s="62"/>
      <c r="H124" s="62"/>
      <c r="J124" s="60"/>
      <c r="K124" s="61" t="n">
        <v>8</v>
      </c>
      <c r="L124" s="62" t="s">
        <v>101</v>
      </c>
      <c r="M124" s="62"/>
      <c r="N124" s="62"/>
      <c r="O124" s="62"/>
      <c r="P124" s="62"/>
      <c r="R124" s="60"/>
      <c r="S124" s="61" t="n">
        <v>9</v>
      </c>
      <c r="T124" s="62" t="s">
        <v>102</v>
      </c>
      <c r="U124" s="62"/>
      <c r="V124" s="62"/>
      <c r="W124" s="62"/>
      <c r="X124" s="62"/>
      <c r="Z124" s="60"/>
      <c r="AA124" s="61" t="n">
        <v>10</v>
      </c>
      <c r="AB124" s="62" t="s">
        <v>103</v>
      </c>
      <c r="AC124" s="62"/>
      <c r="AD124" s="62"/>
      <c r="AE124" s="62"/>
      <c r="AF124" s="62"/>
      <c r="AH124" s="60"/>
      <c r="AI124" s="61" t="n">
        <v>11</v>
      </c>
      <c r="AJ124" s="62" t="s">
        <v>104</v>
      </c>
      <c r="AK124" s="62"/>
      <c r="AL124" s="62"/>
      <c r="AM124" s="62"/>
    </row>
    <row r="125" customFormat="false" ht="25.5" hidden="false" customHeight="true" outlineLevel="0" collapsed="false">
      <c r="B125" s="63"/>
      <c r="C125" s="64"/>
      <c r="D125" s="64"/>
      <c r="E125" s="64"/>
      <c r="F125" s="64"/>
      <c r="G125" s="64"/>
      <c r="H125" s="65"/>
      <c r="J125" s="63"/>
      <c r="K125" s="64"/>
      <c r="L125" s="64"/>
      <c r="M125" s="64"/>
      <c r="N125" s="64"/>
      <c r="O125" s="64"/>
      <c r="P125" s="65"/>
      <c r="R125" s="63"/>
      <c r="S125" s="64"/>
      <c r="T125" s="64"/>
      <c r="U125" s="64"/>
      <c r="V125" s="64"/>
      <c r="W125" s="64"/>
      <c r="X125" s="65"/>
      <c r="Z125" s="63"/>
      <c r="AA125" s="64"/>
      <c r="AB125" s="64"/>
      <c r="AC125" s="64"/>
      <c r="AD125" s="64"/>
      <c r="AE125" s="64"/>
      <c r="AF125" s="65"/>
      <c r="AH125" s="63"/>
      <c r="AI125" s="64"/>
      <c r="AJ125" s="64"/>
      <c r="AK125" s="64"/>
      <c r="AL125" s="64"/>
      <c r="AM125" s="65"/>
    </row>
    <row r="126" customFormat="false" ht="6" hidden="false" customHeight="true" outlineLevel="0" collapsed="false">
      <c r="B126" s="67"/>
      <c r="C126" s="68"/>
      <c r="D126" s="68"/>
      <c r="E126" s="68"/>
      <c r="F126" s="68"/>
      <c r="G126" s="68"/>
      <c r="H126" s="69"/>
      <c r="J126" s="67"/>
      <c r="K126" s="68"/>
      <c r="L126" s="68"/>
      <c r="M126" s="68"/>
      <c r="N126" s="68"/>
      <c r="O126" s="68"/>
      <c r="P126" s="69"/>
      <c r="R126" s="67"/>
      <c r="S126" s="68"/>
      <c r="T126" s="68"/>
      <c r="U126" s="68"/>
      <c r="V126" s="68"/>
      <c r="W126" s="68"/>
      <c r="X126" s="69"/>
      <c r="Z126" s="67"/>
      <c r="AA126" s="68"/>
      <c r="AB126" s="68"/>
      <c r="AC126" s="68"/>
      <c r="AD126" s="68"/>
      <c r="AE126" s="68"/>
      <c r="AF126" s="69"/>
      <c r="AH126" s="67"/>
      <c r="AI126" s="68"/>
      <c r="AJ126" s="68"/>
      <c r="AK126" s="68"/>
      <c r="AL126" s="68"/>
      <c r="AM126" s="69"/>
    </row>
    <row r="127" customFormat="false" ht="9.75" hidden="false" customHeight="true" outlineLevel="0" collapsed="false"/>
    <row r="128" customFormat="false" ht="21.75" hidden="false" customHeight="true" outlineLevel="0" collapsed="false">
      <c r="B128" s="6"/>
      <c r="C128" s="19" t="s">
        <v>105</v>
      </c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59" t="s">
        <v>106</v>
      </c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  <c r="AF128" s="59"/>
      <c r="AG128" s="59"/>
      <c r="AH128" s="59"/>
      <c r="AI128" s="59"/>
      <c r="AJ128" s="59"/>
      <c r="AK128" s="59"/>
      <c r="AL128" s="59"/>
      <c r="AM128" s="59"/>
    </row>
    <row r="129" customFormat="false" ht="24" hidden="false" customHeight="true" outlineLevel="0" collapsed="false"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  <c r="AA129" s="72"/>
      <c r="AB129" s="72"/>
      <c r="AC129" s="72"/>
      <c r="AD129" s="72"/>
      <c r="AE129" s="72"/>
      <c r="AF129" s="72"/>
      <c r="AG129" s="72"/>
      <c r="AH129" s="72"/>
      <c r="AI129" s="72"/>
      <c r="AJ129" s="72"/>
      <c r="AK129" s="72"/>
      <c r="AL129" s="72"/>
      <c r="AM129" s="72"/>
    </row>
    <row r="130" customFormat="false" ht="24" hidden="false" customHeight="true" outlineLevel="0" collapsed="false"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</row>
    <row r="131" customFormat="false" ht="24" hidden="false" customHeight="true" outlineLevel="0" collapsed="false"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  <c r="AA131" s="72"/>
      <c r="AB131" s="72"/>
      <c r="AC131" s="72"/>
      <c r="AD131" s="72"/>
      <c r="AE131" s="72"/>
      <c r="AF131" s="72"/>
      <c r="AG131" s="72"/>
      <c r="AH131" s="72"/>
      <c r="AI131" s="72"/>
      <c r="AJ131" s="72"/>
      <c r="AK131" s="72"/>
      <c r="AL131" s="72"/>
      <c r="AM131" s="72"/>
    </row>
    <row r="132" customFormat="false" ht="295.5" hidden="false" customHeight="true" outlineLevel="0" collapsed="false"/>
    <row r="133" customFormat="false" ht="6" hidden="false" customHeight="true" outlineLevel="0" collapsed="false"/>
    <row r="134" customFormat="false" ht="19.5" hidden="false" customHeight="true" outlineLevel="0" collapsed="false">
      <c r="B134" s="73" t="s">
        <v>107</v>
      </c>
      <c r="C134" s="73"/>
      <c r="D134" s="73"/>
      <c r="E134" s="73"/>
      <c r="F134" s="73"/>
      <c r="G134" s="73"/>
      <c r="H134" s="73"/>
      <c r="I134" s="73"/>
      <c r="J134" s="73"/>
      <c r="K134" s="73"/>
      <c r="L134" s="74" t="s">
        <v>108</v>
      </c>
      <c r="M134" s="74"/>
      <c r="N134" s="74"/>
      <c r="O134" s="74"/>
      <c r="P134" s="74"/>
      <c r="Q134" s="74"/>
      <c r="R134" s="74"/>
      <c r="S134" s="74"/>
      <c r="U134" s="73" t="s">
        <v>109</v>
      </c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4" t="s">
        <v>108</v>
      </c>
      <c r="AG134" s="74"/>
      <c r="AH134" s="74"/>
      <c r="AI134" s="74"/>
      <c r="AJ134" s="74"/>
      <c r="AK134" s="74"/>
      <c r="AL134" s="74"/>
      <c r="AM134" s="74"/>
    </row>
    <row r="135" customFormat="false" ht="9.75" hidden="false" customHeight="true" outlineLevel="0" collapsed="false"/>
    <row r="136" customFormat="false" ht="18" hidden="false" customHeight="true" outlineLevel="0" collapsed="false">
      <c r="B136" s="75" t="s">
        <v>110</v>
      </c>
      <c r="C136" s="75"/>
      <c r="D136" s="75"/>
      <c r="E136" s="75"/>
      <c r="F136" s="75"/>
      <c r="G136" s="75"/>
      <c r="H136" s="75"/>
      <c r="I136" s="75"/>
      <c r="J136" s="75"/>
      <c r="K136" s="75"/>
      <c r="L136" s="75"/>
      <c r="M136" s="75"/>
      <c r="N136" s="75"/>
      <c r="O136" s="75"/>
      <c r="P136" s="75"/>
      <c r="Q136" s="75"/>
      <c r="R136" s="75"/>
      <c r="S136" s="75"/>
      <c r="T136" s="76" t="s">
        <v>111</v>
      </c>
      <c r="U136" s="76"/>
      <c r="V136" s="76"/>
      <c r="W136" s="76"/>
      <c r="X136" s="76"/>
      <c r="Y136" s="76"/>
      <c r="Z136" s="76"/>
      <c r="AA136" s="76"/>
      <c r="AB136" s="76"/>
      <c r="AC136" s="76"/>
      <c r="AD136" s="76"/>
      <c r="AE136" s="76"/>
      <c r="AF136" s="76"/>
      <c r="AG136" s="76"/>
      <c r="AH136" s="76"/>
      <c r="AI136" s="76"/>
      <c r="AJ136" s="76"/>
      <c r="AK136" s="76"/>
      <c r="AL136" s="76"/>
      <c r="AM136" s="76"/>
    </row>
    <row r="137" customFormat="false" ht="7.5" hidden="false" customHeight="true" outlineLevel="0" collapsed="false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</row>
    <row r="138" customFormat="false" ht="19.5" hidden="false" customHeight="true" outlineLevel="0" collapsed="false">
      <c r="B138" s="1"/>
      <c r="C138" s="51" t="s">
        <v>78</v>
      </c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1"/>
      <c r="AC138" s="1"/>
      <c r="AD138" s="1"/>
      <c r="AE138" s="52" t="s">
        <v>79</v>
      </c>
      <c r="AF138" s="52"/>
      <c r="AG138" s="52"/>
      <c r="AH138" s="52"/>
      <c r="AI138" s="52"/>
      <c r="AJ138" s="52"/>
      <c r="AK138" s="52"/>
      <c r="AL138" s="1"/>
      <c r="AM138" s="1"/>
    </row>
    <row r="139" customFormat="false" ht="30" hidden="false" customHeight="true" outlineLevel="0" collapsed="false">
      <c r="B139" s="1"/>
      <c r="C139" s="53" t="s">
        <v>80</v>
      </c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4" t="s">
        <v>81</v>
      </c>
      <c r="AC139" s="54"/>
      <c r="AD139" s="54"/>
      <c r="AE139" s="54"/>
      <c r="AF139" s="54"/>
      <c r="AG139" s="54"/>
      <c r="AH139" s="54"/>
      <c r="AI139" s="54"/>
      <c r="AJ139" s="54"/>
      <c r="AK139" s="54"/>
      <c r="AL139" s="1"/>
      <c r="AM139" s="1"/>
    </row>
    <row r="140" customFormat="false" ht="15.75" hidden="false" customHeight="true" outlineLevel="0" collapsed="false">
      <c r="B140" s="1"/>
      <c r="C140" s="55" t="s">
        <v>82</v>
      </c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</row>
    <row r="141" customFormat="false" ht="9.75" hidden="false" customHeight="true" outlineLevel="0" collapsed="false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</row>
    <row r="142" customFormat="false" ht="3.75" hidden="false" customHeight="true" outlineLevel="0" collapsed="false"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</row>
    <row r="143" customFormat="false" ht="7.5" hidden="false" customHeight="true" outlineLevel="0" collapsed="false"/>
    <row r="144" customFormat="false" ht="13.5" hidden="false" customHeight="true" outlineLevel="0" collapsed="false">
      <c r="B144" s="56" t="s">
        <v>83</v>
      </c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P144" s="56" t="s">
        <v>84</v>
      </c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C144" s="56" t="s">
        <v>85</v>
      </c>
      <c r="AD144" s="56"/>
      <c r="AE144" s="56"/>
      <c r="AF144" s="56"/>
      <c r="AG144" s="56"/>
      <c r="AH144" s="56"/>
      <c r="AI144" s="56"/>
      <c r="AJ144" s="56"/>
      <c r="AK144" s="56"/>
      <c r="AL144" s="56"/>
      <c r="AM144" s="56"/>
    </row>
    <row r="145" customFormat="false" ht="21.75" hidden="false" customHeight="true" outlineLevel="0" collapsed="false">
      <c r="B145" s="57" t="str">
        <f aca="false">Dashboard!$C$6</f>
        <v>Bindhya TB</v>
      </c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P145" s="57" t="str">
        <f aca="false">Dashboard!$C$7</f>
        <v>Tourism &amp; Business</v>
      </c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C145" s="58" t="n">
        <f aca="false">Cal!A6</f>
        <v>46300</v>
      </c>
      <c r="AD145" s="58"/>
      <c r="AE145" s="58"/>
      <c r="AF145" s="58"/>
      <c r="AG145" s="58"/>
      <c r="AH145" s="58"/>
      <c r="AI145" s="58"/>
      <c r="AJ145" s="58"/>
      <c r="AK145" s="58"/>
      <c r="AL145" s="58"/>
      <c r="AM145" s="58"/>
    </row>
    <row r="146" customFormat="false" ht="9.75" hidden="false" customHeight="true" outlineLevel="0" collapsed="false"/>
    <row r="147" customFormat="false" ht="21.75" hidden="false" customHeight="true" outlineLevel="0" collapsed="false">
      <c r="B147" s="6"/>
      <c r="C147" s="19" t="s">
        <v>86</v>
      </c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59" t="s">
        <v>87</v>
      </c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  <c r="AF147" s="59"/>
      <c r="AG147" s="59"/>
      <c r="AH147" s="59"/>
      <c r="AI147" s="59"/>
      <c r="AJ147" s="59"/>
      <c r="AK147" s="59"/>
      <c r="AL147" s="59"/>
      <c r="AM147" s="59"/>
    </row>
    <row r="148" customFormat="false" ht="19.5" hidden="false" customHeight="true" outlineLevel="0" collapsed="false">
      <c r="B148" s="60"/>
      <c r="C148" s="61" t="n">
        <v>1</v>
      </c>
      <c r="D148" s="62" t="s">
        <v>88</v>
      </c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V148" s="60"/>
      <c r="W148" s="61" t="n">
        <v>2</v>
      </c>
      <c r="X148" s="62" t="s">
        <v>89</v>
      </c>
      <c r="Y148" s="62"/>
      <c r="Z148" s="62"/>
      <c r="AA148" s="62"/>
      <c r="AB148" s="62"/>
      <c r="AC148" s="62"/>
      <c r="AD148" s="62"/>
      <c r="AE148" s="62"/>
      <c r="AF148" s="62"/>
      <c r="AG148" s="62"/>
      <c r="AH148" s="62"/>
      <c r="AI148" s="62"/>
      <c r="AJ148" s="62"/>
      <c r="AK148" s="62"/>
      <c r="AL148" s="62"/>
      <c r="AM148" s="62"/>
    </row>
    <row r="149" customFormat="false" ht="49.5" hidden="false" customHeight="true" outlineLevel="0" collapsed="false">
      <c r="B149" s="63"/>
      <c r="C149" s="64"/>
      <c r="D149" s="64"/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5"/>
      <c r="V149" s="63"/>
      <c r="W149" s="77"/>
      <c r="X149" s="77"/>
      <c r="Y149" s="77"/>
      <c r="Z149" s="77"/>
      <c r="AA149" s="77"/>
      <c r="AB149" s="77"/>
      <c r="AC149" s="77"/>
      <c r="AD149" s="77"/>
      <c r="AE149" s="77"/>
      <c r="AF149" s="77"/>
      <c r="AG149" s="77"/>
      <c r="AH149" s="77"/>
      <c r="AI149" s="77"/>
      <c r="AJ149" s="77"/>
      <c r="AK149" s="77"/>
      <c r="AL149" s="77"/>
      <c r="AM149" s="65"/>
    </row>
    <row r="150" customFormat="false" ht="6" hidden="false" customHeight="true" outlineLevel="0" collapsed="false">
      <c r="B150" s="67"/>
      <c r="C150" s="68"/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  <c r="S150" s="68"/>
      <c r="T150" s="69"/>
      <c r="V150" s="67"/>
      <c r="W150" s="68"/>
      <c r="X150" s="68"/>
      <c r="Y150" s="68"/>
      <c r="Z150" s="68"/>
      <c r="AA150" s="68"/>
      <c r="AB150" s="68"/>
      <c r="AC150" s="68"/>
      <c r="AD150" s="68"/>
      <c r="AE150" s="68"/>
      <c r="AF150" s="68"/>
      <c r="AG150" s="68"/>
      <c r="AH150" s="68"/>
      <c r="AI150" s="68"/>
      <c r="AJ150" s="68"/>
      <c r="AK150" s="68"/>
      <c r="AL150" s="68"/>
      <c r="AM150" s="69"/>
    </row>
    <row r="151" customFormat="false" ht="9.75" hidden="false" customHeight="true" outlineLevel="0" collapsed="false"/>
    <row r="152" customFormat="false" ht="21.75" hidden="false" customHeight="true" outlineLevel="0" collapsed="false">
      <c r="B152" s="6"/>
      <c r="C152" s="19" t="s">
        <v>91</v>
      </c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59" t="s">
        <v>92</v>
      </c>
      <c r="W152" s="59"/>
      <c r="X152" s="59"/>
      <c r="Y152" s="59"/>
      <c r="Z152" s="59"/>
      <c r="AA152" s="59"/>
      <c r="AB152" s="59"/>
      <c r="AC152" s="59"/>
      <c r="AD152" s="59"/>
      <c r="AE152" s="59"/>
      <c r="AF152" s="59"/>
      <c r="AG152" s="59"/>
      <c r="AH152" s="59"/>
      <c r="AI152" s="59"/>
      <c r="AJ152" s="59"/>
      <c r="AK152" s="59"/>
      <c r="AL152" s="59"/>
      <c r="AM152" s="59"/>
    </row>
    <row r="153" customFormat="false" ht="27.75" hidden="false" customHeight="true" outlineLevel="0" collapsed="false">
      <c r="B153" s="60"/>
      <c r="C153" s="61" t="n">
        <v>3</v>
      </c>
      <c r="D153" s="62" t="s">
        <v>93</v>
      </c>
      <c r="E153" s="62"/>
      <c r="F153" s="62"/>
      <c r="G153" s="62"/>
      <c r="H153" s="62"/>
      <c r="I153" s="62"/>
      <c r="J153" s="62"/>
      <c r="L153" s="60"/>
      <c r="M153" s="61" t="n">
        <v>4</v>
      </c>
      <c r="N153" s="62" t="s">
        <v>94</v>
      </c>
      <c r="O153" s="62"/>
      <c r="P153" s="62"/>
      <c r="Q153" s="62"/>
      <c r="R153" s="62"/>
      <c r="S153" s="62"/>
      <c r="T153" s="62"/>
      <c r="V153" s="60"/>
      <c r="W153" s="61" t="n">
        <v>5</v>
      </c>
      <c r="X153" s="62" t="s">
        <v>95</v>
      </c>
      <c r="Y153" s="62"/>
      <c r="Z153" s="62"/>
      <c r="AA153" s="62"/>
      <c r="AB153" s="62"/>
      <c r="AC153" s="62"/>
      <c r="AD153" s="62"/>
      <c r="AF153" s="60"/>
      <c r="AG153" s="61" t="n">
        <v>6</v>
      </c>
      <c r="AH153" s="62" t="s">
        <v>96</v>
      </c>
      <c r="AI153" s="62"/>
      <c r="AJ153" s="62"/>
      <c r="AK153" s="62"/>
      <c r="AL153" s="62"/>
      <c r="AM153" s="62"/>
    </row>
    <row r="154" customFormat="false" ht="25.5" hidden="false" customHeight="true" outlineLevel="0" collapsed="false">
      <c r="B154" s="63"/>
      <c r="C154" s="64"/>
      <c r="D154" s="64"/>
      <c r="E154" s="64"/>
      <c r="F154" s="64"/>
      <c r="G154" s="64"/>
      <c r="H154" s="64"/>
      <c r="I154" s="64"/>
      <c r="J154" s="65"/>
      <c r="L154" s="63"/>
      <c r="M154" s="64"/>
      <c r="N154" s="64"/>
      <c r="O154" s="64"/>
      <c r="P154" s="64"/>
      <c r="Q154" s="64"/>
      <c r="R154" s="64"/>
      <c r="S154" s="64"/>
      <c r="T154" s="65"/>
      <c r="V154" s="63"/>
      <c r="W154" s="70"/>
      <c r="X154" s="70"/>
      <c r="Y154" s="70"/>
      <c r="Z154" s="70"/>
      <c r="AA154" s="70"/>
      <c r="AB154" s="70"/>
      <c r="AC154" s="70"/>
      <c r="AD154" s="65"/>
      <c r="AF154" s="63"/>
      <c r="AG154" s="64"/>
      <c r="AH154" s="64"/>
      <c r="AI154" s="64"/>
      <c r="AJ154" s="64"/>
      <c r="AK154" s="64"/>
      <c r="AL154" s="64"/>
      <c r="AM154" s="65"/>
    </row>
    <row r="155" customFormat="false" ht="6" hidden="false" customHeight="true" outlineLevel="0" collapsed="false">
      <c r="B155" s="67"/>
      <c r="C155" s="68"/>
      <c r="D155" s="68"/>
      <c r="E155" s="68"/>
      <c r="F155" s="68"/>
      <c r="G155" s="68"/>
      <c r="H155" s="68"/>
      <c r="I155" s="68"/>
      <c r="J155" s="69"/>
      <c r="L155" s="67"/>
      <c r="M155" s="68"/>
      <c r="N155" s="68"/>
      <c r="O155" s="68"/>
      <c r="P155" s="68"/>
      <c r="Q155" s="68"/>
      <c r="R155" s="68"/>
      <c r="S155" s="68"/>
      <c r="T155" s="69"/>
      <c r="V155" s="67"/>
      <c r="W155" s="68"/>
      <c r="X155" s="68"/>
      <c r="Y155" s="68"/>
      <c r="Z155" s="68"/>
      <c r="AA155" s="68"/>
      <c r="AB155" s="68"/>
      <c r="AC155" s="68"/>
      <c r="AD155" s="69"/>
      <c r="AF155" s="67"/>
      <c r="AG155" s="68"/>
      <c r="AH155" s="68"/>
      <c r="AI155" s="68"/>
      <c r="AJ155" s="68"/>
      <c r="AK155" s="68"/>
      <c r="AL155" s="68"/>
      <c r="AM155" s="69"/>
    </row>
    <row r="156" customFormat="false" ht="9.75" hidden="false" customHeight="true" outlineLevel="0" collapsed="false"/>
    <row r="157" customFormat="false" ht="21.75" hidden="false" customHeight="true" outlineLevel="0" collapsed="false">
      <c r="B157" s="6"/>
      <c r="C157" s="19" t="s">
        <v>98</v>
      </c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59" t="s">
        <v>99</v>
      </c>
      <c r="W157" s="59"/>
      <c r="X157" s="59"/>
      <c r="Y157" s="59"/>
      <c r="Z157" s="59"/>
      <c r="AA157" s="59"/>
      <c r="AB157" s="59"/>
      <c r="AC157" s="59"/>
      <c r="AD157" s="59"/>
      <c r="AE157" s="59"/>
      <c r="AF157" s="59"/>
      <c r="AG157" s="59"/>
      <c r="AH157" s="59"/>
      <c r="AI157" s="59"/>
      <c r="AJ157" s="59"/>
      <c r="AK157" s="59"/>
      <c r="AL157" s="59"/>
      <c r="AM157" s="59"/>
    </row>
    <row r="158" customFormat="false" ht="27.75" hidden="false" customHeight="true" outlineLevel="0" collapsed="false">
      <c r="B158" s="60"/>
      <c r="C158" s="61" t="n">
        <v>7</v>
      </c>
      <c r="D158" s="62" t="s">
        <v>100</v>
      </c>
      <c r="E158" s="62"/>
      <c r="F158" s="62"/>
      <c r="G158" s="62"/>
      <c r="H158" s="62"/>
      <c r="J158" s="60"/>
      <c r="K158" s="61" t="n">
        <v>8</v>
      </c>
      <c r="L158" s="62" t="s">
        <v>101</v>
      </c>
      <c r="M158" s="62"/>
      <c r="N158" s="62"/>
      <c r="O158" s="62"/>
      <c r="P158" s="62"/>
      <c r="R158" s="60"/>
      <c r="S158" s="61" t="n">
        <v>9</v>
      </c>
      <c r="T158" s="62" t="s">
        <v>102</v>
      </c>
      <c r="U158" s="62"/>
      <c r="V158" s="62"/>
      <c r="W158" s="62"/>
      <c r="X158" s="62"/>
      <c r="Z158" s="60"/>
      <c r="AA158" s="61" t="n">
        <v>10</v>
      </c>
      <c r="AB158" s="62" t="s">
        <v>103</v>
      </c>
      <c r="AC158" s="62"/>
      <c r="AD158" s="62"/>
      <c r="AE158" s="62"/>
      <c r="AF158" s="62"/>
      <c r="AH158" s="60"/>
      <c r="AI158" s="61" t="n">
        <v>11</v>
      </c>
      <c r="AJ158" s="62" t="s">
        <v>104</v>
      </c>
      <c r="AK158" s="62"/>
      <c r="AL158" s="62"/>
      <c r="AM158" s="62"/>
    </row>
    <row r="159" customFormat="false" ht="25.5" hidden="false" customHeight="true" outlineLevel="0" collapsed="false">
      <c r="B159" s="63"/>
      <c r="C159" s="64"/>
      <c r="D159" s="64"/>
      <c r="E159" s="64"/>
      <c r="F159" s="64"/>
      <c r="G159" s="64"/>
      <c r="H159" s="65"/>
      <c r="J159" s="63"/>
      <c r="K159" s="64"/>
      <c r="L159" s="64"/>
      <c r="M159" s="64"/>
      <c r="N159" s="64"/>
      <c r="O159" s="64"/>
      <c r="P159" s="65"/>
      <c r="R159" s="63"/>
      <c r="S159" s="64"/>
      <c r="T159" s="64"/>
      <c r="U159" s="64"/>
      <c r="V159" s="64"/>
      <c r="W159" s="64"/>
      <c r="X159" s="65"/>
      <c r="Z159" s="63"/>
      <c r="AA159" s="64"/>
      <c r="AB159" s="64"/>
      <c r="AC159" s="64"/>
      <c r="AD159" s="64"/>
      <c r="AE159" s="64"/>
      <c r="AF159" s="65"/>
      <c r="AH159" s="63"/>
      <c r="AI159" s="64"/>
      <c r="AJ159" s="64"/>
      <c r="AK159" s="64"/>
      <c r="AL159" s="64"/>
      <c r="AM159" s="65"/>
    </row>
    <row r="160" customFormat="false" ht="6" hidden="false" customHeight="true" outlineLevel="0" collapsed="false">
      <c r="B160" s="67"/>
      <c r="C160" s="68"/>
      <c r="D160" s="68"/>
      <c r="E160" s="68"/>
      <c r="F160" s="68"/>
      <c r="G160" s="68"/>
      <c r="H160" s="69"/>
      <c r="J160" s="67"/>
      <c r="K160" s="68"/>
      <c r="L160" s="68"/>
      <c r="M160" s="68"/>
      <c r="N160" s="68"/>
      <c r="O160" s="68"/>
      <c r="P160" s="69"/>
      <c r="R160" s="67"/>
      <c r="S160" s="68"/>
      <c r="T160" s="68"/>
      <c r="U160" s="68"/>
      <c r="V160" s="68"/>
      <c r="W160" s="68"/>
      <c r="X160" s="69"/>
      <c r="Z160" s="67"/>
      <c r="AA160" s="68"/>
      <c r="AB160" s="68"/>
      <c r="AC160" s="68"/>
      <c r="AD160" s="68"/>
      <c r="AE160" s="68"/>
      <c r="AF160" s="69"/>
      <c r="AH160" s="67"/>
      <c r="AI160" s="68"/>
      <c r="AJ160" s="68"/>
      <c r="AK160" s="68"/>
      <c r="AL160" s="68"/>
      <c r="AM160" s="69"/>
    </row>
    <row r="161" customFormat="false" ht="9.75" hidden="false" customHeight="true" outlineLevel="0" collapsed="false"/>
    <row r="162" customFormat="false" ht="21.75" hidden="false" customHeight="true" outlineLevel="0" collapsed="false">
      <c r="B162" s="6"/>
      <c r="C162" s="19" t="s">
        <v>105</v>
      </c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59" t="s">
        <v>106</v>
      </c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  <c r="AF162" s="59"/>
      <c r="AG162" s="59"/>
      <c r="AH162" s="59"/>
      <c r="AI162" s="59"/>
      <c r="AJ162" s="59"/>
      <c r="AK162" s="59"/>
      <c r="AL162" s="59"/>
      <c r="AM162" s="59"/>
    </row>
    <row r="163" customFormat="false" ht="24" hidden="false" customHeight="true" outlineLevel="0" collapsed="false"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  <c r="AA163" s="72"/>
      <c r="AB163" s="72"/>
      <c r="AC163" s="72"/>
      <c r="AD163" s="72"/>
      <c r="AE163" s="72"/>
      <c r="AF163" s="72"/>
      <c r="AG163" s="72"/>
      <c r="AH163" s="72"/>
      <c r="AI163" s="72"/>
      <c r="AJ163" s="72"/>
      <c r="AK163" s="72"/>
      <c r="AL163" s="72"/>
      <c r="AM163" s="72"/>
    </row>
    <row r="164" customFormat="false" ht="24" hidden="false" customHeight="true" outlineLevel="0" collapsed="false"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  <c r="AA164" s="72"/>
      <c r="AB164" s="72"/>
      <c r="AC164" s="72"/>
      <c r="AD164" s="72"/>
      <c r="AE164" s="72"/>
      <c r="AF164" s="72"/>
      <c r="AG164" s="72"/>
      <c r="AH164" s="72"/>
      <c r="AI164" s="72"/>
      <c r="AJ164" s="72"/>
      <c r="AK164" s="72"/>
      <c r="AL164" s="72"/>
      <c r="AM164" s="72"/>
    </row>
    <row r="165" customFormat="false" ht="24" hidden="false" customHeight="true" outlineLevel="0" collapsed="false"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  <c r="AA165" s="72"/>
      <c r="AB165" s="72"/>
      <c r="AC165" s="72"/>
      <c r="AD165" s="72"/>
      <c r="AE165" s="72"/>
      <c r="AF165" s="72"/>
      <c r="AG165" s="72"/>
      <c r="AH165" s="72"/>
      <c r="AI165" s="72"/>
      <c r="AJ165" s="72"/>
      <c r="AK165" s="72"/>
      <c r="AL165" s="72"/>
      <c r="AM165" s="72"/>
    </row>
    <row r="166" customFormat="false" ht="295.5" hidden="false" customHeight="true" outlineLevel="0" collapsed="false"/>
    <row r="167" customFormat="false" ht="6" hidden="false" customHeight="true" outlineLevel="0" collapsed="false"/>
    <row r="168" customFormat="false" ht="19.5" hidden="false" customHeight="true" outlineLevel="0" collapsed="false">
      <c r="B168" s="73" t="s">
        <v>107</v>
      </c>
      <c r="C168" s="73"/>
      <c r="D168" s="73"/>
      <c r="E168" s="73"/>
      <c r="F168" s="73"/>
      <c r="G168" s="73"/>
      <c r="H168" s="73"/>
      <c r="I168" s="73"/>
      <c r="J168" s="73"/>
      <c r="K168" s="73"/>
      <c r="L168" s="74" t="s">
        <v>108</v>
      </c>
      <c r="M168" s="74"/>
      <c r="N168" s="74"/>
      <c r="O168" s="74"/>
      <c r="P168" s="74"/>
      <c r="Q168" s="74"/>
      <c r="R168" s="74"/>
      <c r="S168" s="74"/>
      <c r="U168" s="73" t="s">
        <v>109</v>
      </c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4" t="s">
        <v>108</v>
      </c>
      <c r="AG168" s="74"/>
      <c r="AH168" s="74"/>
      <c r="AI168" s="74"/>
      <c r="AJ168" s="74"/>
      <c r="AK168" s="74"/>
      <c r="AL168" s="74"/>
      <c r="AM168" s="74"/>
    </row>
    <row r="169" customFormat="false" ht="9.75" hidden="false" customHeight="true" outlineLevel="0" collapsed="false"/>
    <row r="170" customFormat="false" ht="18" hidden="false" customHeight="true" outlineLevel="0" collapsed="false">
      <c r="B170" s="75" t="s">
        <v>110</v>
      </c>
      <c r="C170" s="75"/>
      <c r="D170" s="75"/>
      <c r="E170" s="75"/>
      <c r="F170" s="75"/>
      <c r="G170" s="75"/>
      <c r="H170" s="75"/>
      <c r="I170" s="75"/>
      <c r="J170" s="75"/>
      <c r="K170" s="75"/>
      <c r="L170" s="75"/>
      <c r="M170" s="75"/>
      <c r="N170" s="75"/>
      <c r="O170" s="75"/>
      <c r="P170" s="75"/>
      <c r="Q170" s="75"/>
      <c r="R170" s="75"/>
      <c r="S170" s="75"/>
      <c r="T170" s="76" t="s">
        <v>111</v>
      </c>
      <c r="U170" s="76"/>
      <c r="V170" s="76"/>
      <c r="W170" s="76"/>
      <c r="X170" s="76"/>
      <c r="Y170" s="76"/>
      <c r="Z170" s="76"/>
      <c r="AA170" s="76"/>
      <c r="AB170" s="76"/>
      <c r="AC170" s="76"/>
      <c r="AD170" s="76"/>
      <c r="AE170" s="76"/>
      <c r="AF170" s="76"/>
      <c r="AG170" s="76"/>
      <c r="AH170" s="76"/>
      <c r="AI170" s="76"/>
      <c r="AJ170" s="76"/>
      <c r="AK170" s="76"/>
      <c r="AL170" s="76"/>
      <c r="AM170" s="76"/>
    </row>
    <row r="171" customFormat="false" ht="7.5" hidden="false" customHeight="true" outlineLevel="0" collapsed="false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</row>
    <row r="172" customFormat="false" ht="19.5" hidden="false" customHeight="true" outlineLevel="0" collapsed="false">
      <c r="B172" s="1"/>
      <c r="C172" s="51" t="s">
        <v>78</v>
      </c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  <c r="AA172" s="51"/>
      <c r="AB172" s="1"/>
      <c r="AC172" s="1"/>
      <c r="AD172" s="1"/>
      <c r="AE172" s="52" t="s">
        <v>79</v>
      </c>
      <c r="AF172" s="52"/>
      <c r="AG172" s="52"/>
      <c r="AH172" s="52"/>
      <c r="AI172" s="52"/>
      <c r="AJ172" s="52"/>
      <c r="AK172" s="52"/>
      <c r="AL172" s="1"/>
      <c r="AM172" s="1"/>
    </row>
    <row r="173" customFormat="false" ht="30" hidden="false" customHeight="true" outlineLevel="0" collapsed="false">
      <c r="B173" s="1"/>
      <c r="C173" s="53" t="s">
        <v>80</v>
      </c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4" t="s">
        <v>81</v>
      </c>
      <c r="AC173" s="54"/>
      <c r="AD173" s="54"/>
      <c r="AE173" s="54"/>
      <c r="AF173" s="54"/>
      <c r="AG173" s="54"/>
      <c r="AH173" s="54"/>
      <c r="AI173" s="54"/>
      <c r="AJ173" s="54"/>
      <c r="AK173" s="54"/>
      <c r="AL173" s="1"/>
      <c r="AM173" s="1"/>
    </row>
    <row r="174" customFormat="false" ht="15.75" hidden="false" customHeight="true" outlineLevel="0" collapsed="false">
      <c r="B174" s="1"/>
      <c r="C174" s="55" t="s">
        <v>82</v>
      </c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</row>
    <row r="175" customFormat="false" ht="9.75" hidden="false" customHeight="true" outlineLevel="0" collapsed="false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</row>
    <row r="176" customFormat="false" ht="3.75" hidden="false" customHeight="true" outlineLevel="0" collapsed="false"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</row>
    <row r="177" customFormat="false" ht="7.5" hidden="false" customHeight="true" outlineLevel="0" collapsed="false"/>
    <row r="178" customFormat="false" ht="13.5" hidden="false" customHeight="true" outlineLevel="0" collapsed="false">
      <c r="B178" s="56" t="s">
        <v>83</v>
      </c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P178" s="56" t="s">
        <v>84</v>
      </c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C178" s="56" t="s">
        <v>85</v>
      </c>
      <c r="AD178" s="56"/>
      <c r="AE178" s="56"/>
      <c r="AF178" s="56"/>
      <c r="AG178" s="56"/>
      <c r="AH178" s="56"/>
      <c r="AI178" s="56"/>
      <c r="AJ178" s="56"/>
      <c r="AK178" s="56"/>
      <c r="AL178" s="56"/>
      <c r="AM178" s="56"/>
    </row>
    <row r="179" customFormat="false" ht="21.75" hidden="false" customHeight="true" outlineLevel="0" collapsed="false">
      <c r="B179" s="57" t="str">
        <f aca="false">Dashboard!$C$6</f>
        <v>Bindhya TB</v>
      </c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P179" s="57" t="str">
        <f aca="false">Dashboard!$C$7</f>
        <v>Tourism &amp; Business</v>
      </c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C179" s="58" t="n">
        <f aca="false">Cal!A7</f>
        <v>46301</v>
      </c>
      <c r="AD179" s="58"/>
      <c r="AE179" s="58"/>
      <c r="AF179" s="58"/>
      <c r="AG179" s="58"/>
      <c r="AH179" s="58"/>
      <c r="AI179" s="58"/>
      <c r="AJ179" s="58"/>
      <c r="AK179" s="58"/>
      <c r="AL179" s="58"/>
      <c r="AM179" s="58"/>
    </row>
    <row r="180" customFormat="false" ht="9.75" hidden="false" customHeight="true" outlineLevel="0" collapsed="false"/>
    <row r="181" customFormat="false" ht="21.75" hidden="false" customHeight="true" outlineLevel="0" collapsed="false">
      <c r="B181" s="6"/>
      <c r="C181" s="19" t="s">
        <v>86</v>
      </c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59" t="s">
        <v>87</v>
      </c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  <c r="AF181" s="59"/>
      <c r="AG181" s="59"/>
      <c r="AH181" s="59"/>
      <c r="AI181" s="59"/>
      <c r="AJ181" s="59"/>
      <c r="AK181" s="59"/>
      <c r="AL181" s="59"/>
      <c r="AM181" s="59"/>
    </row>
    <row r="182" customFormat="false" ht="19.5" hidden="false" customHeight="true" outlineLevel="0" collapsed="false">
      <c r="B182" s="60"/>
      <c r="C182" s="61" t="n">
        <v>1</v>
      </c>
      <c r="D182" s="62" t="s">
        <v>88</v>
      </c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V182" s="60"/>
      <c r="W182" s="61" t="n">
        <v>2</v>
      </c>
      <c r="X182" s="62" t="s">
        <v>89</v>
      </c>
      <c r="Y182" s="62"/>
      <c r="Z182" s="62"/>
      <c r="AA182" s="62"/>
      <c r="AB182" s="62"/>
      <c r="AC182" s="62"/>
      <c r="AD182" s="62"/>
      <c r="AE182" s="62"/>
      <c r="AF182" s="62"/>
      <c r="AG182" s="62"/>
      <c r="AH182" s="62"/>
      <c r="AI182" s="62"/>
      <c r="AJ182" s="62"/>
      <c r="AK182" s="62"/>
      <c r="AL182" s="62"/>
      <c r="AM182" s="62"/>
    </row>
    <row r="183" customFormat="false" ht="49.5" hidden="false" customHeight="true" outlineLevel="0" collapsed="false">
      <c r="B183" s="63"/>
      <c r="C183" s="64"/>
      <c r="D183" s="64"/>
      <c r="E183" s="64"/>
      <c r="F183" s="64"/>
      <c r="G183" s="64"/>
      <c r="H183" s="64"/>
      <c r="I183" s="64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5"/>
      <c r="V183" s="63"/>
      <c r="W183" s="77"/>
      <c r="X183" s="77"/>
      <c r="Y183" s="77"/>
      <c r="Z183" s="77"/>
      <c r="AA183" s="77"/>
      <c r="AB183" s="77"/>
      <c r="AC183" s="77"/>
      <c r="AD183" s="77"/>
      <c r="AE183" s="77"/>
      <c r="AF183" s="77"/>
      <c r="AG183" s="77"/>
      <c r="AH183" s="77"/>
      <c r="AI183" s="77"/>
      <c r="AJ183" s="77"/>
      <c r="AK183" s="77"/>
      <c r="AL183" s="77"/>
      <c r="AM183" s="65"/>
    </row>
    <row r="184" customFormat="false" ht="6" hidden="false" customHeight="true" outlineLevel="0" collapsed="false">
      <c r="B184" s="67"/>
      <c r="C184" s="68"/>
      <c r="D184" s="68"/>
      <c r="E184" s="68"/>
      <c r="F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  <c r="S184" s="68"/>
      <c r="T184" s="69"/>
      <c r="V184" s="67"/>
      <c r="W184" s="68"/>
      <c r="X184" s="68"/>
      <c r="Y184" s="68"/>
      <c r="Z184" s="68"/>
      <c r="AA184" s="68"/>
      <c r="AB184" s="68"/>
      <c r="AC184" s="68"/>
      <c r="AD184" s="68"/>
      <c r="AE184" s="68"/>
      <c r="AF184" s="68"/>
      <c r="AG184" s="68"/>
      <c r="AH184" s="68"/>
      <c r="AI184" s="68"/>
      <c r="AJ184" s="68"/>
      <c r="AK184" s="68"/>
      <c r="AL184" s="68"/>
      <c r="AM184" s="69"/>
    </row>
    <row r="185" customFormat="false" ht="9.75" hidden="false" customHeight="true" outlineLevel="0" collapsed="false"/>
    <row r="186" customFormat="false" ht="21.75" hidden="false" customHeight="true" outlineLevel="0" collapsed="false">
      <c r="B186" s="6"/>
      <c r="C186" s="19" t="s">
        <v>91</v>
      </c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59" t="s">
        <v>92</v>
      </c>
      <c r="W186" s="59"/>
      <c r="X186" s="59"/>
      <c r="Y186" s="59"/>
      <c r="Z186" s="59"/>
      <c r="AA186" s="59"/>
      <c r="AB186" s="59"/>
      <c r="AC186" s="59"/>
      <c r="AD186" s="59"/>
      <c r="AE186" s="59"/>
      <c r="AF186" s="59"/>
      <c r="AG186" s="59"/>
      <c r="AH186" s="59"/>
      <c r="AI186" s="59"/>
      <c r="AJ186" s="59"/>
      <c r="AK186" s="59"/>
      <c r="AL186" s="59"/>
      <c r="AM186" s="59"/>
    </row>
    <row r="187" customFormat="false" ht="27.75" hidden="false" customHeight="true" outlineLevel="0" collapsed="false">
      <c r="B187" s="60"/>
      <c r="C187" s="61" t="n">
        <v>3</v>
      </c>
      <c r="D187" s="62" t="s">
        <v>93</v>
      </c>
      <c r="E187" s="62"/>
      <c r="F187" s="62"/>
      <c r="G187" s="62"/>
      <c r="H187" s="62"/>
      <c r="I187" s="62"/>
      <c r="J187" s="62"/>
      <c r="L187" s="60"/>
      <c r="M187" s="61" t="n">
        <v>4</v>
      </c>
      <c r="N187" s="62" t="s">
        <v>94</v>
      </c>
      <c r="O187" s="62"/>
      <c r="P187" s="62"/>
      <c r="Q187" s="62"/>
      <c r="R187" s="62"/>
      <c r="S187" s="62"/>
      <c r="T187" s="62"/>
      <c r="V187" s="60"/>
      <c r="W187" s="61" t="n">
        <v>5</v>
      </c>
      <c r="X187" s="62" t="s">
        <v>95</v>
      </c>
      <c r="Y187" s="62"/>
      <c r="Z187" s="62"/>
      <c r="AA187" s="62"/>
      <c r="AB187" s="62"/>
      <c r="AC187" s="62"/>
      <c r="AD187" s="62"/>
      <c r="AF187" s="60"/>
      <c r="AG187" s="61" t="n">
        <v>6</v>
      </c>
      <c r="AH187" s="62" t="s">
        <v>96</v>
      </c>
      <c r="AI187" s="62"/>
      <c r="AJ187" s="62"/>
      <c r="AK187" s="62"/>
      <c r="AL187" s="62"/>
      <c r="AM187" s="62"/>
    </row>
    <row r="188" customFormat="false" ht="25.5" hidden="false" customHeight="true" outlineLevel="0" collapsed="false">
      <c r="B188" s="63"/>
      <c r="C188" s="64"/>
      <c r="D188" s="64"/>
      <c r="E188" s="64"/>
      <c r="F188" s="64"/>
      <c r="G188" s="64"/>
      <c r="H188" s="64"/>
      <c r="I188" s="64"/>
      <c r="J188" s="65"/>
      <c r="L188" s="63"/>
      <c r="M188" s="64"/>
      <c r="N188" s="64"/>
      <c r="O188" s="64"/>
      <c r="P188" s="64"/>
      <c r="Q188" s="64"/>
      <c r="R188" s="64"/>
      <c r="S188" s="64"/>
      <c r="T188" s="65"/>
      <c r="V188" s="63"/>
      <c r="W188" s="70"/>
      <c r="X188" s="70"/>
      <c r="Y188" s="70"/>
      <c r="Z188" s="70"/>
      <c r="AA188" s="70"/>
      <c r="AB188" s="70"/>
      <c r="AC188" s="70"/>
      <c r="AD188" s="65"/>
      <c r="AF188" s="63"/>
      <c r="AG188" s="64"/>
      <c r="AH188" s="64"/>
      <c r="AI188" s="64"/>
      <c r="AJ188" s="64"/>
      <c r="AK188" s="64"/>
      <c r="AL188" s="64"/>
      <c r="AM188" s="65"/>
    </row>
    <row r="189" customFormat="false" ht="6" hidden="false" customHeight="true" outlineLevel="0" collapsed="false">
      <c r="B189" s="67"/>
      <c r="C189" s="68"/>
      <c r="D189" s="68"/>
      <c r="E189" s="68"/>
      <c r="F189" s="68"/>
      <c r="G189" s="68"/>
      <c r="H189" s="68"/>
      <c r="I189" s="68"/>
      <c r="J189" s="69"/>
      <c r="L189" s="67"/>
      <c r="M189" s="68"/>
      <c r="N189" s="68"/>
      <c r="O189" s="68"/>
      <c r="P189" s="68"/>
      <c r="Q189" s="68"/>
      <c r="R189" s="68"/>
      <c r="S189" s="68"/>
      <c r="T189" s="69"/>
      <c r="V189" s="67"/>
      <c r="W189" s="68"/>
      <c r="X189" s="68"/>
      <c r="Y189" s="68"/>
      <c r="Z189" s="68"/>
      <c r="AA189" s="68"/>
      <c r="AB189" s="68"/>
      <c r="AC189" s="68"/>
      <c r="AD189" s="69"/>
      <c r="AF189" s="67"/>
      <c r="AG189" s="68"/>
      <c r="AH189" s="68"/>
      <c r="AI189" s="68"/>
      <c r="AJ189" s="68"/>
      <c r="AK189" s="68"/>
      <c r="AL189" s="68"/>
      <c r="AM189" s="69"/>
    </row>
    <row r="190" customFormat="false" ht="9.75" hidden="false" customHeight="true" outlineLevel="0" collapsed="false"/>
    <row r="191" customFormat="false" ht="21.75" hidden="false" customHeight="true" outlineLevel="0" collapsed="false">
      <c r="B191" s="6"/>
      <c r="C191" s="19" t="s">
        <v>98</v>
      </c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59" t="s">
        <v>99</v>
      </c>
      <c r="W191" s="59"/>
      <c r="X191" s="59"/>
      <c r="Y191" s="59"/>
      <c r="Z191" s="59"/>
      <c r="AA191" s="59"/>
      <c r="AB191" s="59"/>
      <c r="AC191" s="59"/>
      <c r="AD191" s="59"/>
      <c r="AE191" s="59"/>
      <c r="AF191" s="59"/>
      <c r="AG191" s="59"/>
      <c r="AH191" s="59"/>
      <c r="AI191" s="59"/>
      <c r="AJ191" s="59"/>
      <c r="AK191" s="59"/>
      <c r="AL191" s="59"/>
      <c r="AM191" s="59"/>
    </row>
    <row r="192" customFormat="false" ht="27.75" hidden="false" customHeight="true" outlineLevel="0" collapsed="false">
      <c r="B192" s="60"/>
      <c r="C192" s="61" t="n">
        <v>7</v>
      </c>
      <c r="D192" s="62" t="s">
        <v>100</v>
      </c>
      <c r="E192" s="62"/>
      <c r="F192" s="62"/>
      <c r="G192" s="62"/>
      <c r="H192" s="62"/>
      <c r="J192" s="60"/>
      <c r="K192" s="61" t="n">
        <v>8</v>
      </c>
      <c r="L192" s="62" t="s">
        <v>101</v>
      </c>
      <c r="M192" s="62"/>
      <c r="N192" s="62"/>
      <c r="O192" s="62"/>
      <c r="P192" s="62"/>
      <c r="R192" s="60"/>
      <c r="S192" s="61" t="n">
        <v>9</v>
      </c>
      <c r="T192" s="62" t="s">
        <v>102</v>
      </c>
      <c r="U192" s="62"/>
      <c r="V192" s="62"/>
      <c r="W192" s="62"/>
      <c r="X192" s="62"/>
      <c r="Z192" s="60"/>
      <c r="AA192" s="61" t="n">
        <v>10</v>
      </c>
      <c r="AB192" s="62" t="s">
        <v>103</v>
      </c>
      <c r="AC192" s="62"/>
      <c r="AD192" s="62"/>
      <c r="AE192" s="62"/>
      <c r="AF192" s="62"/>
      <c r="AH192" s="60"/>
      <c r="AI192" s="61" t="n">
        <v>11</v>
      </c>
      <c r="AJ192" s="62" t="s">
        <v>104</v>
      </c>
      <c r="AK192" s="62"/>
      <c r="AL192" s="62"/>
      <c r="AM192" s="62"/>
    </row>
    <row r="193" customFormat="false" ht="25.5" hidden="false" customHeight="true" outlineLevel="0" collapsed="false">
      <c r="B193" s="63"/>
      <c r="C193" s="64"/>
      <c r="D193" s="64"/>
      <c r="E193" s="64"/>
      <c r="F193" s="64"/>
      <c r="G193" s="64"/>
      <c r="H193" s="65"/>
      <c r="J193" s="63"/>
      <c r="K193" s="64"/>
      <c r="L193" s="64"/>
      <c r="M193" s="64"/>
      <c r="N193" s="64"/>
      <c r="O193" s="64"/>
      <c r="P193" s="65"/>
      <c r="R193" s="63"/>
      <c r="S193" s="64"/>
      <c r="T193" s="64"/>
      <c r="U193" s="64"/>
      <c r="V193" s="64"/>
      <c r="W193" s="64"/>
      <c r="X193" s="65"/>
      <c r="Z193" s="63"/>
      <c r="AA193" s="64"/>
      <c r="AB193" s="64"/>
      <c r="AC193" s="64"/>
      <c r="AD193" s="64"/>
      <c r="AE193" s="64"/>
      <c r="AF193" s="65"/>
      <c r="AH193" s="63"/>
      <c r="AI193" s="64"/>
      <c r="AJ193" s="64"/>
      <c r="AK193" s="64"/>
      <c r="AL193" s="64"/>
      <c r="AM193" s="65"/>
    </row>
    <row r="194" customFormat="false" ht="6" hidden="false" customHeight="true" outlineLevel="0" collapsed="false">
      <c r="B194" s="67"/>
      <c r="C194" s="68"/>
      <c r="D194" s="68"/>
      <c r="E194" s="68"/>
      <c r="F194" s="68"/>
      <c r="G194" s="68"/>
      <c r="H194" s="69"/>
      <c r="J194" s="67"/>
      <c r="K194" s="68"/>
      <c r="L194" s="68"/>
      <c r="M194" s="68"/>
      <c r="N194" s="68"/>
      <c r="O194" s="68"/>
      <c r="P194" s="69"/>
      <c r="R194" s="67"/>
      <c r="S194" s="68"/>
      <c r="T194" s="68"/>
      <c r="U194" s="68"/>
      <c r="V194" s="68"/>
      <c r="W194" s="68"/>
      <c r="X194" s="69"/>
      <c r="Z194" s="67"/>
      <c r="AA194" s="68"/>
      <c r="AB194" s="68"/>
      <c r="AC194" s="68"/>
      <c r="AD194" s="68"/>
      <c r="AE194" s="68"/>
      <c r="AF194" s="69"/>
      <c r="AH194" s="67"/>
      <c r="AI194" s="68"/>
      <c r="AJ194" s="68"/>
      <c r="AK194" s="68"/>
      <c r="AL194" s="68"/>
      <c r="AM194" s="69"/>
    </row>
    <row r="195" customFormat="false" ht="9.75" hidden="false" customHeight="true" outlineLevel="0" collapsed="false"/>
    <row r="196" customFormat="false" ht="21.75" hidden="false" customHeight="true" outlineLevel="0" collapsed="false">
      <c r="B196" s="6"/>
      <c r="C196" s="19" t="s">
        <v>105</v>
      </c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59" t="s">
        <v>106</v>
      </c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  <c r="AF196" s="59"/>
      <c r="AG196" s="59"/>
      <c r="AH196" s="59"/>
      <c r="AI196" s="59"/>
      <c r="AJ196" s="59"/>
      <c r="AK196" s="59"/>
      <c r="AL196" s="59"/>
      <c r="AM196" s="59"/>
    </row>
    <row r="197" customFormat="false" ht="24" hidden="false" customHeight="true" outlineLevel="0" collapsed="false"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  <c r="AA197" s="72"/>
      <c r="AB197" s="72"/>
      <c r="AC197" s="72"/>
      <c r="AD197" s="72"/>
      <c r="AE197" s="72"/>
      <c r="AF197" s="72"/>
      <c r="AG197" s="72"/>
      <c r="AH197" s="72"/>
      <c r="AI197" s="72"/>
      <c r="AJ197" s="72"/>
      <c r="AK197" s="72"/>
      <c r="AL197" s="72"/>
      <c r="AM197" s="72"/>
    </row>
    <row r="198" customFormat="false" ht="24" hidden="false" customHeight="true" outlineLevel="0" collapsed="false"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  <c r="AA198" s="72"/>
      <c r="AB198" s="72"/>
      <c r="AC198" s="72"/>
      <c r="AD198" s="72"/>
      <c r="AE198" s="72"/>
      <c r="AF198" s="72"/>
      <c r="AG198" s="72"/>
      <c r="AH198" s="72"/>
      <c r="AI198" s="72"/>
      <c r="AJ198" s="72"/>
      <c r="AK198" s="72"/>
      <c r="AL198" s="72"/>
      <c r="AM198" s="72"/>
    </row>
    <row r="199" customFormat="false" ht="24" hidden="false" customHeight="true" outlineLevel="0" collapsed="false"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  <c r="AA199" s="72"/>
      <c r="AB199" s="72"/>
      <c r="AC199" s="72"/>
      <c r="AD199" s="72"/>
      <c r="AE199" s="72"/>
      <c r="AF199" s="72"/>
      <c r="AG199" s="72"/>
      <c r="AH199" s="72"/>
      <c r="AI199" s="72"/>
      <c r="AJ199" s="72"/>
      <c r="AK199" s="72"/>
      <c r="AL199" s="72"/>
      <c r="AM199" s="72"/>
    </row>
    <row r="200" customFormat="false" ht="295.5" hidden="false" customHeight="true" outlineLevel="0" collapsed="false"/>
    <row r="201" customFormat="false" ht="6" hidden="false" customHeight="true" outlineLevel="0" collapsed="false"/>
    <row r="202" customFormat="false" ht="19.5" hidden="false" customHeight="true" outlineLevel="0" collapsed="false">
      <c r="B202" s="73" t="s">
        <v>107</v>
      </c>
      <c r="C202" s="73"/>
      <c r="D202" s="73"/>
      <c r="E202" s="73"/>
      <c r="F202" s="73"/>
      <c r="G202" s="73"/>
      <c r="H202" s="73"/>
      <c r="I202" s="73"/>
      <c r="J202" s="73"/>
      <c r="K202" s="73"/>
      <c r="L202" s="74" t="s">
        <v>108</v>
      </c>
      <c r="M202" s="74"/>
      <c r="N202" s="74"/>
      <c r="O202" s="74"/>
      <c r="P202" s="74"/>
      <c r="Q202" s="74"/>
      <c r="R202" s="74"/>
      <c r="S202" s="74"/>
      <c r="U202" s="73" t="s">
        <v>109</v>
      </c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4" t="s">
        <v>108</v>
      </c>
      <c r="AG202" s="74"/>
      <c r="AH202" s="74"/>
      <c r="AI202" s="74"/>
      <c r="AJ202" s="74"/>
      <c r="AK202" s="74"/>
      <c r="AL202" s="74"/>
      <c r="AM202" s="74"/>
    </row>
    <row r="203" customFormat="false" ht="9.75" hidden="false" customHeight="true" outlineLevel="0" collapsed="false"/>
    <row r="204" customFormat="false" ht="18" hidden="false" customHeight="true" outlineLevel="0" collapsed="false">
      <c r="B204" s="75" t="s">
        <v>110</v>
      </c>
      <c r="C204" s="75"/>
      <c r="D204" s="75"/>
      <c r="E204" s="75"/>
      <c r="F204" s="75"/>
      <c r="G204" s="75"/>
      <c r="H204" s="75"/>
      <c r="I204" s="75"/>
      <c r="J204" s="75"/>
      <c r="K204" s="75"/>
      <c r="L204" s="75"/>
      <c r="M204" s="75"/>
      <c r="N204" s="75"/>
      <c r="O204" s="75"/>
      <c r="P204" s="75"/>
      <c r="Q204" s="75"/>
      <c r="R204" s="75"/>
      <c r="S204" s="75"/>
      <c r="T204" s="76" t="s">
        <v>111</v>
      </c>
      <c r="U204" s="76"/>
      <c r="V204" s="76"/>
      <c r="W204" s="76"/>
      <c r="X204" s="76"/>
      <c r="Y204" s="76"/>
      <c r="Z204" s="76"/>
      <c r="AA204" s="76"/>
      <c r="AB204" s="76"/>
      <c r="AC204" s="76"/>
      <c r="AD204" s="76"/>
      <c r="AE204" s="76"/>
      <c r="AF204" s="76"/>
      <c r="AG204" s="76"/>
      <c r="AH204" s="76"/>
      <c r="AI204" s="76"/>
      <c r="AJ204" s="76"/>
      <c r="AK204" s="76"/>
      <c r="AL204" s="76"/>
      <c r="AM204" s="76"/>
    </row>
    <row r="205" customFormat="false" ht="7.5" hidden="false" customHeight="true" outlineLevel="0" collapsed="false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</row>
    <row r="206" customFormat="false" ht="19.5" hidden="false" customHeight="true" outlineLevel="0" collapsed="false">
      <c r="B206" s="1"/>
      <c r="C206" s="51" t="s">
        <v>78</v>
      </c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  <c r="AA206" s="51"/>
      <c r="AB206" s="1"/>
      <c r="AC206" s="1"/>
      <c r="AD206" s="1"/>
      <c r="AE206" s="52" t="s">
        <v>79</v>
      </c>
      <c r="AF206" s="52"/>
      <c r="AG206" s="52"/>
      <c r="AH206" s="52"/>
      <c r="AI206" s="52"/>
      <c r="AJ206" s="52"/>
      <c r="AK206" s="52"/>
      <c r="AL206" s="1"/>
      <c r="AM206" s="1"/>
    </row>
    <row r="207" customFormat="false" ht="30" hidden="false" customHeight="true" outlineLevel="0" collapsed="false">
      <c r="B207" s="1"/>
      <c r="C207" s="53" t="s">
        <v>80</v>
      </c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4" t="s">
        <v>81</v>
      </c>
      <c r="AC207" s="54"/>
      <c r="AD207" s="54"/>
      <c r="AE207" s="54"/>
      <c r="AF207" s="54"/>
      <c r="AG207" s="54"/>
      <c r="AH207" s="54"/>
      <c r="AI207" s="54"/>
      <c r="AJ207" s="54"/>
      <c r="AK207" s="54"/>
      <c r="AL207" s="1"/>
      <c r="AM207" s="1"/>
    </row>
    <row r="208" customFormat="false" ht="15.75" hidden="false" customHeight="true" outlineLevel="0" collapsed="false">
      <c r="B208" s="1"/>
      <c r="C208" s="55" t="s">
        <v>82</v>
      </c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</row>
    <row r="209" customFormat="false" ht="9.75" hidden="false" customHeight="true" outlineLevel="0" collapsed="false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</row>
    <row r="210" customFormat="false" ht="3.75" hidden="false" customHeight="true" outlineLevel="0" collapsed="false"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</row>
    <row r="211" customFormat="false" ht="7.5" hidden="false" customHeight="true" outlineLevel="0" collapsed="false"/>
    <row r="212" customFormat="false" ht="13.5" hidden="false" customHeight="true" outlineLevel="0" collapsed="false">
      <c r="B212" s="56" t="s">
        <v>83</v>
      </c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P212" s="56" t="s">
        <v>84</v>
      </c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C212" s="56" t="s">
        <v>85</v>
      </c>
      <c r="AD212" s="56"/>
      <c r="AE212" s="56"/>
      <c r="AF212" s="56"/>
      <c r="AG212" s="56"/>
      <c r="AH212" s="56"/>
      <c r="AI212" s="56"/>
      <c r="AJ212" s="56"/>
      <c r="AK212" s="56"/>
      <c r="AL212" s="56"/>
      <c r="AM212" s="56"/>
    </row>
    <row r="213" customFormat="false" ht="21.75" hidden="false" customHeight="true" outlineLevel="0" collapsed="false">
      <c r="B213" s="57" t="str">
        <f aca="false">Dashboard!$C$6</f>
        <v>Bindhya TB</v>
      </c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P213" s="57" t="str">
        <f aca="false">Dashboard!$C$7</f>
        <v>Tourism &amp; Business</v>
      </c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C213" s="58" t="n">
        <f aca="false">Cal!A8</f>
        <v>46302</v>
      </c>
      <c r="AD213" s="58"/>
      <c r="AE213" s="58"/>
      <c r="AF213" s="58"/>
      <c r="AG213" s="58"/>
      <c r="AH213" s="58"/>
      <c r="AI213" s="58"/>
      <c r="AJ213" s="58"/>
      <c r="AK213" s="58"/>
      <c r="AL213" s="58"/>
      <c r="AM213" s="58"/>
    </row>
    <row r="214" customFormat="false" ht="9.75" hidden="false" customHeight="true" outlineLevel="0" collapsed="false"/>
    <row r="215" customFormat="false" ht="21.75" hidden="false" customHeight="true" outlineLevel="0" collapsed="false">
      <c r="B215" s="6"/>
      <c r="C215" s="19" t="s">
        <v>86</v>
      </c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59" t="s">
        <v>87</v>
      </c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  <c r="AF215" s="59"/>
      <c r="AG215" s="59"/>
      <c r="AH215" s="59"/>
      <c r="AI215" s="59"/>
      <c r="AJ215" s="59"/>
      <c r="AK215" s="59"/>
      <c r="AL215" s="59"/>
      <c r="AM215" s="59"/>
    </row>
    <row r="216" customFormat="false" ht="19.5" hidden="false" customHeight="true" outlineLevel="0" collapsed="false">
      <c r="B216" s="60"/>
      <c r="C216" s="61" t="n">
        <v>1</v>
      </c>
      <c r="D216" s="62" t="s">
        <v>88</v>
      </c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V216" s="60"/>
      <c r="W216" s="61" t="n">
        <v>2</v>
      </c>
      <c r="X216" s="62" t="s">
        <v>89</v>
      </c>
      <c r="Y216" s="62"/>
      <c r="Z216" s="62"/>
      <c r="AA216" s="62"/>
      <c r="AB216" s="62"/>
      <c r="AC216" s="62"/>
      <c r="AD216" s="62"/>
      <c r="AE216" s="62"/>
      <c r="AF216" s="62"/>
      <c r="AG216" s="62"/>
      <c r="AH216" s="62"/>
      <c r="AI216" s="62"/>
      <c r="AJ216" s="62"/>
      <c r="AK216" s="62"/>
      <c r="AL216" s="62"/>
      <c r="AM216" s="62"/>
    </row>
    <row r="217" customFormat="false" ht="49.5" hidden="false" customHeight="true" outlineLevel="0" collapsed="false">
      <c r="B217" s="63"/>
      <c r="C217" s="64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5"/>
      <c r="V217" s="63"/>
      <c r="W217" s="77"/>
      <c r="X217" s="77"/>
      <c r="Y217" s="77"/>
      <c r="Z217" s="77"/>
      <c r="AA217" s="77"/>
      <c r="AB217" s="77"/>
      <c r="AC217" s="77"/>
      <c r="AD217" s="77"/>
      <c r="AE217" s="77"/>
      <c r="AF217" s="77"/>
      <c r="AG217" s="77"/>
      <c r="AH217" s="77"/>
      <c r="AI217" s="77"/>
      <c r="AJ217" s="77"/>
      <c r="AK217" s="77"/>
      <c r="AL217" s="77"/>
      <c r="AM217" s="65"/>
    </row>
    <row r="218" customFormat="false" ht="6" hidden="false" customHeight="true" outlineLevel="0" collapsed="false">
      <c r="B218" s="67"/>
      <c r="C218" s="68"/>
      <c r="D218" s="68"/>
      <c r="E218" s="68"/>
      <c r="F218" s="68"/>
      <c r="G218" s="68"/>
      <c r="H218" s="68"/>
      <c r="I218" s="68"/>
      <c r="J218" s="68"/>
      <c r="K218" s="68"/>
      <c r="L218" s="68"/>
      <c r="M218" s="68"/>
      <c r="N218" s="68"/>
      <c r="O218" s="68"/>
      <c r="P218" s="68"/>
      <c r="Q218" s="68"/>
      <c r="R218" s="68"/>
      <c r="S218" s="68"/>
      <c r="T218" s="69"/>
      <c r="V218" s="67"/>
      <c r="W218" s="68"/>
      <c r="X218" s="68"/>
      <c r="Y218" s="68"/>
      <c r="Z218" s="68"/>
      <c r="AA218" s="68"/>
      <c r="AB218" s="68"/>
      <c r="AC218" s="68"/>
      <c r="AD218" s="68"/>
      <c r="AE218" s="68"/>
      <c r="AF218" s="68"/>
      <c r="AG218" s="68"/>
      <c r="AH218" s="68"/>
      <c r="AI218" s="68"/>
      <c r="AJ218" s="68"/>
      <c r="AK218" s="68"/>
      <c r="AL218" s="68"/>
      <c r="AM218" s="69"/>
    </row>
    <row r="219" customFormat="false" ht="9.75" hidden="false" customHeight="true" outlineLevel="0" collapsed="false"/>
    <row r="220" customFormat="false" ht="21.75" hidden="false" customHeight="true" outlineLevel="0" collapsed="false">
      <c r="B220" s="6"/>
      <c r="C220" s="19" t="s">
        <v>91</v>
      </c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59" t="s">
        <v>92</v>
      </c>
      <c r="W220" s="59"/>
      <c r="X220" s="59"/>
      <c r="Y220" s="59"/>
      <c r="Z220" s="59"/>
      <c r="AA220" s="59"/>
      <c r="AB220" s="59"/>
      <c r="AC220" s="59"/>
      <c r="AD220" s="59"/>
      <c r="AE220" s="59"/>
      <c r="AF220" s="59"/>
      <c r="AG220" s="59"/>
      <c r="AH220" s="59"/>
      <c r="AI220" s="59"/>
      <c r="AJ220" s="59"/>
      <c r="AK220" s="59"/>
      <c r="AL220" s="59"/>
      <c r="AM220" s="59"/>
    </row>
    <row r="221" customFormat="false" ht="27.75" hidden="false" customHeight="true" outlineLevel="0" collapsed="false">
      <c r="B221" s="60"/>
      <c r="C221" s="61" t="n">
        <v>3</v>
      </c>
      <c r="D221" s="62" t="s">
        <v>93</v>
      </c>
      <c r="E221" s="62"/>
      <c r="F221" s="62"/>
      <c r="G221" s="62"/>
      <c r="H221" s="62"/>
      <c r="I221" s="62"/>
      <c r="J221" s="62"/>
      <c r="L221" s="60"/>
      <c r="M221" s="61" t="n">
        <v>4</v>
      </c>
      <c r="N221" s="62" t="s">
        <v>94</v>
      </c>
      <c r="O221" s="62"/>
      <c r="P221" s="62"/>
      <c r="Q221" s="62"/>
      <c r="R221" s="62"/>
      <c r="S221" s="62"/>
      <c r="T221" s="62"/>
      <c r="V221" s="60"/>
      <c r="W221" s="61" t="n">
        <v>5</v>
      </c>
      <c r="X221" s="62" t="s">
        <v>95</v>
      </c>
      <c r="Y221" s="62"/>
      <c r="Z221" s="62"/>
      <c r="AA221" s="62"/>
      <c r="AB221" s="62"/>
      <c r="AC221" s="62"/>
      <c r="AD221" s="62"/>
      <c r="AF221" s="60"/>
      <c r="AG221" s="61" t="n">
        <v>6</v>
      </c>
      <c r="AH221" s="62" t="s">
        <v>96</v>
      </c>
      <c r="AI221" s="62"/>
      <c r="AJ221" s="62"/>
      <c r="AK221" s="62"/>
      <c r="AL221" s="62"/>
      <c r="AM221" s="62"/>
    </row>
    <row r="222" customFormat="false" ht="25.5" hidden="false" customHeight="true" outlineLevel="0" collapsed="false">
      <c r="B222" s="63"/>
      <c r="C222" s="64"/>
      <c r="D222" s="64"/>
      <c r="E222" s="64"/>
      <c r="F222" s="64"/>
      <c r="G222" s="64"/>
      <c r="H222" s="64"/>
      <c r="I222" s="64"/>
      <c r="J222" s="65"/>
      <c r="L222" s="63"/>
      <c r="M222" s="64"/>
      <c r="N222" s="64"/>
      <c r="O222" s="64"/>
      <c r="P222" s="64"/>
      <c r="Q222" s="64"/>
      <c r="R222" s="64"/>
      <c r="S222" s="64"/>
      <c r="T222" s="65"/>
      <c r="V222" s="63"/>
      <c r="W222" s="70"/>
      <c r="X222" s="70"/>
      <c r="Y222" s="70"/>
      <c r="Z222" s="70"/>
      <c r="AA222" s="70"/>
      <c r="AB222" s="70"/>
      <c r="AC222" s="70"/>
      <c r="AD222" s="65"/>
      <c r="AF222" s="63"/>
      <c r="AG222" s="64"/>
      <c r="AH222" s="64"/>
      <c r="AI222" s="64"/>
      <c r="AJ222" s="64"/>
      <c r="AK222" s="64"/>
      <c r="AL222" s="64"/>
      <c r="AM222" s="65"/>
    </row>
    <row r="223" customFormat="false" ht="6" hidden="false" customHeight="true" outlineLevel="0" collapsed="false">
      <c r="B223" s="67"/>
      <c r="C223" s="68"/>
      <c r="D223" s="68"/>
      <c r="E223" s="68"/>
      <c r="F223" s="68"/>
      <c r="G223" s="68"/>
      <c r="H223" s="68"/>
      <c r="I223" s="68"/>
      <c r="J223" s="69"/>
      <c r="L223" s="67"/>
      <c r="M223" s="68"/>
      <c r="N223" s="68"/>
      <c r="O223" s="68"/>
      <c r="P223" s="68"/>
      <c r="Q223" s="68"/>
      <c r="R223" s="68"/>
      <c r="S223" s="68"/>
      <c r="T223" s="69"/>
      <c r="V223" s="67"/>
      <c r="W223" s="68"/>
      <c r="X223" s="68"/>
      <c r="Y223" s="68"/>
      <c r="Z223" s="68"/>
      <c r="AA223" s="68"/>
      <c r="AB223" s="68"/>
      <c r="AC223" s="68"/>
      <c r="AD223" s="69"/>
      <c r="AF223" s="67"/>
      <c r="AG223" s="68"/>
      <c r="AH223" s="68"/>
      <c r="AI223" s="68"/>
      <c r="AJ223" s="68"/>
      <c r="AK223" s="68"/>
      <c r="AL223" s="68"/>
      <c r="AM223" s="69"/>
    </row>
    <row r="224" customFormat="false" ht="9.75" hidden="false" customHeight="true" outlineLevel="0" collapsed="false"/>
    <row r="225" customFormat="false" ht="21.75" hidden="false" customHeight="true" outlineLevel="0" collapsed="false">
      <c r="B225" s="6"/>
      <c r="C225" s="19" t="s">
        <v>98</v>
      </c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59" t="s">
        <v>99</v>
      </c>
      <c r="W225" s="59"/>
      <c r="X225" s="59"/>
      <c r="Y225" s="59"/>
      <c r="Z225" s="59"/>
      <c r="AA225" s="59"/>
      <c r="AB225" s="59"/>
      <c r="AC225" s="59"/>
      <c r="AD225" s="59"/>
      <c r="AE225" s="59"/>
      <c r="AF225" s="59"/>
      <c r="AG225" s="59"/>
      <c r="AH225" s="59"/>
      <c r="AI225" s="59"/>
      <c r="AJ225" s="59"/>
      <c r="AK225" s="59"/>
      <c r="AL225" s="59"/>
      <c r="AM225" s="59"/>
    </row>
    <row r="226" customFormat="false" ht="27.75" hidden="false" customHeight="true" outlineLevel="0" collapsed="false">
      <c r="B226" s="60"/>
      <c r="C226" s="61" t="n">
        <v>7</v>
      </c>
      <c r="D226" s="62" t="s">
        <v>100</v>
      </c>
      <c r="E226" s="62"/>
      <c r="F226" s="62"/>
      <c r="G226" s="62"/>
      <c r="H226" s="62"/>
      <c r="J226" s="60"/>
      <c r="K226" s="61" t="n">
        <v>8</v>
      </c>
      <c r="L226" s="62" t="s">
        <v>101</v>
      </c>
      <c r="M226" s="62"/>
      <c r="N226" s="62"/>
      <c r="O226" s="62"/>
      <c r="P226" s="62"/>
      <c r="R226" s="60"/>
      <c r="S226" s="61" t="n">
        <v>9</v>
      </c>
      <c r="T226" s="62" t="s">
        <v>102</v>
      </c>
      <c r="U226" s="62"/>
      <c r="V226" s="62"/>
      <c r="W226" s="62"/>
      <c r="X226" s="62"/>
      <c r="Z226" s="60"/>
      <c r="AA226" s="61" t="n">
        <v>10</v>
      </c>
      <c r="AB226" s="62" t="s">
        <v>103</v>
      </c>
      <c r="AC226" s="62"/>
      <c r="AD226" s="62"/>
      <c r="AE226" s="62"/>
      <c r="AF226" s="62"/>
      <c r="AH226" s="60"/>
      <c r="AI226" s="61" t="n">
        <v>11</v>
      </c>
      <c r="AJ226" s="62" t="s">
        <v>104</v>
      </c>
      <c r="AK226" s="62"/>
      <c r="AL226" s="62"/>
      <c r="AM226" s="62"/>
    </row>
    <row r="227" customFormat="false" ht="25.5" hidden="false" customHeight="true" outlineLevel="0" collapsed="false">
      <c r="B227" s="63"/>
      <c r="C227" s="64"/>
      <c r="D227" s="64"/>
      <c r="E227" s="64"/>
      <c r="F227" s="64"/>
      <c r="G227" s="64"/>
      <c r="H227" s="65"/>
      <c r="J227" s="63"/>
      <c r="K227" s="64"/>
      <c r="L227" s="64"/>
      <c r="M227" s="64"/>
      <c r="N227" s="64"/>
      <c r="O227" s="64"/>
      <c r="P227" s="65"/>
      <c r="R227" s="63"/>
      <c r="S227" s="64"/>
      <c r="T227" s="64"/>
      <c r="U227" s="64"/>
      <c r="V227" s="64"/>
      <c r="W227" s="64"/>
      <c r="X227" s="65"/>
      <c r="Z227" s="63"/>
      <c r="AA227" s="64"/>
      <c r="AB227" s="64"/>
      <c r="AC227" s="64"/>
      <c r="AD227" s="64"/>
      <c r="AE227" s="64"/>
      <c r="AF227" s="65"/>
      <c r="AH227" s="63"/>
      <c r="AI227" s="64"/>
      <c r="AJ227" s="64"/>
      <c r="AK227" s="64"/>
      <c r="AL227" s="64"/>
      <c r="AM227" s="65"/>
    </row>
    <row r="228" customFormat="false" ht="6" hidden="false" customHeight="true" outlineLevel="0" collapsed="false">
      <c r="B228" s="67"/>
      <c r="C228" s="68"/>
      <c r="D228" s="68"/>
      <c r="E228" s="68"/>
      <c r="F228" s="68"/>
      <c r="G228" s="68"/>
      <c r="H228" s="69"/>
      <c r="J228" s="67"/>
      <c r="K228" s="68"/>
      <c r="L228" s="68"/>
      <c r="M228" s="68"/>
      <c r="N228" s="68"/>
      <c r="O228" s="68"/>
      <c r="P228" s="69"/>
      <c r="R228" s="67"/>
      <c r="S228" s="68"/>
      <c r="T228" s="68"/>
      <c r="U228" s="68"/>
      <c r="V228" s="68"/>
      <c r="W228" s="68"/>
      <c r="X228" s="69"/>
      <c r="Z228" s="67"/>
      <c r="AA228" s="68"/>
      <c r="AB228" s="68"/>
      <c r="AC228" s="68"/>
      <c r="AD228" s="68"/>
      <c r="AE228" s="68"/>
      <c r="AF228" s="69"/>
      <c r="AH228" s="67"/>
      <c r="AI228" s="68"/>
      <c r="AJ228" s="68"/>
      <c r="AK228" s="68"/>
      <c r="AL228" s="68"/>
      <c r="AM228" s="69"/>
    </row>
    <row r="229" customFormat="false" ht="9.75" hidden="false" customHeight="true" outlineLevel="0" collapsed="false"/>
    <row r="230" customFormat="false" ht="21.75" hidden="false" customHeight="true" outlineLevel="0" collapsed="false">
      <c r="B230" s="6"/>
      <c r="C230" s="19" t="s">
        <v>105</v>
      </c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59" t="s">
        <v>106</v>
      </c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  <c r="AF230" s="59"/>
      <c r="AG230" s="59"/>
      <c r="AH230" s="59"/>
      <c r="AI230" s="59"/>
      <c r="AJ230" s="59"/>
      <c r="AK230" s="59"/>
      <c r="AL230" s="59"/>
      <c r="AM230" s="59"/>
    </row>
    <row r="231" customFormat="false" ht="24" hidden="false" customHeight="true" outlineLevel="0" collapsed="false"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  <c r="AA231" s="72"/>
      <c r="AB231" s="72"/>
      <c r="AC231" s="72"/>
      <c r="AD231" s="72"/>
      <c r="AE231" s="72"/>
      <c r="AF231" s="72"/>
      <c r="AG231" s="72"/>
      <c r="AH231" s="72"/>
      <c r="AI231" s="72"/>
      <c r="AJ231" s="72"/>
      <c r="AK231" s="72"/>
      <c r="AL231" s="72"/>
      <c r="AM231" s="72"/>
    </row>
    <row r="232" customFormat="false" ht="24" hidden="false" customHeight="true" outlineLevel="0" collapsed="false"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  <c r="AA232" s="72"/>
      <c r="AB232" s="72"/>
      <c r="AC232" s="72"/>
      <c r="AD232" s="72"/>
      <c r="AE232" s="72"/>
      <c r="AF232" s="72"/>
      <c r="AG232" s="72"/>
      <c r="AH232" s="72"/>
      <c r="AI232" s="72"/>
      <c r="AJ232" s="72"/>
      <c r="AK232" s="72"/>
      <c r="AL232" s="72"/>
      <c r="AM232" s="72"/>
    </row>
    <row r="233" customFormat="false" ht="24" hidden="false" customHeight="true" outlineLevel="0" collapsed="false"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  <c r="AA233" s="72"/>
      <c r="AB233" s="72"/>
      <c r="AC233" s="72"/>
      <c r="AD233" s="72"/>
      <c r="AE233" s="72"/>
      <c r="AF233" s="72"/>
      <c r="AG233" s="72"/>
      <c r="AH233" s="72"/>
      <c r="AI233" s="72"/>
      <c r="AJ233" s="72"/>
      <c r="AK233" s="72"/>
      <c r="AL233" s="72"/>
      <c r="AM233" s="72"/>
    </row>
    <row r="234" customFormat="false" ht="295.5" hidden="false" customHeight="true" outlineLevel="0" collapsed="false"/>
    <row r="235" customFormat="false" ht="6" hidden="false" customHeight="true" outlineLevel="0" collapsed="false"/>
    <row r="236" customFormat="false" ht="19.5" hidden="false" customHeight="true" outlineLevel="0" collapsed="false">
      <c r="B236" s="73" t="s">
        <v>107</v>
      </c>
      <c r="C236" s="73"/>
      <c r="D236" s="73"/>
      <c r="E236" s="73"/>
      <c r="F236" s="73"/>
      <c r="G236" s="73"/>
      <c r="H236" s="73"/>
      <c r="I236" s="73"/>
      <c r="J236" s="73"/>
      <c r="K236" s="73"/>
      <c r="L236" s="74" t="s">
        <v>108</v>
      </c>
      <c r="M236" s="74"/>
      <c r="N236" s="74"/>
      <c r="O236" s="74"/>
      <c r="P236" s="74"/>
      <c r="Q236" s="74"/>
      <c r="R236" s="74"/>
      <c r="S236" s="74"/>
      <c r="U236" s="73" t="s">
        <v>109</v>
      </c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4" t="s">
        <v>108</v>
      </c>
      <c r="AG236" s="74"/>
      <c r="AH236" s="74"/>
      <c r="AI236" s="74"/>
      <c r="AJ236" s="74"/>
      <c r="AK236" s="74"/>
      <c r="AL236" s="74"/>
      <c r="AM236" s="74"/>
    </row>
    <row r="237" customFormat="false" ht="9.75" hidden="false" customHeight="true" outlineLevel="0" collapsed="false"/>
    <row r="238" customFormat="false" ht="18" hidden="false" customHeight="true" outlineLevel="0" collapsed="false">
      <c r="B238" s="75" t="s">
        <v>110</v>
      </c>
      <c r="C238" s="75"/>
      <c r="D238" s="75"/>
      <c r="E238" s="75"/>
      <c r="F238" s="75"/>
      <c r="G238" s="75"/>
      <c r="H238" s="75"/>
      <c r="I238" s="75"/>
      <c r="J238" s="75"/>
      <c r="K238" s="75"/>
      <c r="L238" s="75"/>
      <c r="M238" s="75"/>
      <c r="N238" s="75"/>
      <c r="O238" s="75"/>
      <c r="P238" s="75"/>
      <c r="Q238" s="75"/>
      <c r="R238" s="75"/>
      <c r="S238" s="75"/>
      <c r="T238" s="76" t="s">
        <v>111</v>
      </c>
      <c r="U238" s="76"/>
      <c r="V238" s="76"/>
      <c r="W238" s="76"/>
      <c r="X238" s="76"/>
      <c r="Y238" s="76"/>
      <c r="Z238" s="76"/>
      <c r="AA238" s="76"/>
      <c r="AB238" s="76"/>
      <c r="AC238" s="76"/>
      <c r="AD238" s="76"/>
      <c r="AE238" s="76"/>
      <c r="AF238" s="76"/>
      <c r="AG238" s="76"/>
      <c r="AH238" s="76"/>
      <c r="AI238" s="76"/>
      <c r="AJ238" s="76"/>
      <c r="AK238" s="76"/>
      <c r="AL238" s="76"/>
      <c r="AM238" s="76"/>
    </row>
    <row r="239" customFormat="false" ht="7.5" hidden="false" customHeight="true" outlineLevel="0" collapsed="false"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</row>
    <row r="240" customFormat="false" ht="19.5" hidden="false" customHeight="true" outlineLevel="0" collapsed="false">
      <c r="B240" s="1"/>
      <c r="C240" s="51" t="s">
        <v>78</v>
      </c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  <c r="AA240" s="51"/>
      <c r="AB240" s="1"/>
      <c r="AC240" s="1"/>
      <c r="AD240" s="1"/>
      <c r="AE240" s="52" t="s">
        <v>79</v>
      </c>
      <c r="AF240" s="52"/>
      <c r="AG240" s="52"/>
      <c r="AH240" s="52"/>
      <c r="AI240" s="52"/>
      <c r="AJ240" s="52"/>
      <c r="AK240" s="52"/>
      <c r="AL240" s="1"/>
      <c r="AM240" s="1"/>
    </row>
    <row r="241" customFormat="false" ht="30" hidden="false" customHeight="true" outlineLevel="0" collapsed="false">
      <c r="B241" s="1"/>
      <c r="C241" s="53" t="s">
        <v>80</v>
      </c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4" t="s">
        <v>81</v>
      </c>
      <c r="AC241" s="54"/>
      <c r="AD241" s="54"/>
      <c r="AE241" s="54"/>
      <c r="AF241" s="54"/>
      <c r="AG241" s="54"/>
      <c r="AH241" s="54"/>
      <c r="AI241" s="54"/>
      <c r="AJ241" s="54"/>
      <c r="AK241" s="54"/>
      <c r="AL241" s="1"/>
      <c r="AM241" s="1"/>
    </row>
    <row r="242" customFormat="false" ht="15.75" hidden="false" customHeight="true" outlineLevel="0" collapsed="false">
      <c r="B242" s="1"/>
      <c r="C242" s="55" t="s">
        <v>82</v>
      </c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</row>
    <row r="243" customFormat="false" ht="9.75" hidden="false" customHeight="true" outlineLevel="0" collapsed="false"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</row>
    <row r="244" customFormat="false" ht="3.75" hidden="false" customHeight="true" outlineLevel="0" collapsed="false"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</row>
    <row r="245" customFormat="false" ht="7.5" hidden="false" customHeight="true" outlineLevel="0" collapsed="false"/>
    <row r="246" customFormat="false" ht="13.5" hidden="false" customHeight="true" outlineLevel="0" collapsed="false">
      <c r="B246" s="56" t="s">
        <v>83</v>
      </c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P246" s="56" t="s">
        <v>84</v>
      </c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C246" s="56" t="s">
        <v>85</v>
      </c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</row>
    <row r="247" customFormat="false" ht="21.75" hidden="false" customHeight="true" outlineLevel="0" collapsed="false">
      <c r="B247" s="57" t="str">
        <f aca="false">Dashboard!$C$6</f>
        <v>Bindhya TB</v>
      </c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P247" s="57" t="str">
        <f aca="false">Dashboard!$C$7</f>
        <v>Tourism &amp; Business</v>
      </c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C247" s="58" t="n">
        <f aca="false">Cal!A9</f>
        <v>46303</v>
      </c>
      <c r="AD247" s="58"/>
      <c r="AE247" s="58"/>
      <c r="AF247" s="58"/>
      <c r="AG247" s="58"/>
      <c r="AH247" s="58"/>
      <c r="AI247" s="58"/>
      <c r="AJ247" s="58"/>
      <c r="AK247" s="58"/>
      <c r="AL247" s="58"/>
      <c r="AM247" s="58"/>
    </row>
    <row r="248" customFormat="false" ht="9.75" hidden="false" customHeight="true" outlineLevel="0" collapsed="false"/>
    <row r="249" customFormat="false" ht="21.75" hidden="false" customHeight="true" outlineLevel="0" collapsed="false">
      <c r="B249" s="6"/>
      <c r="C249" s="19" t="s">
        <v>86</v>
      </c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59" t="s">
        <v>87</v>
      </c>
      <c r="Q249" s="59"/>
      <c r="R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  <c r="AF249" s="59"/>
      <c r="AG249" s="59"/>
      <c r="AH249" s="59"/>
      <c r="AI249" s="59"/>
      <c r="AJ249" s="59"/>
      <c r="AK249" s="59"/>
      <c r="AL249" s="59"/>
      <c r="AM249" s="59"/>
    </row>
    <row r="250" customFormat="false" ht="19.5" hidden="false" customHeight="true" outlineLevel="0" collapsed="false">
      <c r="B250" s="60"/>
      <c r="C250" s="61" t="n">
        <v>1</v>
      </c>
      <c r="D250" s="62" t="s">
        <v>88</v>
      </c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V250" s="60"/>
      <c r="W250" s="61" t="n">
        <v>2</v>
      </c>
      <c r="X250" s="62" t="s">
        <v>89</v>
      </c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</row>
    <row r="251" customFormat="false" ht="49.5" hidden="false" customHeight="true" outlineLevel="0" collapsed="false">
      <c r="B251" s="63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5"/>
      <c r="V251" s="63"/>
      <c r="W251" s="77"/>
      <c r="X251" s="77"/>
      <c r="Y251" s="77"/>
      <c r="Z251" s="77"/>
      <c r="AA251" s="77"/>
      <c r="AB251" s="77"/>
      <c r="AC251" s="77"/>
      <c r="AD251" s="77"/>
      <c r="AE251" s="77"/>
      <c r="AF251" s="77"/>
      <c r="AG251" s="77"/>
      <c r="AH251" s="77"/>
      <c r="AI251" s="77"/>
      <c r="AJ251" s="77"/>
      <c r="AK251" s="77"/>
      <c r="AL251" s="77"/>
      <c r="AM251" s="65"/>
    </row>
    <row r="252" customFormat="false" ht="6" hidden="false" customHeight="true" outlineLevel="0" collapsed="false">
      <c r="B252" s="67"/>
      <c r="C252" s="68"/>
      <c r="D252" s="68"/>
      <c r="E252" s="68"/>
      <c r="F252" s="68"/>
      <c r="G252" s="68"/>
      <c r="H252" s="68"/>
      <c r="I252" s="68"/>
      <c r="J252" s="68"/>
      <c r="K252" s="68"/>
      <c r="L252" s="68"/>
      <c r="M252" s="68"/>
      <c r="N252" s="68"/>
      <c r="O252" s="68"/>
      <c r="P252" s="68"/>
      <c r="Q252" s="68"/>
      <c r="R252" s="68"/>
      <c r="S252" s="68"/>
      <c r="T252" s="69"/>
      <c r="V252" s="67"/>
      <c r="W252" s="68"/>
      <c r="X252" s="68"/>
      <c r="Y252" s="68"/>
      <c r="Z252" s="68"/>
      <c r="AA252" s="68"/>
      <c r="AB252" s="68"/>
      <c r="AC252" s="68"/>
      <c r="AD252" s="68"/>
      <c r="AE252" s="68"/>
      <c r="AF252" s="68"/>
      <c r="AG252" s="68"/>
      <c r="AH252" s="68"/>
      <c r="AI252" s="68"/>
      <c r="AJ252" s="68"/>
      <c r="AK252" s="68"/>
      <c r="AL252" s="68"/>
      <c r="AM252" s="69"/>
    </row>
    <row r="253" customFormat="false" ht="9.75" hidden="false" customHeight="true" outlineLevel="0" collapsed="false"/>
    <row r="254" customFormat="false" ht="21.75" hidden="false" customHeight="true" outlineLevel="0" collapsed="false">
      <c r="B254" s="6"/>
      <c r="C254" s="19" t="s">
        <v>91</v>
      </c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59" t="s">
        <v>92</v>
      </c>
      <c r="W254" s="59"/>
      <c r="X254" s="59"/>
      <c r="Y254" s="59"/>
      <c r="Z254" s="59"/>
      <c r="AA254" s="59"/>
      <c r="AB254" s="59"/>
      <c r="AC254" s="59"/>
      <c r="AD254" s="59"/>
      <c r="AE254" s="59"/>
      <c r="AF254" s="59"/>
      <c r="AG254" s="59"/>
      <c r="AH254" s="59"/>
      <c r="AI254" s="59"/>
      <c r="AJ254" s="59"/>
      <c r="AK254" s="59"/>
      <c r="AL254" s="59"/>
      <c r="AM254" s="59"/>
    </row>
    <row r="255" customFormat="false" ht="27.75" hidden="false" customHeight="true" outlineLevel="0" collapsed="false">
      <c r="B255" s="60"/>
      <c r="C255" s="61" t="n">
        <v>3</v>
      </c>
      <c r="D255" s="62" t="s">
        <v>93</v>
      </c>
      <c r="E255" s="62"/>
      <c r="F255" s="62"/>
      <c r="G255" s="62"/>
      <c r="H255" s="62"/>
      <c r="I255" s="62"/>
      <c r="J255" s="62"/>
      <c r="L255" s="60"/>
      <c r="M255" s="61" t="n">
        <v>4</v>
      </c>
      <c r="N255" s="62" t="s">
        <v>94</v>
      </c>
      <c r="O255" s="62"/>
      <c r="P255" s="62"/>
      <c r="Q255" s="62"/>
      <c r="R255" s="62"/>
      <c r="S255" s="62"/>
      <c r="T255" s="62"/>
      <c r="V255" s="60"/>
      <c r="W255" s="61" t="n">
        <v>5</v>
      </c>
      <c r="X255" s="62" t="s">
        <v>95</v>
      </c>
      <c r="Y255" s="62"/>
      <c r="Z255" s="62"/>
      <c r="AA255" s="62"/>
      <c r="AB255" s="62"/>
      <c r="AC255" s="62"/>
      <c r="AD255" s="62"/>
      <c r="AF255" s="60"/>
      <c r="AG255" s="61" t="n">
        <v>6</v>
      </c>
      <c r="AH255" s="62" t="s">
        <v>96</v>
      </c>
      <c r="AI255" s="62"/>
      <c r="AJ255" s="62"/>
      <c r="AK255" s="62"/>
      <c r="AL255" s="62"/>
      <c r="AM255" s="62"/>
    </row>
    <row r="256" customFormat="false" ht="25.5" hidden="false" customHeight="true" outlineLevel="0" collapsed="false">
      <c r="B256" s="63"/>
      <c r="C256" s="64"/>
      <c r="D256" s="64"/>
      <c r="E256" s="64"/>
      <c r="F256" s="64"/>
      <c r="G256" s="64"/>
      <c r="H256" s="64"/>
      <c r="I256" s="64"/>
      <c r="J256" s="65"/>
      <c r="L256" s="63"/>
      <c r="M256" s="64"/>
      <c r="N256" s="64"/>
      <c r="O256" s="64"/>
      <c r="P256" s="64"/>
      <c r="Q256" s="64"/>
      <c r="R256" s="64"/>
      <c r="S256" s="64"/>
      <c r="T256" s="65"/>
      <c r="V256" s="63"/>
      <c r="W256" s="70"/>
      <c r="X256" s="70"/>
      <c r="Y256" s="70"/>
      <c r="Z256" s="70"/>
      <c r="AA256" s="70"/>
      <c r="AB256" s="70"/>
      <c r="AC256" s="70"/>
      <c r="AD256" s="65"/>
      <c r="AF256" s="63"/>
      <c r="AG256" s="64"/>
      <c r="AH256" s="64"/>
      <c r="AI256" s="64"/>
      <c r="AJ256" s="64"/>
      <c r="AK256" s="64"/>
      <c r="AL256" s="64"/>
      <c r="AM256" s="65"/>
    </row>
    <row r="257" customFormat="false" ht="6" hidden="false" customHeight="true" outlineLevel="0" collapsed="false">
      <c r="B257" s="67"/>
      <c r="C257" s="68"/>
      <c r="D257" s="68"/>
      <c r="E257" s="68"/>
      <c r="F257" s="68"/>
      <c r="G257" s="68"/>
      <c r="H257" s="68"/>
      <c r="I257" s="68"/>
      <c r="J257" s="69"/>
      <c r="L257" s="67"/>
      <c r="M257" s="68"/>
      <c r="N257" s="68"/>
      <c r="O257" s="68"/>
      <c r="P257" s="68"/>
      <c r="Q257" s="68"/>
      <c r="R257" s="68"/>
      <c r="S257" s="68"/>
      <c r="T257" s="69"/>
      <c r="V257" s="67"/>
      <c r="W257" s="68"/>
      <c r="X257" s="68"/>
      <c r="Y257" s="68"/>
      <c r="Z257" s="68"/>
      <c r="AA257" s="68"/>
      <c r="AB257" s="68"/>
      <c r="AC257" s="68"/>
      <c r="AD257" s="69"/>
      <c r="AF257" s="67"/>
      <c r="AG257" s="68"/>
      <c r="AH257" s="68"/>
      <c r="AI257" s="68"/>
      <c r="AJ257" s="68"/>
      <c r="AK257" s="68"/>
      <c r="AL257" s="68"/>
      <c r="AM257" s="69"/>
    </row>
    <row r="258" customFormat="false" ht="9.75" hidden="false" customHeight="true" outlineLevel="0" collapsed="false"/>
    <row r="259" customFormat="false" ht="21.75" hidden="false" customHeight="true" outlineLevel="0" collapsed="false">
      <c r="B259" s="6"/>
      <c r="C259" s="19" t="s">
        <v>98</v>
      </c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59" t="s">
        <v>99</v>
      </c>
      <c r="W259" s="59"/>
      <c r="X259" s="59"/>
      <c r="Y259" s="59"/>
      <c r="Z259" s="59"/>
      <c r="AA259" s="59"/>
      <c r="AB259" s="59"/>
      <c r="AC259" s="59"/>
      <c r="AD259" s="59"/>
      <c r="AE259" s="59"/>
      <c r="AF259" s="59"/>
      <c r="AG259" s="59"/>
      <c r="AH259" s="59"/>
      <c r="AI259" s="59"/>
      <c r="AJ259" s="59"/>
      <c r="AK259" s="59"/>
      <c r="AL259" s="59"/>
      <c r="AM259" s="59"/>
    </row>
    <row r="260" customFormat="false" ht="27.75" hidden="false" customHeight="true" outlineLevel="0" collapsed="false">
      <c r="B260" s="60"/>
      <c r="C260" s="61" t="n">
        <v>7</v>
      </c>
      <c r="D260" s="62" t="s">
        <v>100</v>
      </c>
      <c r="E260" s="62"/>
      <c r="F260" s="62"/>
      <c r="G260" s="62"/>
      <c r="H260" s="62"/>
      <c r="J260" s="60"/>
      <c r="K260" s="61" t="n">
        <v>8</v>
      </c>
      <c r="L260" s="62" t="s">
        <v>101</v>
      </c>
      <c r="M260" s="62"/>
      <c r="N260" s="62"/>
      <c r="O260" s="62"/>
      <c r="P260" s="62"/>
      <c r="R260" s="60"/>
      <c r="S260" s="61" t="n">
        <v>9</v>
      </c>
      <c r="T260" s="62" t="s">
        <v>102</v>
      </c>
      <c r="U260" s="62"/>
      <c r="V260" s="62"/>
      <c r="W260" s="62"/>
      <c r="X260" s="62"/>
      <c r="Z260" s="60"/>
      <c r="AA260" s="61" t="n">
        <v>10</v>
      </c>
      <c r="AB260" s="62" t="s">
        <v>103</v>
      </c>
      <c r="AC260" s="62"/>
      <c r="AD260" s="62"/>
      <c r="AE260" s="62"/>
      <c r="AF260" s="62"/>
      <c r="AH260" s="60"/>
      <c r="AI260" s="61" t="n">
        <v>11</v>
      </c>
      <c r="AJ260" s="62" t="s">
        <v>104</v>
      </c>
      <c r="AK260" s="62"/>
      <c r="AL260" s="62"/>
      <c r="AM260" s="62"/>
    </row>
    <row r="261" customFormat="false" ht="25.5" hidden="false" customHeight="true" outlineLevel="0" collapsed="false">
      <c r="B261" s="63"/>
      <c r="C261" s="64"/>
      <c r="D261" s="64"/>
      <c r="E261" s="64"/>
      <c r="F261" s="64"/>
      <c r="G261" s="64"/>
      <c r="H261" s="65"/>
      <c r="J261" s="63"/>
      <c r="K261" s="64"/>
      <c r="L261" s="64"/>
      <c r="M261" s="64"/>
      <c r="N261" s="64"/>
      <c r="O261" s="64"/>
      <c r="P261" s="65"/>
      <c r="R261" s="63"/>
      <c r="S261" s="64"/>
      <c r="T261" s="64"/>
      <c r="U261" s="64"/>
      <c r="V261" s="64"/>
      <c r="W261" s="64"/>
      <c r="X261" s="65"/>
      <c r="Z261" s="63"/>
      <c r="AA261" s="64"/>
      <c r="AB261" s="64"/>
      <c r="AC261" s="64"/>
      <c r="AD261" s="64"/>
      <c r="AE261" s="64"/>
      <c r="AF261" s="65"/>
      <c r="AH261" s="63"/>
      <c r="AI261" s="64"/>
      <c r="AJ261" s="64"/>
      <c r="AK261" s="64"/>
      <c r="AL261" s="64"/>
      <c r="AM261" s="65"/>
    </row>
    <row r="262" customFormat="false" ht="6" hidden="false" customHeight="true" outlineLevel="0" collapsed="false">
      <c r="B262" s="67"/>
      <c r="C262" s="68"/>
      <c r="D262" s="68"/>
      <c r="E262" s="68"/>
      <c r="F262" s="68"/>
      <c r="G262" s="68"/>
      <c r="H262" s="69"/>
      <c r="J262" s="67"/>
      <c r="K262" s="68"/>
      <c r="L262" s="68"/>
      <c r="M262" s="68"/>
      <c r="N262" s="68"/>
      <c r="O262" s="68"/>
      <c r="P262" s="69"/>
      <c r="R262" s="67"/>
      <c r="S262" s="68"/>
      <c r="T262" s="68"/>
      <c r="U262" s="68"/>
      <c r="V262" s="68"/>
      <c r="W262" s="68"/>
      <c r="X262" s="69"/>
      <c r="Z262" s="67"/>
      <c r="AA262" s="68"/>
      <c r="AB262" s="68"/>
      <c r="AC262" s="68"/>
      <c r="AD262" s="68"/>
      <c r="AE262" s="68"/>
      <c r="AF262" s="69"/>
      <c r="AH262" s="67"/>
      <c r="AI262" s="68"/>
      <c r="AJ262" s="68"/>
      <c r="AK262" s="68"/>
      <c r="AL262" s="68"/>
      <c r="AM262" s="69"/>
    </row>
    <row r="263" customFormat="false" ht="9.75" hidden="false" customHeight="true" outlineLevel="0" collapsed="false"/>
    <row r="264" customFormat="false" ht="21.75" hidden="false" customHeight="true" outlineLevel="0" collapsed="false">
      <c r="B264" s="6"/>
      <c r="C264" s="19" t="s">
        <v>105</v>
      </c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59" t="s">
        <v>106</v>
      </c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  <c r="AF264" s="59"/>
      <c r="AG264" s="59"/>
      <c r="AH264" s="59"/>
      <c r="AI264" s="59"/>
      <c r="AJ264" s="59"/>
      <c r="AK264" s="59"/>
      <c r="AL264" s="59"/>
      <c r="AM264" s="59"/>
    </row>
    <row r="265" customFormat="false" ht="24" hidden="false" customHeight="true" outlineLevel="0" collapsed="false"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  <c r="AA265" s="72"/>
      <c r="AB265" s="72"/>
      <c r="AC265" s="72"/>
      <c r="AD265" s="72"/>
      <c r="AE265" s="72"/>
      <c r="AF265" s="72"/>
      <c r="AG265" s="72"/>
      <c r="AH265" s="72"/>
      <c r="AI265" s="72"/>
      <c r="AJ265" s="72"/>
      <c r="AK265" s="72"/>
      <c r="AL265" s="72"/>
      <c r="AM265" s="72"/>
    </row>
    <row r="266" customFormat="false" ht="24" hidden="false" customHeight="true" outlineLevel="0" collapsed="false"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  <c r="AA266" s="72"/>
      <c r="AB266" s="72"/>
      <c r="AC266" s="72"/>
      <c r="AD266" s="72"/>
      <c r="AE266" s="72"/>
      <c r="AF266" s="72"/>
      <c r="AG266" s="72"/>
      <c r="AH266" s="72"/>
      <c r="AI266" s="72"/>
      <c r="AJ266" s="72"/>
      <c r="AK266" s="72"/>
      <c r="AL266" s="72"/>
      <c r="AM266" s="72"/>
    </row>
    <row r="267" customFormat="false" ht="24" hidden="false" customHeight="true" outlineLevel="0" collapsed="false"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  <c r="AA267" s="72"/>
      <c r="AB267" s="72"/>
      <c r="AC267" s="72"/>
      <c r="AD267" s="72"/>
      <c r="AE267" s="72"/>
      <c r="AF267" s="72"/>
      <c r="AG267" s="72"/>
      <c r="AH267" s="72"/>
      <c r="AI267" s="72"/>
      <c r="AJ267" s="72"/>
      <c r="AK267" s="72"/>
      <c r="AL267" s="72"/>
      <c r="AM267" s="72"/>
    </row>
    <row r="268" customFormat="false" ht="295.5" hidden="false" customHeight="true" outlineLevel="0" collapsed="false"/>
    <row r="269" customFormat="false" ht="6" hidden="false" customHeight="true" outlineLevel="0" collapsed="false"/>
    <row r="270" customFormat="false" ht="19.5" hidden="false" customHeight="true" outlineLevel="0" collapsed="false">
      <c r="B270" s="73" t="s">
        <v>107</v>
      </c>
      <c r="C270" s="73"/>
      <c r="D270" s="73"/>
      <c r="E270" s="73"/>
      <c r="F270" s="73"/>
      <c r="G270" s="73"/>
      <c r="H270" s="73"/>
      <c r="I270" s="73"/>
      <c r="J270" s="73"/>
      <c r="K270" s="73"/>
      <c r="L270" s="74" t="s">
        <v>108</v>
      </c>
      <c r="M270" s="74"/>
      <c r="N270" s="74"/>
      <c r="O270" s="74"/>
      <c r="P270" s="74"/>
      <c r="Q270" s="74"/>
      <c r="R270" s="74"/>
      <c r="S270" s="74"/>
      <c r="U270" s="73" t="s">
        <v>109</v>
      </c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4" t="s">
        <v>108</v>
      </c>
      <c r="AG270" s="74"/>
      <c r="AH270" s="74"/>
      <c r="AI270" s="74"/>
      <c r="AJ270" s="74"/>
      <c r="AK270" s="74"/>
      <c r="AL270" s="74"/>
      <c r="AM270" s="74"/>
    </row>
    <row r="271" customFormat="false" ht="9.75" hidden="false" customHeight="true" outlineLevel="0" collapsed="false"/>
    <row r="272" customFormat="false" ht="18" hidden="false" customHeight="true" outlineLevel="0" collapsed="false">
      <c r="B272" s="75" t="s">
        <v>110</v>
      </c>
      <c r="C272" s="75"/>
      <c r="D272" s="75"/>
      <c r="E272" s="75"/>
      <c r="F272" s="75"/>
      <c r="G272" s="75"/>
      <c r="H272" s="75"/>
      <c r="I272" s="75"/>
      <c r="J272" s="75"/>
      <c r="K272" s="75"/>
      <c r="L272" s="75"/>
      <c r="M272" s="75"/>
      <c r="N272" s="75"/>
      <c r="O272" s="75"/>
      <c r="P272" s="75"/>
      <c r="Q272" s="75"/>
      <c r="R272" s="75"/>
      <c r="S272" s="75"/>
      <c r="T272" s="76" t="s">
        <v>111</v>
      </c>
      <c r="U272" s="76"/>
      <c r="V272" s="76"/>
      <c r="W272" s="76"/>
      <c r="X272" s="76"/>
      <c r="Y272" s="76"/>
      <c r="Z272" s="76"/>
      <c r="AA272" s="76"/>
      <c r="AB272" s="76"/>
      <c r="AC272" s="76"/>
      <c r="AD272" s="76"/>
      <c r="AE272" s="76"/>
      <c r="AF272" s="76"/>
      <c r="AG272" s="76"/>
      <c r="AH272" s="76"/>
      <c r="AI272" s="76"/>
      <c r="AJ272" s="76"/>
      <c r="AK272" s="76"/>
      <c r="AL272" s="76"/>
      <c r="AM272" s="76"/>
    </row>
    <row r="273" customFormat="false" ht="7.5" hidden="false" customHeight="true" outlineLevel="0" collapsed="false"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</row>
    <row r="274" customFormat="false" ht="19.5" hidden="false" customHeight="true" outlineLevel="0" collapsed="false">
      <c r="B274" s="1"/>
      <c r="C274" s="51" t="s">
        <v>78</v>
      </c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  <c r="AA274" s="51"/>
      <c r="AB274" s="1"/>
      <c r="AC274" s="1"/>
      <c r="AD274" s="1"/>
      <c r="AE274" s="52" t="s">
        <v>79</v>
      </c>
      <c r="AF274" s="52"/>
      <c r="AG274" s="52"/>
      <c r="AH274" s="52"/>
      <c r="AI274" s="52"/>
      <c r="AJ274" s="52"/>
      <c r="AK274" s="52"/>
      <c r="AL274" s="1"/>
      <c r="AM274" s="1"/>
    </row>
    <row r="275" customFormat="false" ht="30" hidden="false" customHeight="true" outlineLevel="0" collapsed="false">
      <c r="B275" s="1"/>
      <c r="C275" s="53" t="s">
        <v>80</v>
      </c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4" t="s">
        <v>81</v>
      </c>
      <c r="AC275" s="54"/>
      <c r="AD275" s="54"/>
      <c r="AE275" s="54"/>
      <c r="AF275" s="54"/>
      <c r="AG275" s="54"/>
      <c r="AH275" s="54"/>
      <c r="AI275" s="54"/>
      <c r="AJ275" s="54"/>
      <c r="AK275" s="54"/>
      <c r="AL275" s="1"/>
      <c r="AM275" s="1"/>
    </row>
    <row r="276" customFormat="false" ht="15.75" hidden="false" customHeight="true" outlineLevel="0" collapsed="false">
      <c r="B276" s="1"/>
      <c r="C276" s="55" t="s">
        <v>82</v>
      </c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</row>
    <row r="277" customFormat="false" ht="9.75" hidden="false" customHeight="true" outlineLevel="0" collapsed="false"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</row>
    <row r="278" customFormat="false" ht="3.75" hidden="false" customHeight="true" outlineLevel="0" collapsed="false"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</row>
    <row r="279" customFormat="false" ht="7.5" hidden="false" customHeight="true" outlineLevel="0" collapsed="false"/>
    <row r="280" customFormat="false" ht="13.5" hidden="false" customHeight="true" outlineLevel="0" collapsed="false">
      <c r="B280" s="56" t="s">
        <v>83</v>
      </c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P280" s="56" t="s">
        <v>84</v>
      </c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C280" s="56" t="s">
        <v>85</v>
      </c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</row>
    <row r="281" customFormat="false" ht="21.75" hidden="false" customHeight="true" outlineLevel="0" collapsed="false">
      <c r="B281" s="57" t="str">
        <f aca="false">Dashboard!$C$6</f>
        <v>Bindhya TB</v>
      </c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P281" s="57" t="str">
        <f aca="false">Dashboard!$C$7</f>
        <v>Tourism &amp; Business</v>
      </c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C281" s="58" t="n">
        <f aca="false">Cal!A10</f>
        <v>46304</v>
      </c>
      <c r="AD281" s="58"/>
      <c r="AE281" s="58"/>
      <c r="AF281" s="58"/>
      <c r="AG281" s="58"/>
      <c r="AH281" s="58"/>
      <c r="AI281" s="58"/>
      <c r="AJ281" s="58"/>
      <c r="AK281" s="58"/>
      <c r="AL281" s="58"/>
      <c r="AM281" s="58"/>
    </row>
    <row r="282" customFormat="false" ht="9.75" hidden="false" customHeight="true" outlineLevel="0" collapsed="false"/>
    <row r="283" customFormat="false" ht="21.75" hidden="false" customHeight="true" outlineLevel="0" collapsed="false">
      <c r="B283" s="6"/>
      <c r="C283" s="19" t="s">
        <v>86</v>
      </c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59" t="s">
        <v>87</v>
      </c>
      <c r="Q283" s="59"/>
      <c r="R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  <c r="AF283" s="59"/>
      <c r="AG283" s="59"/>
      <c r="AH283" s="59"/>
      <c r="AI283" s="59"/>
      <c r="AJ283" s="59"/>
      <c r="AK283" s="59"/>
      <c r="AL283" s="59"/>
      <c r="AM283" s="59"/>
    </row>
    <row r="284" customFormat="false" ht="19.5" hidden="false" customHeight="true" outlineLevel="0" collapsed="false">
      <c r="B284" s="60"/>
      <c r="C284" s="61" t="n">
        <v>1</v>
      </c>
      <c r="D284" s="62" t="s">
        <v>88</v>
      </c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V284" s="60"/>
      <c r="W284" s="61" t="n">
        <v>2</v>
      </c>
      <c r="X284" s="62" t="s">
        <v>89</v>
      </c>
      <c r="Y284" s="62"/>
      <c r="Z284" s="62"/>
      <c r="AA284" s="62"/>
      <c r="AB284" s="62"/>
      <c r="AC284" s="62"/>
      <c r="AD284" s="62"/>
      <c r="AE284" s="62"/>
      <c r="AF284" s="62"/>
      <c r="AG284" s="62"/>
      <c r="AH284" s="62"/>
      <c r="AI284" s="62"/>
      <c r="AJ284" s="62"/>
      <c r="AK284" s="62"/>
      <c r="AL284" s="62"/>
      <c r="AM284" s="62"/>
    </row>
    <row r="285" customFormat="false" ht="49.5" hidden="false" customHeight="true" outlineLevel="0" collapsed="false">
      <c r="B285" s="63"/>
      <c r="C285" s="64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5"/>
      <c r="V285" s="63"/>
      <c r="W285" s="77"/>
      <c r="X285" s="77"/>
      <c r="Y285" s="77"/>
      <c r="Z285" s="77"/>
      <c r="AA285" s="77"/>
      <c r="AB285" s="77"/>
      <c r="AC285" s="77"/>
      <c r="AD285" s="77"/>
      <c r="AE285" s="77"/>
      <c r="AF285" s="77"/>
      <c r="AG285" s="77"/>
      <c r="AH285" s="77"/>
      <c r="AI285" s="77"/>
      <c r="AJ285" s="77"/>
      <c r="AK285" s="77"/>
      <c r="AL285" s="77"/>
      <c r="AM285" s="65"/>
    </row>
    <row r="286" customFormat="false" ht="6" hidden="false" customHeight="true" outlineLevel="0" collapsed="false">
      <c r="B286" s="67"/>
      <c r="C286" s="68"/>
      <c r="D286" s="68"/>
      <c r="E286" s="68"/>
      <c r="F286" s="68"/>
      <c r="G286" s="68"/>
      <c r="H286" s="68"/>
      <c r="I286" s="68"/>
      <c r="J286" s="68"/>
      <c r="K286" s="68"/>
      <c r="L286" s="68"/>
      <c r="M286" s="68"/>
      <c r="N286" s="68"/>
      <c r="O286" s="68"/>
      <c r="P286" s="68"/>
      <c r="Q286" s="68"/>
      <c r="R286" s="68"/>
      <c r="S286" s="68"/>
      <c r="T286" s="69"/>
      <c r="V286" s="67"/>
      <c r="W286" s="68"/>
      <c r="X286" s="68"/>
      <c r="Y286" s="68"/>
      <c r="Z286" s="68"/>
      <c r="AA286" s="68"/>
      <c r="AB286" s="68"/>
      <c r="AC286" s="68"/>
      <c r="AD286" s="68"/>
      <c r="AE286" s="68"/>
      <c r="AF286" s="68"/>
      <c r="AG286" s="68"/>
      <c r="AH286" s="68"/>
      <c r="AI286" s="68"/>
      <c r="AJ286" s="68"/>
      <c r="AK286" s="68"/>
      <c r="AL286" s="68"/>
      <c r="AM286" s="69"/>
    </row>
    <row r="287" customFormat="false" ht="9.75" hidden="false" customHeight="true" outlineLevel="0" collapsed="false"/>
    <row r="288" customFormat="false" ht="21.75" hidden="false" customHeight="true" outlineLevel="0" collapsed="false">
      <c r="B288" s="6"/>
      <c r="C288" s="19" t="s">
        <v>91</v>
      </c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59" t="s">
        <v>92</v>
      </c>
      <c r="W288" s="59"/>
      <c r="X288" s="59"/>
      <c r="Y288" s="59"/>
      <c r="Z288" s="59"/>
      <c r="AA288" s="59"/>
      <c r="AB288" s="59"/>
      <c r="AC288" s="59"/>
      <c r="AD288" s="59"/>
      <c r="AE288" s="59"/>
      <c r="AF288" s="59"/>
      <c r="AG288" s="59"/>
      <c r="AH288" s="59"/>
      <c r="AI288" s="59"/>
      <c r="AJ288" s="59"/>
      <c r="AK288" s="59"/>
      <c r="AL288" s="59"/>
      <c r="AM288" s="59"/>
    </row>
    <row r="289" customFormat="false" ht="27.75" hidden="false" customHeight="true" outlineLevel="0" collapsed="false">
      <c r="B289" s="60"/>
      <c r="C289" s="61" t="n">
        <v>3</v>
      </c>
      <c r="D289" s="62" t="s">
        <v>93</v>
      </c>
      <c r="E289" s="62"/>
      <c r="F289" s="62"/>
      <c r="G289" s="62"/>
      <c r="H289" s="62"/>
      <c r="I289" s="62"/>
      <c r="J289" s="62"/>
      <c r="L289" s="60"/>
      <c r="M289" s="61" t="n">
        <v>4</v>
      </c>
      <c r="N289" s="62" t="s">
        <v>94</v>
      </c>
      <c r="O289" s="62"/>
      <c r="P289" s="62"/>
      <c r="Q289" s="62"/>
      <c r="R289" s="62"/>
      <c r="S289" s="62"/>
      <c r="T289" s="62"/>
      <c r="V289" s="60"/>
      <c r="W289" s="61" t="n">
        <v>5</v>
      </c>
      <c r="X289" s="62" t="s">
        <v>95</v>
      </c>
      <c r="Y289" s="62"/>
      <c r="Z289" s="62"/>
      <c r="AA289" s="62"/>
      <c r="AB289" s="62"/>
      <c r="AC289" s="62"/>
      <c r="AD289" s="62"/>
      <c r="AF289" s="60"/>
      <c r="AG289" s="61" t="n">
        <v>6</v>
      </c>
      <c r="AH289" s="62" t="s">
        <v>96</v>
      </c>
      <c r="AI289" s="62"/>
      <c r="AJ289" s="62"/>
      <c r="AK289" s="62"/>
      <c r="AL289" s="62"/>
      <c r="AM289" s="62"/>
    </row>
    <row r="290" customFormat="false" ht="25.5" hidden="false" customHeight="true" outlineLevel="0" collapsed="false">
      <c r="B290" s="63"/>
      <c r="C290" s="64"/>
      <c r="D290" s="64"/>
      <c r="E290" s="64"/>
      <c r="F290" s="64"/>
      <c r="G290" s="64"/>
      <c r="H290" s="64"/>
      <c r="I290" s="64"/>
      <c r="J290" s="65"/>
      <c r="L290" s="63"/>
      <c r="M290" s="64"/>
      <c r="N290" s="64"/>
      <c r="O290" s="64"/>
      <c r="P290" s="64"/>
      <c r="Q290" s="64"/>
      <c r="R290" s="64"/>
      <c r="S290" s="64"/>
      <c r="T290" s="65"/>
      <c r="V290" s="63"/>
      <c r="W290" s="70"/>
      <c r="X290" s="70"/>
      <c r="Y290" s="70"/>
      <c r="Z290" s="70"/>
      <c r="AA290" s="70"/>
      <c r="AB290" s="70"/>
      <c r="AC290" s="70"/>
      <c r="AD290" s="65"/>
      <c r="AF290" s="63"/>
      <c r="AG290" s="64"/>
      <c r="AH290" s="64"/>
      <c r="AI290" s="64"/>
      <c r="AJ290" s="64"/>
      <c r="AK290" s="64"/>
      <c r="AL290" s="64"/>
      <c r="AM290" s="65"/>
    </row>
    <row r="291" customFormat="false" ht="6" hidden="false" customHeight="true" outlineLevel="0" collapsed="false">
      <c r="B291" s="67"/>
      <c r="C291" s="68"/>
      <c r="D291" s="68"/>
      <c r="E291" s="68"/>
      <c r="F291" s="68"/>
      <c r="G291" s="68"/>
      <c r="H291" s="68"/>
      <c r="I291" s="68"/>
      <c r="J291" s="69"/>
      <c r="L291" s="67"/>
      <c r="M291" s="68"/>
      <c r="N291" s="68"/>
      <c r="O291" s="68"/>
      <c r="P291" s="68"/>
      <c r="Q291" s="68"/>
      <c r="R291" s="68"/>
      <c r="S291" s="68"/>
      <c r="T291" s="69"/>
      <c r="V291" s="67"/>
      <c r="W291" s="68"/>
      <c r="X291" s="68"/>
      <c r="Y291" s="68"/>
      <c r="Z291" s="68"/>
      <c r="AA291" s="68"/>
      <c r="AB291" s="68"/>
      <c r="AC291" s="68"/>
      <c r="AD291" s="69"/>
      <c r="AF291" s="67"/>
      <c r="AG291" s="68"/>
      <c r="AH291" s="68"/>
      <c r="AI291" s="68"/>
      <c r="AJ291" s="68"/>
      <c r="AK291" s="68"/>
      <c r="AL291" s="68"/>
      <c r="AM291" s="69"/>
    </row>
    <row r="292" customFormat="false" ht="9.75" hidden="false" customHeight="true" outlineLevel="0" collapsed="false"/>
    <row r="293" customFormat="false" ht="21.75" hidden="false" customHeight="true" outlineLevel="0" collapsed="false">
      <c r="B293" s="6"/>
      <c r="C293" s="19" t="s">
        <v>98</v>
      </c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59" t="s">
        <v>99</v>
      </c>
      <c r="W293" s="59"/>
      <c r="X293" s="59"/>
      <c r="Y293" s="59"/>
      <c r="Z293" s="59"/>
      <c r="AA293" s="59"/>
      <c r="AB293" s="59"/>
      <c r="AC293" s="59"/>
      <c r="AD293" s="59"/>
      <c r="AE293" s="59"/>
      <c r="AF293" s="59"/>
      <c r="AG293" s="59"/>
      <c r="AH293" s="59"/>
      <c r="AI293" s="59"/>
      <c r="AJ293" s="59"/>
      <c r="AK293" s="59"/>
      <c r="AL293" s="59"/>
      <c r="AM293" s="59"/>
    </row>
    <row r="294" customFormat="false" ht="27.75" hidden="false" customHeight="true" outlineLevel="0" collapsed="false">
      <c r="B294" s="60"/>
      <c r="C294" s="61" t="n">
        <v>7</v>
      </c>
      <c r="D294" s="62" t="s">
        <v>100</v>
      </c>
      <c r="E294" s="62"/>
      <c r="F294" s="62"/>
      <c r="G294" s="62"/>
      <c r="H294" s="62"/>
      <c r="J294" s="60"/>
      <c r="K294" s="61" t="n">
        <v>8</v>
      </c>
      <c r="L294" s="62" t="s">
        <v>101</v>
      </c>
      <c r="M294" s="62"/>
      <c r="N294" s="62"/>
      <c r="O294" s="62"/>
      <c r="P294" s="62"/>
      <c r="R294" s="60"/>
      <c r="S294" s="61" t="n">
        <v>9</v>
      </c>
      <c r="T294" s="62" t="s">
        <v>102</v>
      </c>
      <c r="U294" s="62"/>
      <c r="V294" s="62"/>
      <c r="W294" s="62"/>
      <c r="X294" s="62"/>
      <c r="Z294" s="60"/>
      <c r="AA294" s="61" t="n">
        <v>10</v>
      </c>
      <c r="AB294" s="62" t="s">
        <v>103</v>
      </c>
      <c r="AC294" s="62"/>
      <c r="AD294" s="62"/>
      <c r="AE294" s="62"/>
      <c r="AF294" s="62"/>
      <c r="AH294" s="60"/>
      <c r="AI294" s="61" t="n">
        <v>11</v>
      </c>
      <c r="AJ294" s="62" t="s">
        <v>104</v>
      </c>
      <c r="AK294" s="62"/>
      <c r="AL294" s="62"/>
      <c r="AM294" s="62"/>
    </row>
    <row r="295" customFormat="false" ht="25.5" hidden="false" customHeight="true" outlineLevel="0" collapsed="false">
      <c r="B295" s="63"/>
      <c r="C295" s="64"/>
      <c r="D295" s="64"/>
      <c r="E295" s="64"/>
      <c r="F295" s="64"/>
      <c r="G295" s="64"/>
      <c r="H295" s="65"/>
      <c r="J295" s="63"/>
      <c r="K295" s="64"/>
      <c r="L295" s="64"/>
      <c r="M295" s="64"/>
      <c r="N295" s="64"/>
      <c r="O295" s="64"/>
      <c r="P295" s="65"/>
      <c r="R295" s="63"/>
      <c r="S295" s="64"/>
      <c r="T295" s="64"/>
      <c r="U295" s="64"/>
      <c r="V295" s="64"/>
      <c r="W295" s="64"/>
      <c r="X295" s="65"/>
      <c r="Z295" s="63"/>
      <c r="AA295" s="64"/>
      <c r="AB295" s="64"/>
      <c r="AC295" s="64"/>
      <c r="AD295" s="64"/>
      <c r="AE295" s="64"/>
      <c r="AF295" s="65"/>
      <c r="AH295" s="63"/>
      <c r="AI295" s="64"/>
      <c r="AJ295" s="64"/>
      <c r="AK295" s="64"/>
      <c r="AL295" s="64"/>
      <c r="AM295" s="65"/>
    </row>
    <row r="296" customFormat="false" ht="6" hidden="false" customHeight="true" outlineLevel="0" collapsed="false">
      <c r="B296" s="67"/>
      <c r="C296" s="68"/>
      <c r="D296" s="68"/>
      <c r="E296" s="68"/>
      <c r="F296" s="68"/>
      <c r="G296" s="68"/>
      <c r="H296" s="69"/>
      <c r="J296" s="67"/>
      <c r="K296" s="68"/>
      <c r="L296" s="68"/>
      <c r="M296" s="68"/>
      <c r="N296" s="68"/>
      <c r="O296" s="68"/>
      <c r="P296" s="69"/>
      <c r="R296" s="67"/>
      <c r="S296" s="68"/>
      <c r="T296" s="68"/>
      <c r="U296" s="68"/>
      <c r="V296" s="68"/>
      <c r="W296" s="68"/>
      <c r="X296" s="69"/>
      <c r="Z296" s="67"/>
      <c r="AA296" s="68"/>
      <c r="AB296" s="68"/>
      <c r="AC296" s="68"/>
      <c r="AD296" s="68"/>
      <c r="AE296" s="68"/>
      <c r="AF296" s="69"/>
      <c r="AH296" s="67"/>
      <c r="AI296" s="68"/>
      <c r="AJ296" s="68"/>
      <c r="AK296" s="68"/>
      <c r="AL296" s="68"/>
      <c r="AM296" s="69"/>
    </row>
    <row r="297" customFormat="false" ht="9.75" hidden="false" customHeight="true" outlineLevel="0" collapsed="false"/>
    <row r="298" customFormat="false" ht="21.75" hidden="false" customHeight="true" outlineLevel="0" collapsed="false">
      <c r="B298" s="6"/>
      <c r="C298" s="19" t="s">
        <v>105</v>
      </c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59" t="s">
        <v>106</v>
      </c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  <c r="AF298" s="59"/>
      <c r="AG298" s="59"/>
      <c r="AH298" s="59"/>
      <c r="AI298" s="59"/>
      <c r="AJ298" s="59"/>
      <c r="AK298" s="59"/>
      <c r="AL298" s="59"/>
      <c r="AM298" s="59"/>
    </row>
    <row r="299" customFormat="false" ht="24" hidden="false" customHeight="true" outlineLevel="0" collapsed="false"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  <c r="AA299" s="72"/>
      <c r="AB299" s="72"/>
      <c r="AC299" s="72"/>
      <c r="AD299" s="72"/>
      <c r="AE299" s="72"/>
      <c r="AF299" s="72"/>
      <c r="AG299" s="72"/>
      <c r="AH299" s="72"/>
      <c r="AI299" s="72"/>
      <c r="AJ299" s="72"/>
      <c r="AK299" s="72"/>
      <c r="AL299" s="72"/>
      <c r="AM299" s="72"/>
    </row>
    <row r="300" customFormat="false" ht="24" hidden="false" customHeight="true" outlineLevel="0" collapsed="false"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  <c r="AA300" s="72"/>
      <c r="AB300" s="72"/>
      <c r="AC300" s="72"/>
      <c r="AD300" s="72"/>
      <c r="AE300" s="72"/>
      <c r="AF300" s="72"/>
      <c r="AG300" s="72"/>
      <c r="AH300" s="72"/>
      <c r="AI300" s="72"/>
      <c r="AJ300" s="72"/>
      <c r="AK300" s="72"/>
      <c r="AL300" s="72"/>
      <c r="AM300" s="72"/>
    </row>
    <row r="301" customFormat="false" ht="24" hidden="false" customHeight="true" outlineLevel="0" collapsed="false"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  <c r="AA301" s="72"/>
      <c r="AB301" s="72"/>
      <c r="AC301" s="72"/>
      <c r="AD301" s="72"/>
      <c r="AE301" s="72"/>
      <c r="AF301" s="72"/>
      <c r="AG301" s="72"/>
      <c r="AH301" s="72"/>
      <c r="AI301" s="72"/>
      <c r="AJ301" s="72"/>
      <c r="AK301" s="72"/>
      <c r="AL301" s="72"/>
      <c r="AM301" s="72"/>
    </row>
    <row r="302" customFormat="false" ht="295.5" hidden="false" customHeight="true" outlineLevel="0" collapsed="false"/>
    <row r="303" customFormat="false" ht="6" hidden="false" customHeight="true" outlineLevel="0" collapsed="false"/>
    <row r="304" customFormat="false" ht="19.5" hidden="false" customHeight="true" outlineLevel="0" collapsed="false">
      <c r="B304" s="73" t="s">
        <v>107</v>
      </c>
      <c r="C304" s="73"/>
      <c r="D304" s="73"/>
      <c r="E304" s="73"/>
      <c r="F304" s="73"/>
      <c r="G304" s="73"/>
      <c r="H304" s="73"/>
      <c r="I304" s="73"/>
      <c r="J304" s="73"/>
      <c r="K304" s="73"/>
      <c r="L304" s="74" t="s">
        <v>108</v>
      </c>
      <c r="M304" s="74"/>
      <c r="N304" s="74"/>
      <c r="O304" s="74"/>
      <c r="P304" s="74"/>
      <c r="Q304" s="74"/>
      <c r="R304" s="74"/>
      <c r="S304" s="74"/>
      <c r="U304" s="73" t="s">
        <v>109</v>
      </c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4" t="s">
        <v>108</v>
      </c>
      <c r="AG304" s="74"/>
      <c r="AH304" s="74"/>
      <c r="AI304" s="74"/>
      <c r="AJ304" s="74"/>
      <c r="AK304" s="74"/>
      <c r="AL304" s="74"/>
      <c r="AM304" s="74"/>
    </row>
    <row r="305" customFormat="false" ht="9.75" hidden="false" customHeight="true" outlineLevel="0" collapsed="false"/>
    <row r="306" customFormat="false" ht="18" hidden="false" customHeight="true" outlineLevel="0" collapsed="false">
      <c r="B306" s="75" t="s">
        <v>110</v>
      </c>
      <c r="C306" s="75"/>
      <c r="D306" s="75"/>
      <c r="E306" s="75"/>
      <c r="F306" s="75"/>
      <c r="G306" s="75"/>
      <c r="H306" s="75"/>
      <c r="I306" s="75"/>
      <c r="J306" s="75"/>
      <c r="K306" s="75"/>
      <c r="L306" s="75"/>
      <c r="M306" s="75"/>
      <c r="N306" s="75"/>
      <c r="O306" s="75"/>
      <c r="P306" s="75"/>
      <c r="Q306" s="75"/>
      <c r="R306" s="75"/>
      <c r="S306" s="75"/>
      <c r="T306" s="76" t="s">
        <v>111</v>
      </c>
      <c r="U306" s="76"/>
      <c r="V306" s="76"/>
      <c r="W306" s="76"/>
      <c r="X306" s="76"/>
      <c r="Y306" s="76"/>
      <c r="Z306" s="76"/>
      <c r="AA306" s="76"/>
      <c r="AB306" s="76"/>
      <c r="AC306" s="76"/>
      <c r="AD306" s="76"/>
      <c r="AE306" s="76"/>
      <c r="AF306" s="76"/>
      <c r="AG306" s="76"/>
      <c r="AH306" s="76"/>
      <c r="AI306" s="76"/>
      <c r="AJ306" s="76"/>
      <c r="AK306" s="76"/>
      <c r="AL306" s="76"/>
      <c r="AM306" s="76"/>
    </row>
    <row r="307" customFormat="false" ht="7.5" hidden="false" customHeight="true" outlineLevel="0" collapsed="false"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</row>
    <row r="308" customFormat="false" ht="19.5" hidden="false" customHeight="true" outlineLevel="0" collapsed="false">
      <c r="B308" s="1"/>
      <c r="C308" s="51" t="s">
        <v>78</v>
      </c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  <c r="AA308" s="51"/>
      <c r="AB308" s="1"/>
      <c r="AC308" s="1"/>
      <c r="AD308" s="1"/>
      <c r="AE308" s="52" t="s">
        <v>79</v>
      </c>
      <c r="AF308" s="52"/>
      <c r="AG308" s="52"/>
      <c r="AH308" s="52"/>
      <c r="AI308" s="52"/>
      <c r="AJ308" s="52"/>
      <c r="AK308" s="52"/>
      <c r="AL308" s="1"/>
      <c r="AM308" s="1"/>
    </row>
    <row r="309" customFormat="false" ht="30" hidden="false" customHeight="true" outlineLevel="0" collapsed="false">
      <c r="B309" s="1"/>
      <c r="C309" s="53" t="s">
        <v>80</v>
      </c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4" t="s">
        <v>81</v>
      </c>
      <c r="AC309" s="54"/>
      <c r="AD309" s="54"/>
      <c r="AE309" s="54"/>
      <c r="AF309" s="54"/>
      <c r="AG309" s="54"/>
      <c r="AH309" s="54"/>
      <c r="AI309" s="54"/>
      <c r="AJ309" s="54"/>
      <c r="AK309" s="54"/>
      <c r="AL309" s="1"/>
      <c r="AM309" s="1"/>
    </row>
    <row r="310" customFormat="false" ht="15.75" hidden="false" customHeight="true" outlineLevel="0" collapsed="false">
      <c r="B310" s="1"/>
      <c r="C310" s="55" t="s">
        <v>82</v>
      </c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</row>
    <row r="311" customFormat="false" ht="9.75" hidden="false" customHeight="true" outlineLevel="0" collapsed="false"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</row>
    <row r="312" customFormat="false" ht="3.75" hidden="false" customHeight="true" outlineLevel="0" collapsed="false"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</row>
    <row r="313" customFormat="false" ht="7.5" hidden="false" customHeight="true" outlineLevel="0" collapsed="false"/>
    <row r="314" customFormat="false" ht="13.5" hidden="false" customHeight="true" outlineLevel="0" collapsed="false">
      <c r="B314" s="56" t="s">
        <v>83</v>
      </c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P314" s="56" t="s">
        <v>84</v>
      </c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C314" s="56" t="s">
        <v>85</v>
      </c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</row>
    <row r="315" customFormat="false" ht="21.75" hidden="false" customHeight="true" outlineLevel="0" collapsed="false">
      <c r="B315" s="57" t="str">
        <f aca="false">Dashboard!$C$6</f>
        <v>Bindhya TB</v>
      </c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P315" s="57" t="str">
        <f aca="false">Dashboard!$C$7</f>
        <v>Tourism &amp; Business</v>
      </c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C315" s="58" t="n">
        <f aca="false">Cal!A11</f>
        <v>46305</v>
      </c>
      <c r="AD315" s="58"/>
      <c r="AE315" s="58"/>
      <c r="AF315" s="58"/>
      <c r="AG315" s="58"/>
      <c r="AH315" s="58"/>
      <c r="AI315" s="58"/>
      <c r="AJ315" s="58"/>
      <c r="AK315" s="58"/>
      <c r="AL315" s="58"/>
      <c r="AM315" s="58"/>
    </row>
    <row r="316" customFormat="false" ht="9.75" hidden="false" customHeight="true" outlineLevel="0" collapsed="false"/>
    <row r="317" customFormat="false" ht="21.75" hidden="false" customHeight="true" outlineLevel="0" collapsed="false">
      <c r="B317" s="6"/>
      <c r="C317" s="19" t="s">
        <v>86</v>
      </c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59" t="s">
        <v>87</v>
      </c>
      <c r="Q317" s="59"/>
      <c r="R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  <c r="AF317" s="59"/>
      <c r="AG317" s="59"/>
      <c r="AH317" s="59"/>
      <c r="AI317" s="59"/>
      <c r="AJ317" s="59"/>
      <c r="AK317" s="59"/>
      <c r="AL317" s="59"/>
      <c r="AM317" s="59"/>
    </row>
    <row r="318" customFormat="false" ht="19.5" hidden="false" customHeight="true" outlineLevel="0" collapsed="false">
      <c r="B318" s="60"/>
      <c r="C318" s="61" t="n">
        <v>1</v>
      </c>
      <c r="D318" s="62" t="s">
        <v>88</v>
      </c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V318" s="60"/>
      <c r="W318" s="61" t="n">
        <v>2</v>
      </c>
      <c r="X318" s="62" t="s">
        <v>89</v>
      </c>
      <c r="Y318" s="62"/>
      <c r="Z318" s="62"/>
      <c r="AA318" s="62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  <c r="AL318" s="62"/>
      <c r="AM318" s="62"/>
    </row>
    <row r="319" customFormat="false" ht="49.5" hidden="false" customHeight="true" outlineLevel="0" collapsed="false">
      <c r="B319" s="63"/>
      <c r="C319" s="64"/>
      <c r="D319" s="64"/>
      <c r="E319" s="64"/>
      <c r="F319" s="64"/>
      <c r="G319" s="64"/>
      <c r="H319" s="64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5"/>
      <c r="V319" s="63"/>
      <c r="W319" s="77"/>
      <c r="X319" s="77"/>
      <c r="Y319" s="77"/>
      <c r="Z319" s="77"/>
      <c r="AA319" s="77"/>
      <c r="AB319" s="77"/>
      <c r="AC319" s="77"/>
      <c r="AD319" s="77"/>
      <c r="AE319" s="77"/>
      <c r="AF319" s="77"/>
      <c r="AG319" s="77"/>
      <c r="AH319" s="77"/>
      <c r="AI319" s="77"/>
      <c r="AJ319" s="77"/>
      <c r="AK319" s="77"/>
      <c r="AL319" s="77"/>
      <c r="AM319" s="65"/>
    </row>
    <row r="320" customFormat="false" ht="6" hidden="false" customHeight="true" outlineLevel="0" collapsed="false">
      <c r="B320" s="67"/>
      <c r="C320" s="68"/>
      <c r="D320" s="68"/>
      <c r="E320" s="68"/>
      <c r="F320" s="68"/>
      <c r="G320" s="68"/>
      <c r="H320" s="68"/>
      <c r="I320" s="68"/>
      <c r="J320" s="68"/>
      <c r="K320" s="68"/>
      <c r="L320" s="68"/>
      <c r="M320" s="68"/>
      <c r="N320" s="68"/>
      <c r="O320" s="68"/>
      <c r="P320" s="68"/>
      <c r="Q320" s="68"/>
      <c r="R320" s="68"/>
      <c r="S320" s="68"/>
      <c r="T320" s="69"/>
      <c r="V320" s="67"/>
      <c r="W320" s="68"/>
      <c r="X320" s="68"/>
      <c r="Y320" s="68"/>
      <c r="Z320" s="68"/>
      <c r="AA320" s="68"/>
      <c r="AB320" s="68"/>
      <c r="AC320" s="68"/>
      <c r="AD320" s="68"/>
      <c r="AE320" s="68"/>
      <c r="AF320" s="68"/>
      <c r="AG320" s="68"/>
      <c r="AH320" s="68"/>
      <c r="AI320" s="68"/>
      <c r="AJ320" s="68"/>
      <c r="AK320" s="68"/>
      <c r="AL320" s="68"/>
      <c r="AM320" s="69"/>
    </row>
    <row r="321" customFormat="false" ht="9.75" hidden="false" customHeight="true" outlineLevel="0" collapsed="false"/>
    <row r="322" customFormat="false" ht="21.75" hidden="false" customHeight="true" outlineLevel="0" collapsed="false">
      <c r="B322" s="6"/>
      <c r="C322" s="19" t="s">
        <v>91</v>
      </c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59" t="s">
        <v>92</v>
      </c>
      <c r="W322" s="59"/>
      <c r="X322" s="59"/>
      <c r="Y322" s="59"/>
      <c r="Z322" s="59"/>
      <c r="AA322" s="59"/>
      <c r="AB322" s="59"/>
      <c r="AC322" s="59"/>
      <c r="AD322" s="59"/>
      <c r="AE322" s="59"/>
      <c r="AF322" s="59"/>
      <c r="AG322" s="59"/>
      <c r="AH322" s="59"/>
      <c r="AI322" s="59"/>
      <c r="AJ322" s="59"/>
      <c r="AK322" s="59"/>
      <c r="AL322" s="59"/>
      <c r="AM322" s="59"/>
    </row>
    <row r="323" customFormat="false" ht="27.75" hidden="false" customHeight="true" outlineLevel="0" collapsed="false">
      <c r="B323" s="60"/>
      <c r="C323" s="61" t="n">
        <v>3</v>
      </c>
      <c r="D323" s="62" t="s">
        <v>93</v>
      </c>
      <c r="E323" s="62"/>
      <c r="F323" s="62"/>
      <c r="G323" s="62"/>
      <c r="H323" s="62"/>
      <c r="I323" s="62"/>
      <c r="J323" s="62"/>
      <c r="L323" s="60"/>
      <c r="M323" s="61" t="n">
        <v>4</v>
      </c>
      <c r="N323" s="62" t="s">
        <v>94</v>
      </c>
      <c r="O323" s="62"/>
      <c r="P323" s="62"/>
      <c r="Q323" s="62"/>
      <c r="R323" s="62"/>
      <c r="S323" s="62"/>
      <c r="T323" s="62"/>
      <c r="V323" s="60"/>
      <c r="W323" s="61" t="n">
        <v>5</v>
      </c>
      <c r="X323" s="62" t="s">
        <v>95</v>
      </c>
      <c r="Y323" s="62"/>
      <c r="Z323" s="62"/>
      <c r="AA323" s="62"/>
      <c r="AB323" s="62"/>
      <c r="AC323" s="62"/>
      <c r="AD323" s="62"/>
      <c r="AF323" s="60"/>
      <c r="AG323" s="61" t="n">
        <v>6</v>
      </c>
      <c r="AH323" s="62" t="s">
        <v>96</v>
      </c>
      <c r="AI323" s="62"/>
      <c r="AJ323" s="62"/>
      <c r="AK323" s="62"/>
      <c r="AL323" s="62"/>
      <c r="AM323" s="62"/>
    </row>
    <row r="324" customFormat="false" ht="25.5" hidden="false" customHeight="true" outlineLevel="0" collapsed="false">
      <c r="B324" s="63"/>
      <c r="C324" s="64"/>
      <c r="D324" s="64"/>
      <c r="E324" s="64"/>
      <c r="F324" s="64"/>
      <c r="G324" s="64"/>
      <c r="H324" s="64"/>
      <c r="I324" s="64"/>
      <c r="J324" s="65"/>
      <c r="L324" s="63"/>
      <c r="M324" s="64"/>
      <c r="N324" s="64"/>
      <c r="O324" s="64"/>
      <c r="P324" s="64"/>
      <c r="Q324" s="64"/>
      <c r="R324" s="64"/>
      <c r="S324" s="64"/>
      <c r="T324" s="65"/>
      <c r="V324" s="63"/>
      <c r="W324" s="70"/>
      <c r="X324" s="70"/>
      <c r="Y324" s="70"/>
      <c r="Z324" s="70"/>
      <c r="AA324" s="70"/>
      <c r="AB324" s="70"/>
      <c r="AC324" s="70"/>
      <c r="AD324" s="65"/>
      <c r="AF324" s="63"/>
      <c r="AG324" s="64"/>
      <c r="AH324" s="64"/>
      <c r="AI324" s="64"/>
      <c r="AJ324" s="64"/>
      <c r="AK324" s="64"/>
      <c r="AL324" s="64"/>
      <c r="AM324" s="65"/>
    </row>
    <row r="325" customFormat="false" ht="6" hidden="false" customHeight="true" outlineLevel="0" collapsed="false">
      <c r="B325" s="67"/>
      <c r="C325" s="68"/>
      <c r="D325" s="68"/>
      <c r="E325" s="68"/>
      <c r="F325" s="68"/>
      <c r="G325" s="68"/>
      <c r="H325" s="68"/>
      <c r="I325" s="68"/>
      <c r="J325" s="69"/>
      <c r="L325" s="67"/>
      <c r="M325" s="68"/>
      <c r="N325" s="68"/>
      <c r="O325" s="68"/>
      <c r="P325" s="68"/>
      <c r="Q325" s="68"/>
      <c r="R325" s="68"/>
      <c r="S325" s="68"/>
      <c r="T325" s="69"/>
      <c r="V325" s="67"/>
      <c r="W325" s="68"/>
      <c r="X325" s="68"/>
      <c r="Y325" s="68"/>
      <c r="Z325" s="68"/>
      <c r="AA325" s="68"/>
      <c r="AB325" s="68"/>
      <c r="AC325" s="68"/>
      <c r="AD325" s="69"/>
      <c r="AF325" s="67"/>
      <c r="AG325" s="68"/>
      <c r="AH325" s="68"/>
      <c r="AI325" s="68"/>
      <c r="AJ325" s="68"/>
      <c r="AK325" s="68"/>
      <c r="AL325" s="68"/>
      <c r="AM325" s="69"/>
    </row>
    <row r="326" customFormat="false" ht="9.75" hidden="false" customHeight="true" outlineLevel="0" collapsed="false"/>
    <row r="327" customFormat="false" ht="21.75" hidden="false" customHeight="true" outlineLevel="0" collapsed="false">
      <c r="B327" s="6"/>
      <c r="C327" s="19" t="s">
        <v>98</v>
      </c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59" t="s">
        <v>99</v>
      </c>
      <c r="W327" s="59"/>
      <c r="X327" s="59"/>
      <c r="Y327" s="59"/>
      <c r="Z327" s="59"/>
      <c r="AA327" s="59"/>
      <c r="AB327" s="59"/>
      <c r="AC327" s="59"/>
      <c r="AD327" s="59"/>
      <c r="AE327" s="59"/>
      <c r="AF327" s="59"/>
      <c r="AG327" s="59"/>
      <c r="AH327" s="59"/>
      <c r="AI327" s="59"/>
      <c r="AJ327" s="59"/>
      <c r="AK327" s="59"/>
      <c r="AL327" s="59"/>
      <c r="AM327" s="59"/>
    </row>
    <row r="328" customFormat="false" ht="27.75" hidden="false" customHeight="true" outlineLevel="0" collapsed="false">
      <c r="B328" s="60"/>
      <c r="C328" s="61" t="n">
        <v>7</v>
      </c>
      <c r="D328" s="62" t="s">
        <v>100</v>
      </c>
      <c r="E328" s="62"/>
      <c r="F328" s="62"/>
      <c r="G328" s="62"/>
      <c r="H328" s="62"/>
      <c r="J328" s="60"/>
      <c r="K328" s="61" t="n">
        <v>8</v>
      </c>
      <c r="L328" s="62" t="s">
        <v>101</v>
      </c>
      <c r="M328" s="62"/>
      <c r="N328" s="62"/>
      <c r="O328" s="62"/>
      <c r="P328" s="62"/>
      <c r="R328" s="60"/>
      <c r="S328" s="61" t="n">
        <v>9</v>
      </c>
      <c r="T328" s="62" t="s">
        <v>102</v>
      </c>
      <c r="U328" s="62"/>
      <c r="V328" s="62"/>
      <c r="W328" s="62"/>
      <c r="X328" s="62"/>
      <c r="Z328" s="60"/>
      <c r="AA328" s="61" t="n">
        <v>10</v>
      </c>
      <c r="AB328" s="62" t="s">
        <v>103</v>
      </c>
      <c r="AC328" s="62"/>
      <c r="AD328" s="62"/>
      <c r="AE328" s="62"/>
      <c r="AF328" s="62"/>
      <c r="AH328" s="60"/>
      <c r="AI328" s="61" t="n">
        <v>11</v>
      </c>
      <c r="AJ328" s="62" t="s">
        <v>104</v>
      </c>
      <c r="AK328" s="62"/>
      <c r="AL328" s="62"/>
      <c r="AM328" s="62"/>
    </row>
    <row r="329" customFormat="false" ht="25.5" hidden="false" customHeight="true" outlineLevel="0" collapsed="false">
      <c r="B329" s="63"/>
      <c r="C329" s="64"/>
      <c r="D329" s="64"/>
      <c r="E329" s="64"/>
      <c r="F329" s="64"/>
      <c r="G329" s="64"/>
      <c r="H329" s="65"/>
      <c r="J329" s="63"/>
      <c r="K329" s="64"/>
      <c r="L329" s="64"/>
      <c r="M329" s="64"/>
      <c r="N329" s="64"/>
      <c r="O329" s="64"/>
      <c r="P329" s="65"/>
      <c r="R329" s="63"/>
      <c r="S329" s="64"/>
      <c r="T329" s="64"/>
      <c r="U329" s="64"/>
      <c r="V329" s="64"/>
      <c r="W329" s="64"/>
      <c r="X329" s="65"/>
      <c r="Z329" s="63"/>
      <c r="AA329" s="64"/>
      <c r="AB329" s="64"/>
      <c r="AC329" s="64"/>
      <c r="AD329" s="64"/>
      <c r="AE329" s="64"/>
      <c r="AF329" s="65"/>
      <c r="AH329" s="63"/>
      <c r="AI329" s="64"/>
      <c r="AJ329" s="64"/>
      <c r="AK329" s="64"/>
      <c r="AL329" s="64"/>
      <c r="AM329" s="65"/>
    </row>
    <row r="330" customFormat="false" ht="6" hidden="false" customHeight="true" outlineLevel="0" collapsed="false">
      <c r="B330" s="67"/>
      <c r="C330" s="68"/>
      <c r="D330" s="68"/>
      <c r="E330" s="68"/>
      <c r="F330" s="68"/>
      <c r="G330" s="68"/>
      <c r="H330" s="69"/>
      <c r="J330" s="67"/>
      <c r="K330" s="68"/>
      <c r="L330" s="68"/>
      <c r="M330" s="68"/>
      <c r="N330" s="68"/>
      <c r="O330" s="68"/>
      <c r="P330" s="69"/>
      <c r="R330" s="67"/>
      <c r="S330" s="68"/>
      <c r="T330" s="68"/>
      <c r="U330" s="68"/>
      <c r="V330" s="68"/>
      <c r="W330" s="68"/>
      <c r="X330" s="69"/>
      <c r="Z330" s="67"/>
      <c r="AA330" s="68"/>
      <c r="AB330" s="68"/>
      <c r="AC330" s="68"/>
      <c r="AD330" s="68"/>
      <c r="AE330" s="68"/>
      <c r="AF330" s="69"/>
      <c r="AH330" s="67"/>
      <c r="AI330" s="68"/>
      <c r="AJ330" s="68"/>
      <c r="AK330" s="68"/>
      <c r="AL330" s="68"/>
      <c r="AM330" s="69"/>
    </row>
    <row r="331" customFormat="false" ht="9.75" hidden="false" customHeight="true" outlineLevel="0" collapsed="false"/>
    <row r="332" customFormat="false" ht="21.75" hidden="false" customHeight="true" outlineLevel="0" collapsed="false">
      <c r="B332" s="6"/>
      <c r="C332" s="19" t="s">
        <v>105</v>
      </c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59" t="s">
        <v>106</v>
      </c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  <c r="AF332" s="59"/>
      <c r="AG332" s="59"/>
      <c r="AH332" s="59"/>
      <c r="AI332" s="59"/>
      <c r="AJ332" s="59"/>
      <c r="AK332" s="59"/>
      <c r="AL332" s="59"/>
      <c r="AM332" s="59"/>
    </row>
    <row r="333" customFormat="false" ht="24" hidden="false" customHeight="true" outlineLevel="0" collapsed="false"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  <c r="AA333" s="72"/>
      <c r="AB333" s="72"/>
      <c r="AC333" s="72"/>
      <c r="AD333" s="72"/>
      <c r="AE333" s="72"/>
      <c r="AF333" s="72"/>
      <c r="AG333" s="72"/>
      <c r="AH333" s="72"/>
      <c r="AI333" s="72"/>
      <c r="AJ333" s="72"/>
      <c r="AK333" s="72"/>
      <c r="AL333" s="72"/>
      <c r="AM333" s="72"/>
    </row>
    <row r="334" customFormat="false" ht="24" hidden="false" customHeight="true" outlineLevel="0" collapsed="false"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  <c r="AA334" s="72"/>
      <c r="AB334" s="72"/>
      <c r="AC334" s="72"/>
      <c r="AD334" s="72"/>
      <c r="AE334" s="72"/>
      <c r="AF334" s="72"/>
      <c r="AG334" s="72"/>
      <c r="AH334" s="72"/>
      <c r="AI334" s="72"/>
      <c r="AJ334" s="72"/>
      <c r="AK334" s="72"/>
      <c r="AL334" s="72"/>
      <c r="AM334" s="72"/>
    </row>
    <row r="335" customFormat="false" ht="24" hidden="false" customHeight="true" outlineLevel="0" collapsed="false"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  <c r="AA335" s="72"/>
      <c r="AB335" s="72"/>
      <c r="AC335" s="72"/>
      <c r="AD335" s="72"/>
      <c r="AE335" s="72"/>
      <c r="AF335" s="72"/>
      <c r="AG335" s="72"/>
      <c r="AH335" s="72"/>
      <c r="AI335" s="72"/>
      <c r="AJ335" s="72"/>
      <c r="AK335" s="72"/>
      <c r="AL335" s="72"/>
      <c r="AM335" s="72"/>
    </row>
    <row r="336" customFormat="false" ht="295.5" hidden="false" customHeight="true" outlineLevel="0" collapsed="false"/>
    <row r="337" customFormat="false" ht="6" hidden="false" customHeight="true" outlineLevel="0" collapsed="false"/>
    <row r="338" customFormat="false" ht="19.5" hidden="false" customHeight="true" outlineLevel="0" collapsed="false">
      <c r="B338" s="73" t="s">
        <v>107</v>
      </c>
      <c r="C338" s="73"/>
      <c r="D338" s="73"/>
      <c r="E338" s="73"/>
      <c r="F338" s="73"/>
      <c r="G338" s="73"/>
      <c r="H338" s="73"/>
      <c r="I338" s="73"/>
      <c r="J338" s="73"/>
      <c r="K338" s="73"/>
      <c r="L338" s="74" t="s">
        <v>108</v>
      </c>
      <c r="M338" s="74"/>
      <c r="N338" s="74"/>
      <c r="O338" s="74"/>
      <c r="P338" s="74"/>
      <c r="Q338" s="74"/>
      <c r="R338" s="74"/>
      <c r="S338" s="74"/>
      <c r="U338" s="73" t="s">
        <v>109</v>
      </c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4" t="s">
        <v>108</v>
      </c>
      <c r="AG338" s="74"/>
      <c r="AH338" s="74"/>
      <c r="AI338" s="74"/>
      <c r="AJ338" s="74"/>
      <c r="AK338" s="74"/>
      <c r="AL338" s="74"/>
      <c r="AM338" s="74"/>
    </row>
    <row r="339" customFormat="false" ht="9.75" hidden="false" customHeight="true" outlineLevel="0" collapsed="false"/>
    <row r="340" customFormat="false" ht="18" hidden="false" customHeight="true" outlineLevel="0" collapsed="false">
      <c r="B340" s="75" t="s">
        <v>110</v>
      </c>
      <c r="C340" s="75"/>
      <c r="D340" s="75"/>
      <c r="E340" s="75"/>
      <c r="F340" s="75"/>
      <c r="G340" s="75"/>
      <c r="H340" s="75"/>
      <c r="I340" s="75"/>
      <c r="J340" s="75"/>
      <c r="K340" s="75"/>
      <c r="L340" s="75"/>
      <c r="M340" s="75"/>
      <c r="N340" s="75"/>
      <c r="O340" s="75"/>
      <c r="P340" s="75"/>
      <c r="Q340" s="75"/>
      <c r="R340" s="75"/>
      <c r="S340" s="75"/>
      <c r="T340" s="76" t="s">
        <v>111</v>
      </c>
      <c r="U340" s="76"/>
      <c r="V340" s="76"/>
      <c r="W340" s="76"/>
      <c r="X340" s="76"/>
      <c r="Y340" s="76"/>
      <c r="Z340" s="76"/>
      <c r="AA340" s="76"/>
      <c r="AB340" s="76"/>
      <c r="AC340" s="76"/>
      <c r="AD340" s="76"/>
      <c r="AE340" s="76"/>
      <c r="AF340" s="76"/>
      <c r="AG340" s="76"/>
      <c r="AH340" s="76"/>
      <c r="AI340" s="76"/>
      <c r="AJ340" s="76"/>
      <c r="AK340" s="76"/>
      <c r="AL340" s="76"/>
      <c r="AM340" s="76"/>
    </row>
    <row r="341" customFormat="false" ht="7.5" hidden="false" customHeight="true" outlineLevel="0" collapsed="false"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</row>
    <row r="342" customFormat="false" ht="19.5" hidden="false" customHeight="true" outlineLevel="0" collapsed="false">
      <c r="B342" s="1"/>
      <c r="C342" s="51" t="s">
        <v>78</v>
      </c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  <c r="AA342" s="51"/>
      <c r="AB342" s="1"/>
      <c r="AC342" s="1"/>
      <c r="AD342" s="1"/>
      <c r="AE342" s="52" t="s">
        <v>79</v>
      </c>
      <c r="AF342" s="52"/>
      <c r="AG342" s="52"/>
      <c r="AH342" s="52"/>
      <c r="AI342" s="52"/>
      <c r="AJ342" s="52"/>
      <c r="AK342" s="52"/>
      <c r="AL342" s="1"/>
      <c r="AM342" s="1"/>
    </row>
    <row r="343" customFormat="false" ht="30" hidden="false" customHeight="true" outlineLevel="0" collapsed="false">
      <c r="B343" s="1"/>
      <c r="C343" s="53" t="s">
        <v>80</v>
      </c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4" t="s">
        <v>81</v>
      </c>
      <c r="AC343" s="54"/>
      <c r="AD343" s="54"/>
      <c r="AE343" s="54"/>
      <c r="AF343" s="54"/>
      <c r="AG343" s="54"/>
      <c r="AH343" s="54"/>
      <c r="AI343" s="54"/>
      <c r="AJ343" s="54"/>
      <c r="AK343" s="54"/>
      <c r="AL343" s="1"/>
      <c r="AM343" s="1"/>
    </row>
    <row r="344" customFormat="false" ht="15.75" hidden="false" customHeight="true" outlineLevel="0" collapsed="false">
      <c r="B344" s="1"/>
      <c r="C344" s="55" t="s">
        <v>82</v>
      </c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</row>
    <row r="345" customFormat="false" ht="9.75" hidden="false" customHeight="true" outlineLevel="0" collapsed="false"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</row>
    <row r="346" customFormat="false" ht="3.75" hidden="false" customHeight="true" outlineLevel="0" collapsed="false"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</row>
    <row r="347" customFormat="false" ht="7.5" hidden="false" customHeight="true" outlineLevel="0" collapsed="false"/>
    <row r="348" customFormat="false" ht="13.5" hidden="false" customHeight="true" outlineLevel="0" collapsed="false">
      <c r="B348" s="56" t="s">
        <v>83</v>
      </c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P348" s="56" t="s">
        <v>84</v>
      </c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C348" s="56" t="s">
        <v>85</v>
      </c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</row>
    <row r="349" customFormat="false" ht="21.75" hidden="false" customHeight="true" outlineLevel="0" collapsed="false">
      <c r="B349" s="57" t="str">
        <f aca="false">Dashboard!$C$6</f>
        <v>Bindhya TB</v>
      </c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P349" s="57" t="str">
        <f aca="false">Dashboard!$C$7</f>
        <v>Tourism &amp; Business</v>
      </c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C349" s="58" t="n">
        <f aca="false">Cal!A12</f>
        <v>46306</v>
      </c>
      <c r="AD349" s="58"/>
      <c r="AE349" s="58"/>
      <c r="AF349" s="58"/>
      <c r="AG349" s="58"/>
      <c r="AH349" s="58"/>
      <c r="AI349" s="58"/>
      <c r="AJ349" s="58"/>
      <c r="AK349" s="58"/>
      <c r="AL349" s="58"/>
      <c r="AM349" s="58"/>
    </row>
    <row r="350" customFormat="false" ht="9.75" hidden="false" customHeight="true" outlineLevel="0" collapsed="false"/>
    <row r="351" customFormat="false" ht="21.75" hidden="false" customHeight="true" outlineLevel="0" collapsed="false">
      <c r="B351" s="6"/>
      <c r="C351" s="19" t="s">
        <v>86</v>
      </c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59" t="s">
        <v>87</v>
      </c>
      <c r="Q351" s="59"/>
      <c r="R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  <c r="AF351" s="59"/>
      <c r="AG351" s="59"/>
      <c r="AH351" s="59"/>
      <c r="AI351" s="59"/>
      <c r="AJ351" s="59"/>
      <c r="AK351" s="59"/>
      <c r="AL351" s="59"/>
      <c r="AM351" s="59"/>
    </row>
    <row r="352" customFormat="false" ht="19.5" hidden="false" customHeight="true" outlineLevel="0" collapsed="false">
      <c r="B352" s="60"/>
      <c r="C352" s="61" t="n">
        <v>1</v>
      </c>
      <c r="D352" s="62" t="s">
        <v>88</v>
      </c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V352" s="60"/>
      <c r="W352" s="61" t="n">
        <v>2</v>
      </c>
      <c r="X352" s="62" t="s">
        <v>89</v>
      </c>
      <c r="Y352" s="62"/>
      <c r="Z352" s="62"/>
      <c r="AA352" s="62"/>
      <c r="AB352" s="62"/>
      <c r="AC352" s="62"/>
      <c r="AD352" s="62"/>
      <c r="AE352" s="62"/>
      <c r="AF352" s="62"/>
      <c r="AG352" s="62"/>
      <c r="AH352" s="62"/>
      <c r="AI352" s="62"/>
      <c r="AJ352" s="62"/>
      <c r="AK352" s="62"/>
      <c r="AL352" s="62"/>
      <c r="AM352" s="62"/>
    </row>
    <row r="353" customFormat="false" ht="49.5" hidden="false" customHeight="true" outlineLevel="0" collapsed="false">
      <c r="B353" s="63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5"/>
      <c r="V353" s="63"/>
      <c r="W353" s="77"/>
      <c r="X353" s="77"/>
      <c r="Y353" s="77"/>
      <c r="Z353" s="77"/>
      <c r="AA353" s="77"/>
      <c r="AB353" s="77"/>
      <c r="AC353" s="77"/>
      <c r="AD353" s="77"/>
      <c r="AE353" s="77"/>
      <c r="AF353" s="77"/>
      <c r="AG353" s="77"/>
      <c r="AH353" s="77"/>
      <c r="AI353" s="77"/>
      <c r="AJ353" s="77"/>
      <c r="AK353" s="77"/>
      <c r="AL353" s="77"/>
      <c r="AM353" s="65"/>
    </row>
    <row r="354" customFormat="false" ht="6" hidden="false" customHeight="true" outlineLevel="0" collapsed="false">
      <c r="B354" s="67"/>
      <c r="C354" s="68"/>
      <c r="D354" s="68"/>
      <c r="E354" s="68"/>
      <c r="F354" s="68"/>
      <c r="G354" s="68"/>
      <c r="H354" s="68"/>
      <c r="I354" s="68"/>
      <c r="J354" s="68"/>
      <c r="K354" s="68"/>
      <c r="L354" s="68"/>
      <c r="M354" s="68"/>
      <c r="N354" s="68"/>
      <c r="O354" s="68"/>
      <c r="P354" s="68"/>
      <c r="Q354" s="68"/>
      <c r="R354" s="68"/>
      <c r="S354" s="68"/>
      <c r="T354" s="69"/>
      <c r="V354" s="67"/>
      <c r="W354" s="68"/>
      <c r="X354" s="68"/>
      <c r="Y354" s="68"/>
      <c r="Z354" s="68"/>
      <c r="AA354" s="68"/>
      <c r="AB354" s="68"/>
      <c r="AC354" s="68"/>
      <c r="AD354" s="68"/>
      <c r="AE354" s="68"/>
      <c r="AF354" s="68"/>
      <c r="AG354" s="68"/>
      <c r="AH354" s="68"/>
      <c r="AI354" s="68"/>
      <c r="AJ354" s="68"/>
      <c r="AK354" s="68"/>
      <c r="AL354" s="68"/>
      <c r="AM354" s="69"/>
    </row>
    <row r="355" customFormat="false" ht="9.75" hidden="false" customHeight="true" outlineLevel="0" collapsed="false"/>
    <row r="356" customFormat="false" ht="21.75" hidden="false" customHeight="true" outlineLevel="0" collapsed="false">
      <c r="B356" s="6"/>
      <c r="C356" s="19" t="s">
        <v>91</v>
      </c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59" t="s">
        <v>92</v>
      </c>
      <c r="W356" s="59"/>
      <c r="X356" s="59"/>
      <c r="Y356" s="59"/>
      <c r="Z356" s="59"/>
      <c r="AA356" s="59"/>
      <c r="AB356" s="59"/>
      <c r="AC356" s="59"/>
      <c r="AD356" s="59"/>
      <c r="AE356" s="59"/>
      <c r="AF356" s="59"/>
      <c r="AG356" s="59"/>
      <c r="AH356" s="59"/>
      <c r="AI356" s="59"/>
      <c r="AJ356" s="59"/>
      <c r="AK356" s="59"/>
      <c r="AL356" s="59"/>
      <c r="AM356" s="59"/>
    </row>
    <row r="357" customFormat="false" ht="27.75" hidden="false" customHeight="true" outlineLevel="0" collapsed="false">
      <c r="B357" s="60"/>
      <c r="C357" s="61" t="n">
        <v>3</v>
      </c>
      <c r="D357" s="62" t="s">
        <v>93</v>
      </c>
      <c r="E357" s="62"/>
      <c r="F357" s="62"/>
      <c r="G357" s="62"/>
      <c r="H357" s="62"/>
      <c r="I357" s="62"/>
      <c r="J357" s="62"/>
      <c r="L357" s="60"/>
      <c r="M357" s="61" t="n">
        <v>4</v>
      </c>
      <c r="N357" s="62" t="s">
        <v>94</v>
      </c>
      <c r="O357" s="62"/>
      <c r="P357" s="62"/>
      <c r="Q357" s="62"/>
      <c r="R357" s="62"/>
      <c r="S357" s="62"/>
      <c r="T357" s="62"/>
      <c r="V357" s="60"/>
      <c r="W357" s="61" t="n">
        <v>5</v>
      </c>
      <c r="X357" s="62" t="s">
        <v>95</v>
      </c>
      <c r="Y357" s="62"/>
      <c r="Z357" s="62"/>
      <c r="AA357" s="62"/>
      <c r="AB357" s="62"/>
      <c r="AC357" s="62"/>
      <c r="AD357" s="62"/>
      <c r="AF357" s="60"/>
      <c r="AG357" s="61" t="n">
        <v>6</v>
      </c>
      <c r="AH357" s="62" t="s">
        <v>96</v>
      </c>
      <c r="AI357" s="62"/>
      <c r="AJ357" s="62"/>
      <c r="AK357" s="62"/>
      <c r="AL357" s="62"/>
      <c r="AM357" s="62"/>
    </row>
    <row r="358" customFormat="false" ht="25.5" hidden="false" customHeight="true" outlineLevel="0" collapsed="false">
      <c r="B358" s="63"/>
      <c r="C358" s="64"/>
      <c r="D358" s="64"/>
      <c r="E358" s="64"/>
      <c r="F358" s="64"/>
      <c r="G358" s="64"/>
      <c r="H358" s="64"/>
      <c r="I358" s="64"/>
      <c r="J358" s="65"/>
      <c r="L358" s="63"/>
      <c r="M358" s="64"/>
      <c r="N358" s="64"/>
      <c r="O358" s="64"/>
      <c r="P358" s="64"/>
      <c r="Q358" s="64"/>
      <c r="R358" s="64"/>
      <c r="S358" s="64"/>
      <c r="T358" s="65"/>
      <c r="V358" s="63"/>
      <c r="W358" s="70"/>
      <c r="X358" s="70"/>
      <c r="Y358" s="70"/>
      <c r="Z358" s="70"/>
      <c r="AA358" s="70"/>
      <c r="AB358" s="70"/>
      <c r="AC358" s="70"/>
      <c r="AD358" s="65"/>
      <c r="AF358" s="63"/>
      <c r="AG358" s="64"/>
      <c r="AH358" s="64"/>
      <c r="AI358" s="64"/>
      <c r="AJ358" s="64"/>
      <c r="AK358" s="64"/>
      <c r="AL358" s="64"/>
      <c r="AM358" s="65"/>
    </row>
    <row r="359" customFormat="false" ht="6" hidden="false" customHeight="true" outlineLevel="0" collapsed="false">
      <c r="B359" s="67"/>
      <c r="C359" s="68"/>
      <c r="D359" s="68"/>
      <c r="E359" s="68"/>
      <c r="F359" s="68"/>
      <c r="G359" s="68"/>
      <c r="H359" s="68"/>
      <c r="I359" s="68"/>
      <c r="J359" s="69"/>
      <c r="L359" s="67"/>
      <c r="M359" s="68"/>
      <c r="N359" s="68"/>
      <c r="O359" s="68"/>
      <c r="P359" s="68"/>
      <c r="Q359" s="68"/>
      <c r="R359" s="68"/>
      <c r="S359" s="68"/>
      <c r="T359" s="69"/>
      <c r="V359" s="67"/>
      <c r="W359" s="68"/>
      <c r="X359" s="68"/>
      <c r="Y359" s="68"/>
      <c r="Z359" s="68"/>
      <c r="AA359" s="68"/>
      <c r="AB359" s="68"/>
      <c r="AC359" s="68"/>
      <c r="AD359" s="69"/>
      <c r="AF359" s="67"/>
      <c r="AG359" s="68"/>
      <c r="AH359" s="68"/>
      <c r="AI359" s="68"/>
      <c r="AJ359" s="68"/>
      <c r="AK359" s="68"/>
      <c r="AL359" s="68"/>
      <c r="AM359" s="69"/>
    </row>
    <row r="360" customFormat="false" ht="9.75" hidden="false" customHeight="true" outlineLevel="0" collapsed="false"/>
    <row r="361" customFormat="false" ht="21.75" hidden="false" customHeight="true" outlineLevel="0" collapsed="false">
      <c r="B361" s="6"/>
      <c r="C361" s="19" t="s">
        <v>98</v>
      </c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59" t="s">
        <v>99</v>
      </c>
      <c r="W361" s="59"/>
      <c r="X361" s="59"/>
      <c r="Y361" s="59"/>
      <c r="Z361" s="59"/>
      <c r="AA361" s="59"/>
      <c r="AB361" s="59"/>
      <c r="AC361" s="59"/>
      <c r="AD361" s="59"/>
      <c r="AE361" s="59"/>
      <c r="AF361" s="59"/>
      <c r="AG361" s="59"/>
      <c r="AH361" s="59"/>
      <c r="AI361" s="59"/>
      <c r="AJ361" s="59"/>
      <c r="AK361" s="59"/>
      <c r="AL361" s="59"/>
      <c r="AM361" s="59"/>
    </row>
    <row r="362" customFormat="false" ht="27.75" hidden="false" customHeight="true" outlineLevel="0" collapsed="false">
      <c r="B362" s="60"/>
      <c r="C362" s="61" t="n">
        <v>7</v>
      </c>
      <c r="D362" s="62" t="s">
        <v>100</v>
      </c>
      <c r="E362" s="62"/>
      <c r="F362" s="62"/>
      <c r="G362" s="62"/>
      <c r="H362" s="62"/>
      <c r="J362" s="60"/>
      <c r="K362" s="61" t="n">
        <v>8</v>
      </c>
      <c r="L362" s="62" t="s">
        <v>101</v>
      </c>
      <c r="M362" s="62"/>
      <c r="N362" s="62"/>
      <c r="O362" s="62"/>
      <c r="P362" s="62"/>
      <c r="R362" s="60"/>
      <c r="S362" s="61" t="n">
        <v>9</v>
      </c>
      <c r="T362" s="62" t="s">
        <v>102</v>
      </c>
      <c r="U362" s="62"/>
      <c r="V362" s="62"/>
      <c r="W362" s="62"/>
      <c r="X362" s="62"/>
      <c r="Z362" s="60"/>
      <c r="AA362" s="61" t="n">
        <v>10</v>
      </c>
      <c r="AB362" s="62" t="s">
        <v>103</v>
      </c>
      <c r="AC362" s="62"/>
      <c r="AD362" s="62"/>
      <c r="AE362" s="62"/>
      <c r="AF362" s="62"/>
      <c r="AH362" s="60"/>
      <c r="AI362" s="61" t="n">
        <v>11</v>
      </c>
      <c r="AJ362" s="62" t="s">
        <v>104</v>
      </c>
      <c r="AK362" s="62"/>
      <c r="AL362" s="62"/>
      <c r="AM362" s="62"/>
    </row>
    <row r="363" customFormat="false" ht="25.5" hidden="false" customHeight="true" outlineLevel="0" collapsed="false">
      <c r="B363" s="63"/>
      <c r="C363" s="64"/>
      <c r="D363" s="64"/>
      <c r="E363" s="64"/>
      <c r="F363" s="64"/>
      <c r="G363" s="64"/>
      <c r="H363" s="65"/>
      <c r="J363" s="63"/>
      <c r="K363" s="64"/>
      <c r="L363" s="64"/>
      <c r="M363" s="64"/>
      <c r="N363" s="64"/>
      <c r="O363" s="64"/>
      <c r="P363" s="65"/>
      <c r="R363" s="63"/>
      <c r="S363" s="64"/>
      <c r="T363" s="64"/>
      <c r="U363" s="64"/>
      <c r="V363" s="64"/>
      <c r="W363" s="64"/>
      <c r="X363" s="65"/>
      <c r="Z363" s="63"/>
      <c r="AA363" s="64"/>
      <c r="AB363" s="64"/>
      <c r="AC363" s="64"/>
      <c r="AD363" s="64"/>
      <c r="AE363" s="64"/>
      <c r="AF363" s="65"/>
      <c r="AH363" s="63"/>
      <c r="AI363" s="64"/>
      <c r="AJ363" s="64"/>
      <c r="AK363" s="64"/>
      <c r="AL363" s="64"/>
      <c r="AM363" s="65"/>
    </row>
    <row r="364" customFormat="false" ht="6" hidden="false" customHeight="true" outlineLevel="0" collapsed="false">
      <c r="B364" s="67"/>
      <c r="C364" s="68"/>
      <c r="D364" s="68"/>
      <c r="E364" s="68"/>
      <c r="F364" s="68"/>
      <c r="G364" s="68"/>
      <c r="H364" s="69"/>
      <c r="J364" s="67"/>
      <c r="K364" s="68"/>
      <c r="L364" s="68"/>
      <c r="M364" s="68"/>
      <c r="N364" s="68"/>
      <c r="O364" s="68"/>
      <c r="P364" s="69"/>
      <c r="R364" s="67"/>
      <c r="S364" s="68"/>
      <c r="T364" s="68"/>
      <c r="U364" s="68"/>
      <c r="V364" s="68"/>
      <c r="W364" s="68"/>
      <c r="X364" s="69"/>
      <c r="Z364" s="67"/>
      <c r="AA364" s="68"/>
      <c r="AB364" s="68"/>
      <c r="AC364" s="68"/>
      <c r="AD364" s="68"/>
      <c r="AE364" s="68"/>
      <c r="AF364" s="69"/>
      <c r="AH364" s="67"/>
      <c r="AI364" s="68"/>
      <c r="AJ364" s="68"/>
      <c r="AK364" s="68"/>
      <c r="AL364" s="68"/>
      <c r="AM364" s="69"/>
    </row>
    <row r="365" customFormat="false" ht="9.75" hidden="false" customHeight="true" outlineLevel="0" collapsed="false"/>
    <row r="366" customFormat="false" ht="21.75" hidden="false" customHeight="true" outlineLevel="0" collapsed="false">
      <c r="B366" s="6"/>
      <c r="C366" s="19" t="s">
        <v>105</v>
      </c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59" t="s">
        <v>106</v>
      </c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  <c r="AF366" s="59"/>
      <c r="AG366" s="59"/>
      <c r="AH366" s="59"/>
      <c r="AI366" s="59"/>
      <c r="AJ366" s="59"/>
      <c r="AK366" s="59"/>
      <c r="AL366" s="59"/>
      <c r="AM366" s="59"/>
    </row>
    <row r="367" customFormat="false" ht="24" hidden="false" customHeight="true" outlineLevel="0" collapsed="false"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  <c r="AA367" s="72"/>
      <c r="AB367" s="72"/>
      <c r="AC367" s="72"/>
      <c r="AD367" s="72"/>
      <c r="AE367" s="72"/>
      <c r="AF367" s="72"/>
      <c r="AG367" s="72"/>
      <c r="AH367" s="72"/>
      <c r="AI367" s="72"/>
      <c r="AJ367" s="72"/>
      <c r="AK367" s="72"/>
      <c r="AL367" s="72"/>
      <c r="AM367" s="72"/>
    </row>
    <row r="368" customFormat="false" ht="24" hidden="false" customHeight="true" outlineLevel="0" collapsed="false"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  <c r="AA368" s="72"/>
      <c r="AB368" s="72"/>
      <c r="AC368" s="72"/>
      <c r="AD368" s="72"/>
      <c r="AE368" s="72"/>
      <c r="AF368" s="72"/>
      <c r="AG368" s="72"/>
      <c r="AH368" s="72"/>
      <c r="AI368" s="72"/>
      <c r="AJ368" s="72"/>
      <c r="AK368" s="72"/>
      <c r="AL368" s="72"/>
      <c r="AM368" s="72"/>
    </row>
    <row r="369" customFormat="false" ht="24" hidden="false" customHeight="true" outlineLevel="0" collapsed="false"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  <c r="AA369" s="72"/>
      <c r="AB369" s="72"/>
      <c r="AC369" s="72"/>
      <c r="AD369" s="72"/>
      <c r="AE369" s="72"/>
      <c r="AF369" s="72"/>
      <c r="AG369" s="72"/>
      <c r="AH369" s="72"/>
      <c r="AI369" s="72"/>
      <c r="AJ369" s="72"/>
      <c r="AK369" s="72"/>
      <c r="AL369" s="72"/>
      <c r="AM369" s="72"/>
    </row>
    <row r="370" customFormat="false" ht="295.5" hidden="false" customHeight="true" outlineLevel="0" collapsed="false"/>
    <row r="371" customFormat="false" ht="6" hidden="false" customHeight="true" outlineLevel="0" collapsed="false"/>
    <row r="372" customFormat="false" ht="19.5" hidden="false" customHeight="true" outlineLevel="0" collapsed="false">
      <c r="B372" s="73" t="s">
        <v>107</v>
      </c>
      <c r="C372" s="73"/>
      <c r="D372" s="73"/>
      <c r="E372" s="73"/>
      <c r="F372" s="73"/>
      <c r="G372" s="73"/>
      <c r="H372" s="73"/>
      <c r="I372" s="73"/>
      <c r="J372" s="73"/>
      <c r="K372" s="73"/>
      <c r="L372" s="74" t="s">
        <v>108</v>
      </c>
      <c r="M372" s="74"/>
      <c r="N372" s="74"/>
      <c r="O372" s="74"/>
      <c r="P372" s="74"/>
      <c r="Q372" s="74"/>
      <c r="R372" s="74"/>
      <c r="S372" s="74"/>
      <c r="U372" s="73" t="s">
        <v>109</v>
      </c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4" t="s">
        <v>108</v>
      </c>
      <c r="AG372" s="74"/>
      <c r="AH372" s="74"/>
      <c r="AI372" s="74"/>
      <c r="AJ372" s="74"/>
      <c r="AK372" s="74"/>
      <c r="AL372" s="74"/>
      <c r="AM372" s="74"/>
    </row>
    <row r="373" customFormat="false" ht="9.75" hidden="false" customHeight="true" outlineLevel="0" collapsed="false"/>
    <row r="374" customFormat="false" ht="18" hidden="false" customHeight="true" outlineLevel="0" collapsed="false">
      <c r="B374" s="75" t="s">
        <v>110</v>
      </c>
      <c r="C374" s="75"/>
      <c r="D374" s="75"/>
      <c r="E374" s="75"/>
      <c r="F374" s="75"/>
      <c r="G374" s="75"/>
      <c r="H374" s="75"/>
      <c r="I374" s="75"/>
      <c r="J374" s="75"/>
      <c r="K374" s="75"/>
      <c r="L374" s="75"/>
      <c r="M374" s="75"/>
      <c r="N374" s="75"/>
      <c r="O374" s="75"/>
      <c r="P374" s="75"/>
      <c r="Q374" s="75"/>
      <c r="R374" s="75"/>
      <c r="S374" s="75"/>
      <c r="T374" s="76" t="s">
        <v>111</v>
      </c>
      <c r="U374" s="76"/>
      <c r="V374" s="76"/>
      <c r="W374" s="76"/>
      <c r="X374" s="76"/>
      <c r="Y374" s="76"/>
      <c r="Z374" s="76"/>
      <c r="AA374" s="76"/>
      <c r="AB374" s="76"/>
      <c r="AC374" s="76"/>
      <c r="AD374" s="76"/>
      <c r="AE374" s="76"/>
      <c r="AF374" s="76"/>
      <c r="AG374" s="76"/>
      <c r="AH374" s="76"/>
      <c r="AI374" s="76"/>
      <c r="AJ374" s="76"/>
      <c r="AK374" s="76"/>
      <c r="AL374" s="76"/>
      <c r="AM374" s="76"/>
    </row>
    <row r="375" customFormat="false" ht="7.5" hidden="false" customHeight="true" outlineLevel="0" collapsed="false"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</row>
    <row r="376" customFormat="false" ht="19.5" hidden="false" customHeight="true" outlineLevel="0" collapsed="false">
      <c r="B376" s="1"/>
      <c r="C376" s="51" t="s">
        <v>78</v>
      </c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  <c r="AA376" s="51"/>
      <c r="AB376" s="1"/>
      <c r="AC376" s="1"/>
      <c r="AD376" s="1"/>
      <c r="AE376" s="52" t="s">
        <v>79</v>
      </c>
      <c r="AF376" s="52"/>
      <c r="AG376" s="52"/>
      <c r="AH376" s="52"/>
      <c r="AI376" s="52"/>
      <c r="AJ376" s="52"/>
      <c r="AK376" s="52"/>
      <c r="AL376" s="1"/>
      <c r="AM376" s="1"/>
    </row>
    <row r="377" customFormat="false" ht="30" hidden="false" customHeight="true" outlineLevel="0" collapsed="false">
      <c r="B377" s="1"/>
      <c r="C377" s="53" t="s">
        <v>80</v>
      </c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4" t="s">
        <v>81</v>
      </c>
      <c r="AC377" s="54"/>
      <c r="AD377" s="54"/>
      <c r="AE377" s="54"/>
      <c r="AF377" s="54"/>
      <c r="AG377" s="54"/>
      <c r="AH377" s="54"/>
      <c r="AI377" s="54"/>
      <c r="AJ377" s="54"/>
      <c r="AK377" s="54"/>
      <c r="AL377" s="1"/>
      <c r="AM377" s="1"/>
    </row>
    <row r="378" customFormat="false" ht="15.75" hidden="false" customHeight="true" outlineLevel="0" collapsed="false">
      <c r="B378" s="1"/>
      <c r="C378" s="55" t="s">
        <v>82</v>
      </c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</row>
    <row r="379" customFormat="false" ht="9.75" hidden="false" customHeight="true" outlineLevel="0" collapsed="false"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</row>
    <row r="380" customFormat="false" ht="3.75" hidden="false" customHeight="true" outlineLevel="0" collapsed="false"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</row>
    <row r="381" customFormat="false" ht="7.5" hidden="false" customHeight="true" outlineLevel="0" collapsed="false"/>
    <row r="382" customFormat="false" ht="13.5" hidden="false" customHeight="true" outlineLevel="0" collapsed="false">
      <c r="B382" s="56" t="s">
        <v>83</v>
      </c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P382" s="56" t="s">
        <v>84</v>
      </c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C382" s="56" t="s">
        <v>85</v>
      </c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</row>
    <row r="383" customFormat="false" ht="21.75" hidden="false" customHeight="true" outlineLevel="0" collapsed="false">
      <c r="B383" s="57" t="str">
        <f aca="false">Dashboard!$C$6</f>
        <v>Bindhya TB</v>
      </c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P383" s="57" t="str">
        <f aca="false">Dashboard!$C$7</f>
        <v>Tourism &amp; Business</v>
      </c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C383" s="58" t="n">
        <f aca="false">Cal!A13</f>
        <v>46307</v>
      </c>
      <c r="AD383" s="58"/>
      <c r="AE383" s="58"/>
      <c r="AF383" s="58"/>
      <c r="AG383" s="58"/>
      <c r="AH383" s="58"/>
      <c r="AI383" s="58"/>
      <c r="AJ383" s="58"/>
      <c r="AK383" s="58"/>
      <c r="AL383" s="58"/>
      <c r="AM383" s="58"/>
    </row>
    <row r="384" customFormat="false" ht="9.75" hidden="false" customHeight="true" outlineLevel="0" collapsed="false"/>
    <row r="385" customFormat="false" ht="21.75" hidden="false" customHeight="true" outlineLevel="0" collapsed="false">
      <c r="B385" s="6"/>
      <c r="C385" s="19" t="s">
        <v>86</v>
      </c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59" t="s">
        <v>87</v>
      </c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  <c r="AF385" s="59"/>
      <c r="AG385" s="59"/>
      <c r="AH385" s="59"/>
      <c r="AI385" s="59"/>
      <c r="AJ385" s="59"/>
      <c r="AK385" s="59"/>
      <c r="AL385" s="59"/>
      <c r="AM385" s="59"/>
    </row>
    <row r="386" customFormat="false" ht="19.5" hidden="false" customHeight="true" outlineLevel="0" collapsed="false">
      <c r="B386" s="60"/>
      <c r="C386" s="61" t="n">
        <v>1</v>
      </c>
      <c r="D386" s="62" t="s">
        <v>88</v>
      </c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V386" s="60"/>
      <c r="W386" s="61" t="n">
        <v>2</v>
      </c>
      <c r="X386" s="62" t="s">
        <v>89</v>
      </c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</row>
    <row r="387" customFormat="false" ht="49.5" hidden="false" customHeight="true" outlineLevel="0" collapsed="false">
      <c r="B387" s="63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5"/>
      <c r="V387" s="63"/>
      <c r="W387" s="77"/>
      <c r="X387" s="77"/>
      <c r="Y387" s="77"/>
      <c r="Z387" s="77"/>
      <c r="AA387" s="77"/>
      <c r="AB387" s="77"/>
      <c r="AC387" s="77"/>
      <c r="AD387" s="77"/>
      <c r="AE387" s="77"/>
      <c r="AF387" s="77"/>
      <c r="AG387" s="77"/>
      <c r="AH387" s="77"/>
      <c r="AI387" s="77"/>
      <c r="AJ387" s="77"/>
      <c r="AK387" s="77"/>
      <c r="AL387" s="77"/>
      <c r="AM387" s="65"/>
    </row>
    <row r="388" customFormat="false" ht="6" hidden="false" customHeight="true" outlineLevel="0" collapsed="false">
      <c r="B388" s="67"/>
      <c r="C388" s="68"/>
      <c r="D388" s="68"/>
      <c r="E388" s="68"/>
      <c r="F388" s="68"/>
      <c r="G388" s="68"/>
      <c r="H388" s="68"/>
      <c r="I388" s="68"/>
      <c r="J388" s="68"/>
      <c r="K388" s="68"/>
      <c r="L388" s="68"/>
      <c r="M388" s="68"/>
      <c r="N388" s="68"/>
      <c r="O388" s="68"/>
      <c r="P388" s="68"/>
      <c r="Q388" s="68"/>
      <c r="R388" s="68"/>
      <c r="S388" s="68"/>
      <c r="T388" s="69"/>
      <c r="V388" s="67"/>
      <c r="W388" s="68"/>
      <c r="X388" s="68"/>
      <c r="Y388" s="68"/>
      <c r="Z388" s="68"/>
      <c r="AA388" s="68"/>
      <c r="AB388" s="68"/>
      <c r="AC388" s="68"/>
      <c r="AD388" s="68"/>
      <c r="AE388" s="68"/>
      <c r="AF388" s="68"/>
      <c r="AG388" s="68"/>
      <c r="AH388" s="68"/>
      <c r="AI388" s="68"/>
      <c r="AJ388" s="68"/>
      <c r="AK388" s="68"/>
      <c r="AL388" s="68"/>
      <c r="AM388" s="69"/>
    </row>
    <row r="389" customFormat="false" ht="9.75" hidden="false" customHeight="true" outlineLevel="0" collapsed="false"/>
    <row r="390" customFormat="false" ht="21.75" hidden="false" customHeight="true" outlineLevel="0" collapsed="false">
      <c r="B390" s="6"/>
      <c r="C390" s="19" t="s">
        <v>91</v>
      </c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59" t="s">
        <v>92</v>
      </c>
      <c r="W390" s="59"/>
      <c r="X390" s="59"/>
      <c r="Y390" s="59"/>
      <c r="Z390" s="59"/>
      <c r="AA390" s="59"/>
      <c r="AB390" s="59"/>
      <c r="AC390" s="59"/>
      <c r="AD390" s="59"/>
      <c r="AE390" s="59"/>
      <c r="AF390" s="59"/>
      <c r="AG390" s="59"/>
      <c r="AH390" s="59"/>
      <c r="AI390" s="59"/>
      <c r="AJ390" s="59"/>
      <c r="AK390" s="59"/>
      <c r="AL390" s="59"/>
      <c r="AM390" s="59"/>
    </row>
    <row r="391" customFormat="false" ht="27.75" hidden="false" customHeight="true" outlineLevel="0" collapsed="false">
      <c r="B391" s="60"/>
      <c r="C391" s="61" t="n">
        <v>3</v>
      </c>
      <c r="D391" s="62" t="s">
        <v>93</v>
      </c>
      <c r="E391" s="62"/>
      <c r="F391" s="62"/>
      <c r="G391" s="62"/>
      <c r="H391" s="62"/>
      <c r="I391" s="62"/>
      <c r="J391" s="62"/>
      <c r="L391" s="60"/>
      <c r="M391" s="61" t="n">
        <v>4</v>
      </c>
      <c r="N391" s="62" t="s">
        <v>94</v>
      </c>
      <c r="O391" s="62"/>
      <c r="P391" s="62"/>
      <c r="Q391" s="62"/>
      <c r="R391" s="62"/>
      <c r="S391" s="62"/>
      <c r="T391" s="62"/>
      <c r="V391" s="60"/>
      <c r="W391" s="61" t="n">
        <v>5</v>
      </c>
      <c r="X391" s="62" t="s">
        <v>95</v>
      </c>
      <c r="Y391" s="62"/>
      <c r="Z391" s="62"/>
      <c r="AA391" s="62"/>
      <c r="AB391" s="62"/>
      <c r="AC391" s="62"/>
      <c r="AD391" s="62"/>
      <c r="AF391" s="60"/>
      <c r="AG391" s="61" t="n">
        <v>6</v>
      </c>
      <c r="AH391" s="62" t="s">
        <v>96</v>
      </c>
      <c r="AI391" s="62"/>
      <c r="AJ391" s="62"/>
      <c r="AK391" s="62"/>
      <c r="AL391" s="62"/>
      <c r="AM391" s="62"/>
    </row>
    <row r="392" customFormat="false" ht="25.5" hidden="false" customHeight="true" outlineLevel="0" collapsed="false">
      <c r="B392" s="63"/>
      <c r="C392" s="64"/>
      <c r="D392" s="64"/>
      <c r="E392" s="64"/>
      <c r="F392" s="64"/>
      <c r="G392" s="64"/>
      <c r="H392" s="64"/>
      <c r="I392" s="64"/>
      <c r="J392" s="65"/>
      <c r="L392" s="63"/>
      <c r="M392" s="64"/>
      <c r="N392" s="64"/>
      <c r="O392" s="64"/>
      <c r="P392" s="64"/>
      <c r="Q392" s="64"/>
      <c r="R392" s="64"/>
      <c r="S392" s="64"/>
      <c r="T392" s="65"/>
      <c r="V392" s="63"/>
      <c r="W392" s="70"/>
      <c r="X392" s="70"/>
      <c r="Y392" s="70"/>
      <c r="Z392" s="70"/>
      <c r="AA392" s="70"/>
      <c r="AB392" s="70"/>
      <c r="AC392" s="70"/>
      <c r="AD392" s="65"/>
      <c r="AF392" s="63"/>
      <c r="AG392" s="64"/>
      <c r="AH392" s="64"/>
      <c r="AI392" s="64"/>
      <c r="AJ392" s="64"/>
      <c r="AK392" s="64"/>
      <c r="AL392" s="64"/>
      <c r="AM392" s="65"/>
    </row>
    <row r="393" customFormat="false" ht="6" hidden="false" customHeight="true" outlineLevel="0" collapsed="false">
      <c r="B393" s="67"/>
      <c r="C393" s="68"/>
      <c r="D393" s="68"/>
      <c r="E393" s="68"/>
      <c r="F393" s="68"/>
      <c r="G393" s="68"/>
      <c r="H393" s="68"/>
      <c r="I393" s="68"/>
      <c r="J393" s="69"/>
      <c r="L393" s="67"/>
      <c r="M393" s="68"/>
      <c r="N393" s="68"/>
      <c r="O393" s="68"/>
      <c r="P393" s="68"/>
      <c r="Q393" s="68"/>
      <c r="R393" s="68"/>
      <c r="S393" s="68"/>
      <c r="T393" s="69"/>
      <c r="V393" s="67"/>
      <c r="W393" s="68"/>
      <c r="X393" s="68"/>
      <c r="Y393" s="68"/>
      <c r="Z393" s="68"/>
      <c r="AA393" s="68"/>
      <c r="AB393" s="68"/>
      <c r="AC393" s="68"/>
      <c r="AD393" s="69"/>
      <c r="AF393" s="67"/>
      <c r="AG393" s="68"/>
      <c r="AH393" s="68"/>
      <c r="AI393" s="68"/>
      <c r="AJ393" s="68"/>
      <c r="AK393" s="68"/>
      <c r="AL393" s="68"/>
      <c r="AM393" s="69"/>
    </row>
    <row r="394" customFormat="false" ht="9.75" hidden="false" customHeight="true" outlineLevel="0" collapsed="false"/>
    <row r="395" customFormat="false" ht="21.75" hidden="false" customHeight="true" outlineLevel="0" collapsed="false">
      <c r="B395" s="6"/>
      <c r="C395" s="19" t="s">
        <v>98</v>
      </c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59" t="s">
        <v>99</v>
      </c>
      <c r="W395" s="59"/>
      <c r="X395" s="59"/>
      <c r="Y395" s="59"/>
      <c r="Z395" s="59"/>
      <c r="AA395" s="59"/>
      <c r="AB395" s="59"/>
      <c r="AC395" s="59"/>
      <c r="AD395" s="59"/>
      <c r="AE395" s="59"/>
      <c r="AF395" s="59"/>
      <c r="AG395" s="59"/>
      <c r="AH395" s="59"/>
      <c r="AI395" s="59"/>
      <c r="AJ395" s="59"/>
      <c r="AK395" s="59"/>
      <c r="AL395" s="59"/>
      <c r="AM395" s="59"/>
    </row>
    <row r="396" customFormat="false" ht="27.75" hidden="false" customHeight="true" outlineLevel="0" collapsed="false">
      <c r="B396" s="60"/>
      <c r="C396" s="61" t="n">
        <v>7</v>
      </c>
      <c r="D396" s="62" t="s">
        <v>100</v>
      </c>
      <c r="E396" s="62"/>
      <c r="F396" s="62"/>
      <c r="G396" s="62"/>
      <c r="H396" s="62"/>
      <c r="J396" s="60"/>
      <c r="K396" s="61" t="n">
        <v>8</v>
      </c>
      <c r="L396" s="62" t="s">
        <v>101</v>
      </c>
      <c r="M396" s="62"/>
      <c r="N396" s="62"/>
      <c r="O396" s="62"/>
      <c r="P396" s="62"/>
      <c r="R396" s="60"/>
      <c r="S396" s="61" t="n">
        <v>9</v>
      </c>
      <c r="T396" s="62" t="s">
        <v>102</v>
      </c>
      <c r="U396" s="62"/>
      <c r="V396" s="62"/>
      <c r="W396" s="62"/>
      <c r="X396" s="62"/>
      <c r="Z396" s="60"/>
      <c r="AA396" s="61" t="n">
        <v>10</v>
      </c>
      <c r="AB396" s="62" t="s">
        <v>103</v>
      </c>
      <c r="AC396" s="62"/>
      <c r="AD396" s="62"/>
      <c r="AE396" s="62"/>
      <c r="AF396" s="62"/>
      <c r="AH396" s="60"/>
      <c r="AI396" s="61" t="n">
        <v>11</v>
      </c>
      <c r="AJ396" s="62" t="s">
        <v>104</v>
      </c>
      <c r="AK396" s="62"/>
      <c r="AL396" s="62"/>
      <c r="AM396" s="62"/>
    </row>
    <row r="397" customFormat="false" ht="25.5" hidden="false" customHeight="true" outlineLevel="0" collapsed="false">
      <c r="B397" s="63"/>
      <c r="C397" s="64"/>
      <c r="D397" s="64"/>
      <c r="E397" s="64"/>
      <c r="F397" s="64"/>
      <c r="G397" s="64"/>
      <c r="H397" s="65"/>
      <c r="J397" s="63"/>
      <c r="K397" s="64"/>
      <c r="L397" s="64"/>
      <c r="M397" s="64"/>
      <c r="N397" s="64"/>
      <c r="O397" s="64"/>
      <c r="P397" s="65"/>
      <c r="R397" s="63"/>
      <c r="S397" s="64"/>
      <c r="T397" s="64"/>
      <c r="U397" s="64"/>
      <c r="V397" s="64"/>
      <c r="W397" s="64"/>
      <c r="X397" s="65"/>
      <c r="Z397" s="63"/>
      <c r="AA397" s="64"/>
      <c r="AB397" s="64"/>
      <c r="AC397" s="64"/>
      <c r="AD397" s="64"/>
      <c r="AE397" s="64"/>
      <c r="AF397" s="65"/>
      <c r="AH397" s="63"/>
      <c r="AI397" s="64"/>
      <c r="AJ397" s="64"/>
      <c r="AK397" s="64"/>
      <c r="AL397" s="64"/>
      <c r="AM397" s="65"/>
    </row>
    <row r="398" customFormat="false" ht="6" hidden="false" customHeight="true" outlineLevel="0" collapsed="false">
      <c r="B398" s="67"/>
      <c r="C398" s="68"/>
      <c r="D398" s="68"/>
      <c r="E398" s="68"/>
      <c r="F398" s="68"/>
      <c r="G398" s="68"/>
      <c r="H398" s="69"/>
      <c r="J398" s="67"/>
      <c r="K398" s="68"/>
      <c r="L398" s="68"/>
      <c r="M398" s="68"/>
      <c r="N398" s="68"/>
      <c r="O398" s="68"/>
      <c r="P398" s="69"/>
      <c r="R398" s="67"/>
      <c r="S398" s="68"/>
      <c r="T398" s="68"/>
      <c r="U398" s="68"/>
      <c r="V398" s="68"/>
      <c r="W398" s="68"/>
      <c r="X398" s="69"/>
      <c r="Z398" s="67"/>
      <c r="AA398" s="68"/>
      <c r="AB398" s="68"/>
      <c r="AC398" s="68"/>
      <c r="AD398" s="68"/>
      <c r="AE398" s="68"/>
      <c r="AF398" s="69"/>
      <c r="AH398" s="67"/>
      <c r="AI398" s="68"/>
      <c r="AJ398" s="68"/>
      <c r="AK398" s="68"/>
      <c r="AL398" s="68"/>
      <c r="AM398" s="69"/>
    </row>
    <row r="399" customFormat="false" ht="9.75" hidden="false" customHeight="true" outlineLevel="0" collapsed="false"/>
    <row r="400" customFormat="false" ht="21.75" hidden="false" customHeight="true" outlineLevel="0" collapsed="false">
      <c r="B400" s="6"/>
      <c r="C400" s="19" t="s">
        <v>105</v>
      </c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59" t="s">
        <v>106</v>
      </c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  <c r="AF400" s="59"/>
      <c r="AG400" s="59"/>
      <c r="AH400" s="59"/>
      <c r="AI400" s="59"/>
      <c r="AJ400" s="59"/>
      <c r="AK400" s="59"/>
      <c r="AL400" s="59"/>
      <c r="AM400" s="59"/>
    </row>
    <row r="401" customFormat="false" ht="24" hidden="false" customHeight="true" outlineLevel="0" collapsed="false"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  <c r="AA401" s="72"/>
      <c r="AB401" s="72"/>
      <c r="AC401" s="72"/>
      <c r="AD401" s="72"/>
      <c r="AE401" s="72"/>
      <c r="AF401" s="72"/>
      <c r="AG401" s="72"/>
      <c r="AH401" s="72"/>
      <c r="AI401" s="72"/>
      <c r="AJ401" s="72"/>
      <c r="AK401" s="72"/>
      <c r="AL401" s="72"/>
      <c r="AM401" s="72"/>
    </row>
    <row r="402" customFormat="false" ht="24" hidden="false" customHeight="true" outlineLevel="0" collapsed="false"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  <c r="AA402" s="72"/>
      <c r="AB402" s="72"/>
      <c r="AC402" s="72"/>
      <c r="AD402" s="72"/>
      <c r="AE402" s="72"/>
      <c r="AF402" s="72"/>
      <c r="AG402" s="72"/>
      <c r="AH402" s="72"/>
      <c r="AI402" s="72"/>
      <c r="AJ402" s="72"/>
      <c r="AK402" s="72"/>
      <c r="AL402" s="72"/>
      <c r="AM402" s="72"/>
    </row>
    <row r="403" customFormat="false" ht="24" hidden="false" customHeight="true" outlineLevel="0" collapsed="false"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  <c r="AA403" s="72"/>
      <c r="AB403" s="72"/>
      <c r="AC403" s="72"/>
      <c r="AD403" s="72"/>
      <c r="AE403" s="72"/>
      <c r="AF403" s="72"/>
      <c r="AG403" s="72"/>
      <c r="AH403" s="72"/>
      <c r="AI403" s="72"/>
      <c r="AJ403" s="72"/>
      <c r="AK403" s="72"/>
      <c r="AL403" s="72"/>
      <c r="AM403" s="72"/>
    </row>
    <row r="404" customFormat="false" ht="295.5" hidden="false" customHeight="true" outlineLevel="0" collapsed="false"/>
    <row r="405" customFormat="false" ht="6" hidden="false" customHeight="true" outlineLevel="0" collapsed="false"/>
    <row r="406" customFormat="false" ht="19.5" hidden="false" customHeight="true" outlineLevel="0" collapsed="false">
      <c r="B406" s="73" t="s">
        <v>107</v>
      </c>
      <c r="C406" s="73"/>
      <c r="D406" s="73"/>
      <c r="E406" s="73"/>
      <c r="F406" s="73"/>
      <c r="G406" s="73"/>
      <c r="H406" s="73"/>
      <c r="I406" s="73"/>
      <c r="J406" s="73"/>
      <c r="K406" s="73"/>
      <c r="L406" s="74" t="s">
        <v>108</v>
      </c>
      <c r="M406" s="74"/>
      <c r="N406" s="74"/>
      <c r="O406" s="74"/>
      <c r="P406" s="74"/>
      <c r="Q406" s="74"/>
      <c r="R406" s="74"/>
      <c r="S406" s="74"/>
      <c r="U406" s="73" t="s">
        <v>109</v>
      </c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4" t="s">
        <v>108</v>
      </c>
      <c r="AG406" s="74"/>
      <c r="AH406" s="74"/>
      <c r="AI406" s="74"/>
      <c r="AJ406" s="74"/>
      <c r="AK406" s="74"/>
      <c r="AL406" s="74"/>
      <c r="AM406" s="74"/>
    </row>
    <row r="407" customFormat="false" ht="9.75" hidden="false" customHeight="true" outlineLevel="0" collapsed="false"/>
    <row r="408" customFormat="false" ht="18" hidden="false" customHeight="true" outlineLevel="0" collapsed="false">
      <c r="B408" s="75" t="s">
        <v>110</v>
      </c>
      <c r="C408" s="75"/>
      <c r="D408" s="75"/>
      <c r="E408" s="75"/>
      <c r="F408" s="75"/>
      <c r="G408" s="75"/>
      <c r="H408" s="75"/>
      <c r="I408" s="75"/>
      <c r="J408" s="75"/>
      <c r="K408" s="75"/>
      <c r="L408" s="75"/>
      <c r="M408" s="75"/>
      <c r="N408" s="75"/>
      <c r="O408" s="75"/>
      <c r="P408" s="75"/>
      <c r="Q408" s="75"/>
      <c r="R408" s="75"/>
      <c r="S408" s="75"/>
      <c r="T408" s="76" t="s">
        <v>111</v>
      </c>
      <c r="U408" s="76"/>
      <c r="V408" s="76"/>
      <c r="W408" s="76"/>
      <c r="X408" s="76"/>
      <c r="Y408" s="76"/>
      <c r="Z408" s="76"/>
      <c r="AA408" s="76"/>
      <c r="AB408" s="76"/>
      <c r="AC408" s="76"/>
      <c r="AD408" s="76"/>
      <c r="AE408" s="76"/>
      <c r="AF408" s="76"/>
      <c r="AG408" s="76"/>
      <c r="AH408" s="76"/>
      <c r="AI408" s="76"/>
      <c r="AJ408" s="76"/>
      <c r="AK408" s="76"/>
      <c r="AL408" s="76"/>
      <c r="AM408" s="76"/>
    </row>
    <row r="409" customFormat="false" ht="7.5" hidden="false" customHeight="true" outlineLevel="0" collapsed="false"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</row>
    <row r="410" customFormat="false" ht="19.5" hidden="false" customHeight="true" outlineLevel="0" collapsed="false">
      <c r="B410" s="1"/>
      <c r="C410" s="51" t="s">
        <v>78</v>
      </c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  <c r="AA410" s="51"/>
      <c r="AB410" s="1"/>
      <c r="AC410" s="1"/>
      <c r="AD410" s="1"/>
      <c r="AE410" s="52" t="s">
        <v>79</v>
      </c>
      <c r="AF410" s="52"/>
      <c r="AG410" s="52"/>
      <c r="AH410" s="52"/>
      <c r="AI410" s="52"/>
      <c r="AJ410" s="52"/>
      <c r="AK410" s="52"/>
      <c r="AL410" s="1"/>
      <c r="AM410" s="1"/>
    </row>
    <row r="411" customFormat="false" ht="30" hidden="false" customHeight="true" outlineLevel="0" collapsed="false">
      <c r="B411" s="1"/>
      <c r="C411" s="53" t="s">
        <v>80</v>
      </c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4" t="s">
        <v>81</v>
      </c>
      <c r="AC411" s="54"/>
      <c r="AD411" s="54"/>
      <c r="AE411" s="54"/>
      <c r="AF411" s="54"/>
      <c r="AG411" s="54"/>
      <c r="AH411" s="54"/>
      <c r="AI411" s="54"/>
      <c r="AJ411" s="54"/>
      <c r="AK411" s="54"/>
      <c r="AL411" s="1"/>
      <c r="AM411" s="1"/>
    </row>
    <row r="412" customFormat="false" ht="15.75" hidden="false" customHeight="true" outlineLevel="0" collapsed="false">
      <c r="B412" s="1"/>
      <c r="C412" s="55" t="s">
        <v>82</v>
      </c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</row>
    <row r="413" customFormat="false" ht="9.75" hidden="false" customHeight="true" outlineLevel="0" collapsed="false"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</row>
    <row r="414" customFormat="false" ht="3.75" hidden="false" customHeight="true" outlineLevel="0" collapsed="false"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</row>
    <row r="415" customFormat="false" ht="7.5" hidden="false" customHeight="true" outlineLevel="0" collapsed="false"/>
    <row r="416" customFormat="false" ht="13.5" hidden="false" customHeight="true" outlineLevel="0" collapsed="false">
      <c r="B416" s="56" t="s">
        <v>83</v>
      </c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P416" s="56" t="s">
        <v>84</v>
      </c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C416" s="56" t="s">
        <v>85</v>
      </c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</row>
    <row r="417" customFormat="false" ht="21.75" hidden="false" customHeight="true" outlineLevel="0" collapsed="false">
      <c r="B417" s="57" t="str">
        <f aca="false">Dashboard!$C$6</f>
        <v>Bindhya TB</v>
      </c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P417" s="57" t="str">
        <f aca="false">Dashboard!$C$7</f>
        <v>Tourism &amp; Business</v>
      </c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C417" s="58" t="n">
        <f aca="false">Cal!A14</f>
        <v>46308</v>
      </c>
      <c r="AD417" s="58"/>
      <c r="AE417" s="58"/>
      <c r="AF417" s="58"/>
      <c r="AG417" s="58"/>
      <c r="AH417" s="58"/>
      <c r="AI417" s="58"/>
      <c r="AJ417" s="58"/>
      <c r="AK417" s="58"/>
      <c r="AL417" s="58"/>
      <c r="AM417" s="58"/>
    </row>
    <row r="418" customFormat="false" ht="9.75" hidden="false" customHeight="true" outlineLevel="0" collapsed="false"/>
    <row r="419" customFormat="false" ht="21.75" hidden="false" customHeight="true" outlineLevel="0" collapsed="false">
      <c r="B419" s="6"/>
      <c r="C419" s="19" t="s">
        <v>86</v>
      </c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59" t="s">
        <v>87</v>
      </c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  <c r="AF419" s="59"/>
      <c r="AG419" s="59"/>
      <c r="AH419" s="59"/>
      <c r="AI419" s="59"/>
      <c r="AJ419" s="59"/>
      <c r="AK419" s="59"/>
      <c r="AL419" s="59"/>
      <c r="AM419" s="59"/>
    </row>
    <row r="420" customFormat="false" ht="19.5" hidden="false" customHeight="true" outlineLevel="0" collapsed="false">
      <c r="B420" s="60"/>
      <c r="C420" s="61" t="n">
        <v>1</v>
      </c>
      <c r="D420" s="62" t="s">
        <v>88</v>
      </c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V420" s="60"/>
      <c r="W420" s="61" t="n">
        <v>2</v>
      </c>
      <c r="X420" s="62" t="s">
        <v>89</v>
      </c>
      <c r="Y420" s="62"/>
      <c r="Z420" s="62"/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  <c r="AK420" s="62"/>
      <c r="AL420" s="62"/>
      <c r="AM420" s="62"/>
    </row>
    <row r="421" customFormat="false" ht="49.5" hidden="false" customHeight="true" outlineLevel="0" collapsed="false">
      <c r="B421" s="63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5"/>
      <c r="V421" s="63"/>
      <c r="W421" s="77"/>
      <c r="X421" s="77"/>
      <c r="Y421" s="77"/>
      <c r="Z421" s="77"/>
      <c r="AA421" s="77"/>
      <c r="AB421" s="77"/>
      <c r="AC421" s="77"/>
      <c r="AD421" s="77"/>
      <c r="AE421" s="77"/>
      <c r="AF421" s="77"/>
      <c r="AG421" s="77"/>
      <c r="AH421" s="77"/>
      <c r="AI421" s="77"/>
      <c r="AJ421" s="77"/>
      <c r="AK421" s="77"/>
      <c r="AL421" s="77"/>
      <c r="AM421" s="65"/>
    </row>
    <row r="422" customFormat="false" ht="6" hidden="false" customHeight="true" outlineLevel="0" collapsed="false">
      <c r="B422" s="67"/>
      <c r="C422" s="68"/>
      <c r="D422" s="68"/>
      <c r="E422" s="68"/>
      <c r="F422" s="68"/>
      <c r="G422" s="68"/>
      <c r="H422" s="68"/>
      <c r="I422" s="68"/>
      <c r="J422" s="68"/>
      <c r="K422" s="68"/>
      <c r="L422" s="68"/>
      <c r="M422" s="68"/>
      <c r="N422" s="68"/>
      <c r="O422" s="68"/>
      <c r="P422" s="68"/>
      <c r="Q422" s="68"/>
      <c r="R422" s="68"/>
      <c r="S422" s="68"/>
      <c r="T422" s="69"/>
      <c r="V422" s="67"/>
      <c r="W422" s="68"/>
      <c r="X422" s="68"/>
      <c r="Y422" s="68"/>
      <c r="Z422" s="68"/>
      <c r="AA422" s="68"/>
      <c r="AB422" s="68"/>
      <c r="AC422" s="68"/>
      <c r="AD422" s="68"/>
      <c r="AE422" s="68"/>
      <c r="AF422" s="68"/>
      <c r="AG422" s="68"/>
      <c r="AH422" s="68"/>
      <c r="AI422" s="68"/>
      <c r="AJ422" s="68"/>
      <c r="AK422" s="68"/>
      <c r="AL422" s="68"/>
      <c r="AM422" s="69"/>
    </row>
    <row r="423" customFormat="false" ht="9.75" hidden="false" customHeight="true" outlineLevel="0" collapsed="false"/>
    <row r="424" customFormat="false" ht="21.75" hidden="false" customHeight="true" outlineLevel="0" collapsed="false">
      <c r="B424" s="6"/>
      <c r="C424" s="19" t="s">
        <v>91</v>
      </c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59" t="s">
        <v>92</v>
      </c>
      <c r="W424" s="59"/>
      <c r="X424" s="59"/>
      <c r="Y424" s="59"/>
      <c r="Z424" s="59"/>
      <c r="AA424" s="59"/>
      <c r="AB424" s="59"/>
      <c r="AC424" s="59"/>
      <c r="AD424" s="59"/>
      <c r="AE424" s="59"/>
      <c r="AF424" s="59"/>
      <c r="AG424" s="59"/>
      <c r="AH424" s="59"/>
      <c r="AI424" s="59"/>
      <c r="AJ424" s="59"/>
      <c r="AK424" s="59"/>
      <c r="AL424" s="59"/>
      <c r="AM424" s="59"/>
    </row>
    <row r="425" customFormat="false" ht="27.75" hidden="false" customHeight="true" outlineLevel="0" collapsed="false">
      <c r="B425" s="60"/>
      <c r="C425" s="61" t="n">
        <v>3</v>
      </c>
      <c r="D425" s="62" t="s">
        <v>93</v>
      </c>
      <c r="E425" s="62"/>
      <c r="F425" s="62"/>
      <c r="G425" s="62"/>
      <c r="H425" s="62"/>
      <c r="I425" s="62"/>
      <c r="J425" s="62"/>
      <c r="L425" s="60"/>
      <c r="M425" s="61" t="n">
        <v>4</v>
      </c>
      <c r="N425" s="62" t="s">
        <v>94</v>
      </c>
      <c r="O425" s="62"/>
      <c r="P425" s="62"/>
      <c r="Q425" s="62"/>
      <c r="R425" s="62"/>
      <c r="S425" s="62"/>
      <c r="T425" s="62"/>
      <c r="V425" s="60"/>
      <c r="W425" s="61" t="n">
        <v>5</v>
      </c>
      <c r="X425" s="62" t="s">
        <v>95</v>
      </c>
      <c r="Y425" s="62"/>
      <c r="Z425" s="62"/>
      <c r="AA425" s="62"/>
      <c r="AB425" s="62"/>
      <c r="AC425" s="62"/>
      <c r="AD425" s="62"/>
      <c r="AF425" s="60"/>
      <c r="AG425" s="61" t="n">
        <v>6</v>
      </c>
      <c r="AH425" s="62" t="s">
        <v>96</v>
      </c>
      <c r="AI425" s="62"/>
      <c r="AJ425" s="62"/>
      <c r="AK425" s="62"/>
      <c r="AL425" s="62"/>
      <c r="AM425" s="62"/>
    </row>
    <row r="426" customFormat="false" ht="25.5" hidden="false" customHeight="true" outlineLevel="0" collapsed="false">
      <c r="B426" s="63"/>
      <c r="C426" s="64"/>
      <c r="D426" s="64"/>
      <c r="E426" s="64"/>
      <c r="F426" s="64"/>
      <c r="G426" s="64"/>
      <c r="H426" s="64"/>
      <c r="I426" s="64"/>
      <c r="J426" s="65"/>
      <c r="L426" s="63"/>
      <c r="M426" s="64"/>
      <c r="N426" s="64"/>
      <c r="O426" s="64"/>
      <c r="P426" s="64"/>
      <c r="Q426" s="64"/>
      <c r="R426" s="64"/>
      <c r="S426" s="64"/>
      <c r="T426" s="65"/>
      <c r="V426" s="63"/>
      <c r="W426" s="70"/>
      <c r="X426" s="70"/>
      <c r="Y426" s="70"/>
      <c r="Z426" s="70"/>
      <c r="AA426" s="70"/>
      <c r="AB426" s="70"/>
      <c r="AC426" s="70"/>
      <c r="AD426" s="65"/>
      <c r="AF426" s="63"/>
      <c r="AG426" s="64"/>
      <c r="AH426" s="64"/>
      <c r="AI426" s="64"/>
      <c r="AJ426" s="64"/>
      <c r="AK426" s="64"/>
      <c r="AL426" s="64"/>
      <c r="AM426" s="65"/>
    </row>
    <row r="427" customFormat="false" ht="6" hidden="false" customHeight="true" outlineLevel="0" collapsed="false">
      <c r="B427" s="67"/>
      <c r="C427" s="68"/>
      <c r="D427" s="68"/>
      <c r="E427" s="68"/>
      <c r="F427" s="68"/>
      <c r="G427" s="68"/>
      <c r="H427" s="68"/>
      <c r="I427" s="68"/>
      <c r="J427" s="69"/>
      <c r="L427" s="67"/>
      <c r="M427" s="68"/>
      <c r="N427" s="68"/>
      <c r="O427" s="68"/>
      <c r="P427" s="68"/>
      <c r="Q427" s="68"/>
      <c r="R427" s="68"/>
      <c r="S427" s="68"/>
      <c r="T427" s="69"/>
      <c r="V427" s="67"/>
      <c r="W427" s="68"/>
      <c r="X427" s="68"/>
      <c r="Y427" s="68"/>
      <c r="Z427" s="68"/>
      <c r="AA427" s="68"/>
      <c r="AB427" s="68"/>
      <c r="AC427" s="68"/>
      <c r="AD427" s="69"/>
      <c r="AF427" s="67"/>
      <c r="AG427" s="68"/>
      <c r="AH427" s="68"/>
      <c r="AI427" s="68"/>
      <c r="AJ427" s="68"/>
      <c r="AK427" s="68"/>
      <c r="AL427" s="68"/>
      <c r="AM427" s="69"/>
    </row>
    <row r="428" customFormat="false" ht="9.75" hidden="false" customHeight="true" outlineLevel="0" collapsed="false"/>
    <row r="429" customFormat="false" ht="21.75" hidden="false" customHeight="true" outlineLevel="0" collapsed="false">
      <c r="B429" s="6"/>
      <c r="C429" s="19" t="s">
        <v>98</v>
      </c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59" t="s">
        <v>99</v>
      </c>
      <c r="W429" s="59"/>
      <c r="X429" s="59"/>
      <c r="Y429" s="59"/>
      <c r="Z429" s="59"/>
      <c r="AA429" s="59"/>
      <c r="AB429" s="59"/>
      <c r="AC429" s="59"/>
      <c r="AD429" s="59"/>
      <c r="AE429" s="59"/>
      <c r="AF429" s="59"/>
      <c r="AG429" s="59"/>
      <c r="AH429" s="59"/>
      <c r="AI429" s="59"/>
      <c r="AJ429" s="59"/>
      <c r="AK429" s="59"/>
      <c r="AL429" s="59"/>
      <c r="AM429" s="59"/>
    </row>
    <row r="430" customFormat="false" ht="27.75" hidden="false" customHeight="true" outlineLevel="0" collapsed="false">
      <c r="B430" s="60"/>
      <c r="C430" s="61" t="n">
        <v>7</v>
      </c>
      <c r="D430" s="62" t="s">
        <v>100</v>
      </c>
      <c r="E430" s="62"/>
      <c r="F430" s="62"/>
      <c r="G430" s="62"/>
      <c r="H430" s="62"/>
      <c r="J430" s="60"/>
      <c r="K430" s="61" t="n">
        <v>8</v>
      </c>
      <c r="L430" s="62" t="s">
        <v>101</v>
      </c>
      <c r="M430" s="62"/>
      <c r="N430" s="62"/>
      <c r="O430" s="62"/>
      <c r="P430" s="62"/>
      <c r="R430" s="60"/>
      <c r="S430" s="61" t="n">
        <v>9</v>
      </c>
      <c r="T430" s="62" t="s">
        <v>102</v>
      </c>
      <c r="U430" s="62"/>
      <c r="V430" s="62"/>
      <c r="W430" s="62"/>
      <c r="X430" s="62"/>
      <c r="Z430" s="60"/>
      <c r="AA430" s="61" t="n">
        <v>10</v>
      </c>
      <c r="AB430" s="62" t="s">
        <v>103</v>
      </c>
      <c r="AC430" s="62"/>
      <c r="AD430" s="62"/>
      <c r="AE430" s="62"/>
      <c r="AF430" s="62"/>
      <c r="AH430" s="60"/>
      <c r="AI430" s="61" t="n">
        <v>11</v>
      </c>
      <c r="AJ430" s="62" t="s">
        <v>104</v>
      </c>
      <c r="AK430" s="62"/>
      <c r="AL430" s="62"/>
      <c r="AM430" s="62"/>
    </row>
    <row r="431" customFormat="false" ht="25.5" hidden="false" customHeight="true" outlineLevel="0" collapsed="false">
      <c r="B431" s="63"/>
      <c r="C431" s="64"/>
      <c r="D431" s="64"/>
      <c r="E431" s="64"/>
      <c r="F431" s="64"/>
      <c r="G431" s="64"/>
      <c r="H431" s="65"/>
      <c r="J431" s="63"/>
      <c r="K431" s="64"/>
      <c r="L431" s="64"/>
      <c r="M431" s="64"/>
      <c r="N431" s="64"/>
      <c r="O431" s="64"/>
      <c r="P431" s="65"/>
      <c r="R431" s="63"/>
      <c r="S431" s="64"/>
      <c r="T431" s="64"/>
      <c r="U431" s="64"/>
      <c r="V431" s="64"/>
      <c r="W431" s="64"/>
      <c r="X431" s="65"/>
      <c r="Z431" s="63"/>
      <c r="AA431" s="64"/>
      <c r="AB431" s="64"/>
      <c r="AC431" s="64"/>
      <c r="AD431" s="64"/>
      <c r="AE431" s="64"/>
      <c r="AF431" s="65"/>
      <c r="AH431" s="63"/>
      <c r="AI431" s="64"/>
      <c r="AJ431" s="64"/>
      <c r="AK431" s="64"/>
      <c r="AL431" s="64"/>
      <c r="AM431" s="65"/>
    </row>
    <row r="432" customFormat="false" ht="6" hidden="false" customHeight="true" outlineLevel="0" collapsed="false">
      <c r="B432" s="67"/>
      <c r="C432" s="68"/>
      <c r="D432" s="68"/>
      <c r="E432" s="68"/>
      <c r="F432" s="68"/>
      <c r="G432" s="68"/>
      <c r="H432" s="69"/>
      <c r="J432" s="67"/>
      <c r="K432" s="68"/>
      <c r="L432" s="68"/>
      <c r="M432" s="68"/>
      <c r="N432" s="68"/>
      <c r="O432" s="68"/>
      <c r="P432" s="69"/>
      <c r="R432" s="67"/>
      <c r="S432" s="68"/>
      <c r="T432" s="68"/>
      <c r="U432" s="68"/>
      <c r="V432" s="68"/>
      <c r="W432" s="68"/>
      <c r="X432" s="69"/>
      <c r="Z432" s="67"/>
      <c r="AA432" s="68"/>
      <c r="AB432" s="68"/>
      <c r="AC432" s="68"/>
      <c r="AD432" s="68"/>
      <c r="AE432" s="68"/>
      <c r="AF432" s="69"/>
      <c r="AH432" s="67"/>
      <c r="AI432" s="68"/>
      <c r="AJ432" s="68"/>
      <c r="AK432" s="68"/>
      <c r="AL432" s="68"/>
      <c r="AM432" s="69"/>
    </row>
    <row r="433" customFormat="false" ht="9.75" hidden="false" customHeight="true" outlineLevel="0" collapsed="false"/>
    <row r="434" customFormat="false" ht="21.75" hidden="false" customHeight="true" outlineLevel="0" collapsed="false">
      <c r="B434" s="6"/>
      <c r="C434" s="19" t="s">
        <v>105</v>
      </c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59" t="s">
        <v>106</v>
      </c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  <c r="AF434" s="59"/>
      <c r="AG434" s="59"/>
      <c r="AH434" s="59"/>
      <c r="AI434" s="59"/>
      <c r="AJ434" s="59"/>
      <c r="AK434" s="59"/>
      <c r="AL434" s="59"/>
      <c r="AM434" s="59"/>
    </row>
    <row r="435" customFormat="false" ht="24" hidden="false" customHeight="true" outlineLevel="0" collapsed="false"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  <c r="AA435" s="72"/>
      <c r="AB435" s="72"/>
      <c r="AC435" s="72"/>
      <c r="AD435" s="72"/>
      <c r="AE435" s="72"/>
      <c r="AF435" s="72"/>
      <c r="AG435" s="72"/>
      <c r="AH435" s="72"/>
      <c r="AI435" s="72"/>
      <c r="AJ435" s="72"/>
      <c r="AK435" s="72"/>
      <c r="AL435" s="72"/>
      <c r="AM435" s="72"/>
    </row>
    <row r="436" customFormat="false" ht="24" hidden="false" customHeight="true" outlineLevel="0" collapsed="false"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  <c r="AA436" s="72"/>
      <c r="AB436" s="72"/>
      <c r="AC436" s="72"/>
      <c r="AD436" s="72"/>
      <c r="AE436" s="72"/>
      <c r="AF436" s="72"/>
      <c r="AG436" s="72"/>
      <c r="AH436" s="72"/>
      <c r="AI436" s="72"/>
      <c r="AJ436" s="72"/>
      <c r="AK436" s="72"/>
      <c r="AL436" s="72"/>
      <c r="AM436" s="72"/>
    </row>
    <row r="437" customFormat="false" ht="24" hidden="false" customHeight="true" outlineLevel="0" collapsed="false"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  <c r="AA437" s="72"/>
      <c r="AB437" s="72"/>
      <c r="AC437" s="72"/>
      <c r="AD437" s="72"/>
      <c r="AE437" s="72"/>
      <c r="AF437" s="72"/>
      <c r="AG437" s="72"/>
      <c r="AH437" s="72"/>
      <c r="AI437" s="72"/>
      <c r="AJ437" s="72"/>
      <c r="AK437" s="72"/>
      <c r="AL437" s="72"/>
      <c r="AM437" s="72"/>
    </row>
    <row r="438" customFormat="false" ht="295.5" hidden="false" customHeight="true" outlineLevel="0" collapsed="false"/>
    <row r="439" customFormat="false" ht="6" hidden="false" customHeight="true" outlineLevel="0" collapsed="false"/>
    <row r="440" customFormat="false" ht="19.5" hidden="false" customHeight="true" outlineLevel="0" collapsed="false">
      <c r="B440" s="73" t="s">
        <v>107</v>
      </c>
      <c r="C440" s="73"/>
      <c r="D440" s="73"/>
      <c r="E440" s="73"/>
      <c r="F440" s="73"/>
      <c r="G440" s="73"/>
      <c r="H440" s="73"/>
      <c r="I440" s="73"/>
      <c r="J440" s="73"/>
      <c r="K440" s="73"/>
      <c r="L440" s="74" t="s">
        <v>108</v>
      </c>
      <c r="M440" s="74"/>
      <c r="N440" s="74"/>
      <c r="O440" s="74"/>
      <c r="P440" s="74"/>
      <c r="Q440" s="74"/>
      <c r="R440" s="74"/>
      <c r="S440" s="74"/>
      <c r="U440" s="73" t="s">
        <v>109</v>
      </c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4" t="s">
        <v>108</v>
      </c>
      <c r="AG440" s="74"/>
      <c r="AH440" s="74"/>
      <c r="AI440" s="74"/>
      <c r="AJ440" s="74"/>
      <c r="AK440" s="74"/>
      <c r="AL440" s="74"/>
      <c r="AM440" s="74"/>
    </row>
    <row r="441" customFormat="false" ht="9.75" hidden="false" customHeight="true" outlineLevel="0" collapsed="false"/>
    <row r="442" customFormat="false" ht="18" hidden="false" customHeight="true" outlineLevel="0" collapsed="false">
      <c r="B442" s="75" t="s">
        <v>110</v>
      </c>
      <c r="C442" s="75"/>
      <c r="D442" s="75"/>
      <c r="E442" s="75"/>
      <c r="F442" s="75"/>
      <c r="G442" s="75"/>
      <c r="H442" s="75"/>
      <c r="I442" s="75"/>
      <c r="J442" s="75"/>
      <c r="K442" s="75"/>
      <c r="L442" s="75"/>
      <c r="M442" s="75"/>
      <c r="N442" s="75"/>
      <c r="O442" s="75"/>
      <c r="P442" s="75"/>
      <c r="Q442" s="75"/>
      <c r="R442" s="75"/>
      <c r="S442" s="75"/>
      <c r="T442" s="76" t="s">
        <v>111</v>
      </c>
      <c r="U442" s="76"/>
      <c r="V442" s="76"/>
      <c r="W442" s="76"/>
      <c r="X442" s="76"/>
      <c r="Y442" s="76"/>
      <c r="Z442" s="76"/>
      <c r="AA442" s="76"/>
      <c r="AB442" s="76"/>
      <c r="AC442" s="76"/>
      <c r="AD442" s="76"/>
      <c r="AE442" s="76"/>
      <c r="AF442" s="76"/>
      <c r="AG442" s="76"/>
      <c r="AH442" s="76"/>
      <c r="AI442" s="76"/>
      <c r="AJ442" s="76"/>
      <c r="AK442" s="76"/>
      <c r="AL442" s="76"/>
      <c r="AM442" s="76"/>
    </row>
    <row r="443" customFormat="false" ht="7.5" hidden="false" customHeight="true" outlineLevel="0" collapsed="false"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</row>
    <row r="444" customFormat="false" ht="19.5" hidden="false" customHeight="true" outlineLevel="0" collapsed="false">
      <c r="B444" s="1"/>
      <c r="C444" s="51" t="s">
        <v>78</v>
      </c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  <c r="AA444" s="51"/>
      <c r="AB444" s="1"/>
      <c r="AC444" s="1"/>
      <c r="AD444" s="1"/>
      <c r="AE444" s="52" t="s">
        <v>79</v>
      </c>
      <c r="AF444" s="52"/>
      <c r="AG444" s="52"/>
      <c r="AH444" s="52"/>
      <c r="AI444" s="52"/>
      <c r="AJ444" s="52"/>
      <c r="AK444" s="52"/>
      <c r="AL444" s="1"/>
      <c r="AM444" s="1"/>
    </row>
    <row r="445" customFormat="false" ht="30" hidden="false" customHeight="true" outlineLevel="0" collapsed="false">
      <c r="B445" s="1"/>
      <c r="C445" s="53" t="s">
        <v>80</v>
      </c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4" t="s">
        <v>81</v>
      </c>
      <c r="AC445" s="54"/>
      <c r="AD445" s="54"/>
      <c r="AE445" s="54"/>
      <c r="AF445" s="54"/>
      <c r="AG445" s="54"/>
      <c r="AH445" s="54"/>
      <c r="AI445" s="54"/>
      <c r="AJ445" s="54"/>
      <c r="AK445" s="54"/>
      <c r="AL445" s="1"/>
      <c r="AM445" s="1"/>
    </row>
    <row r="446" customFormat="false" ht="15.75" hidden="false" customHeight="true" outlineLevel="0" collapsed="false">
      <c r="B446" s="1"/>
      <c r="C446" s="55" t="s">
        <v>82</v>
      </c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</row>
    <row r="447" customFormat="false" ht="9.75" hidden="false" customHeight="true" outlineLevel="0" collapsed="false"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</row>
    <row r="448" customFormat="false" ht="3.75" hidden="false" customHeight="true" outlineLevel="0" collapsed="false"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</row>
    <row r="449" customFormat="false" ht="7.5" hidden="false" customHeight="true" outlineLevel="0" collapsed="false"/>
    <row r="450" customFormat="false" ht="13.5" hidden="false" customHeight="true" outlineLevel="0" collapsed="false">
      <c r="B450" s="56" t="s">
        <v>83</v>
      </c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P450" s="56" t="s">
        <v>84</v>
      </c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C450" s="56" t="s">
        <v>85</v>
      </c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</row>
    <row r="451" customFormat="false" ht="21.75" hidden="false" customHeight="true" outlineLevel="0" collapsed="false">
      <c r="B451" s="57" t="str">
        <f aca="false">Dashboard!$C$6</f>
        <v>Bindhya TB</v>
      </c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P451" s="57" t="str">
        <f aca="false">Dashboard!$C$7</f>
        <v>Tourism &amp; Business</v>
      </c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C451" s="58" t="n">
        <f aca="false">Cal!A15</f>
        <v>46309</v>
      </c>
      <c r="AD451" s="58"/>
      <c r="AE451" s="58"/>
      <c r="AF451" s="58"/>
      <c r="AG451" s="58"/>
      <c r="AH451" s="58"/>
      <c r="AI451" s="58"/>
      <c r="AJ451" s="58"/>
      <c r="AK451" s="58"/>
      <c r="AL451" s="58"/>
      <c r="AM451" s="58"/>
    </row>
    <row r="452" customFormat="false" ht="9.75" hidden="false" customHeight="true" outlineLevel="0" collapsed="false"/>
    <row r="453" customFormat="false" ht="21.75" hidden="false" customHeight="true" outlineLevel="0" collapsed="false">
      <c r="B453" s="6"/>
      <c r="C453" s="19" t="s">
        <v>86</v>
      </c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59" t="s">
        <v>87</v>
      </c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  <c r="AF453" s="59"/>
      <c r="AG453" s="59"/>
      <c r="AH453" s="59"/>
      <c r="AI453" s="59"/>
      <c r="AJ453" s="59"/>
      <c r="AK453" s="59"/>
      <c r="AL453" s="59"/>
      <c r="AM453" s="59"/>
    </row>
    <row r="454" customFormat="false" ht="19.5" hidden="false" customHeight="true" outlineLevel="0" collapsed="false">
      <c r="B454" s="60"/>
      <c r="C454" s="61" t="n">
        <v>1</v>
      </c>
      <c r="D454" s="62" t="s">
        <v>88</v>
      </c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V454" s="60"/>
      <c r="W454" s="61" t="n">
        <v>2</v>
      </c>
      <c r="X454" s="62" t="s">
        <v>89</v>
      </c>
      <c r="Y454" s="62"/>
      <c r="Z454" s="62"/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  <c r="AK454" s="62"/>
      <c r="AL454" s="62"/>
      <c r="AM454" s="62"/>
    </row>
    <row r="455" customFormat="false" ht="49.5" hidden="false" customHeight="true" outlineLevel="0" collapsed="false">
      <c r="B455" s="63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5"/>
      <c r="V455" s="63"/>
      <c r="W455" s="77"/>
      <c r="X455" s="77"/>
      <c r="Y455" s="77"/>
      <c r="Z455" s="77"/>
      <c r="AA455" s="77"/>
      <c r="AB455" s="77"/>
      <c r="AC455" s="77"/>
      <c r="AD455" s="77"/>
      <c r="AE455" s="77"/>
      <c r="AF455" s="77"/>
      <c r="AG455" s="77"/>
      <c r="AH455" s="77"/>
      <c r="AI455" s="77"/>
      <c r="AJ455" s="77"/>
      <c r="AK455" s="77"/>
      <c r="AL455" s="77"/>
      <c r="AM455" s="65"/>
    </row>
    <row r="456" customFormat="false" ht="6" hidden="false" customHeight="true" outlineLevel="0" collapsed="false">
      <c r="B456" s="67"/>
      <c r="C456" s="68"/>
      <c r="D456" s="68"/>
      <c r="E456" s="68"/>
      <c r="F456" s="68"/>
      <c r="G456" s="68"/>
      <c r="H456" s="68"/>
      <c r="I456" s="68"/>
      <c r="J456" s="68"/>
      <c r="K456" s="68"/>
      <c r="L456" s="68"/>
      <c r="M456" s="68"/>
      <c r="N456" s="68"/>
      <c r="O456" s="68"/>
      <c r="P456" s="68"/>
      <c r="Q456" s="68"/>
      <c r="R456" s="68"/>
      <c r="S456" s="68"/>
      <c r="T456" s="69"/>
      <c r="V456" s="67"/>
      <c r="W456" s="68"/>
      <c r="X456" s="68"/>
      <c r="Y456" s="68"/>
      <c r="Z456" s="68"/>
      <c r="AA456" s="68"/>
      <c r="AB456" s="68"/>
      <c r="AC456" s="68"/>
      <c r="AD456" s="68"/>
      <c r="AE456" s="68"/>
      <c r="AF456" s="68"/>
      <c r="AG456" s="68"/>
      <c r="AH456" s="68"/>
      <c r="AI456" s="68"/>
      <c r="AJ456" s="68"/>
      <c r="AK456" s="68"/>
      <c r="AL456" s="68"/>
      <c r="AM456" s="69"/>
    </row>
    <row r="457" customFormat="false" ht="9.75" hidden="false" customHeight="true" outlineLevel="0" collapsed="false"/>
    <row r="458" customFormat="false" ht="21.75" hidden="false" customHeight="true" outlineLevel="0" collapsed="false">
      <c r="B458" s="6"/>
      <c r="C458" s="19" t="s">
        <v>91</v>
      </c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59" t="s">
        <v>92</v>
      </c>
      <c r="W458" s="59"/>
      <c r="X458" s="59"/>
      <c r="Y458" s="59"/>
      <c r="Z458" s="59"/>
      <c r="AA458" s="59"/>
      <c r="AB458" s="59"/>
      <c r="AC458" s="59"/>
      <c r="AD458" s="59"/>
      <c r="AE458" s="59"/>
      <c r="AF458" s="59"/>
      <c r="AG458" s="59"/>
      <c r="AH458" s="59"/>
      <c r="AI458" s="59"/>
      <c r="AJ458" s="59"/>
      <c r="AK458" s="59"/>
      <c r="AL458" s="59"/>
      <c r="AM458" s="59"/>
    </row>
    <row r="459" customFormat="false" ht="27.75" hidden="false" customHeight="true" outlineLevel="0" collapsed="false">
      <c r="B459" s="60"/>
      <c r="C459" s="61" t="n">
        <v>3</v>
      </c>
      <c r="D459" s="62" t="s">
        <v>93</v>
      </c>
      <c r="E459" s="62"/>
      <c r="F459" s="62"/>
      <c r="G459" s="62"/>
      <c r="H459" s="62"/>
      <c r="I459" s="62"/>
      <c r="J459" s="62"/>
      <c r="L459" s="60"/>
      <c r="M459" s="61" t="n">
        <v>4</v>
      </c>
      <c r="N459" s="62" t="s">
        <v>94</v>
      </c>
      <c r="O459" s="62"/>
      <c r="P459" s="62"/>
      <c r="Q459" s="62"/>
      <c r="R459" s="62"/>
      <c r="S459" s="62"/>
      <c r="T459" s="62"/>
      <c r="V459" s="60"/>
      <c r="W459" s="61" t="n">
        <v>5</v>
      </c>
      <c r="X459" s="62" t="s">
        <v>95</v>
      </c>
      <c r="Y459" s="62"/>
      <c r="Z459" s="62"/>
      <c r="AA459" s="62"/>
      <c r="AB459" s="62"/>
      <c r="AC459" s="62"/>
      <c r="AD459" s="62"/>
      <c r="AF459" s="60"/>
      <c r="AG459" s="61" t="n">
        <v>6</v>
      </c>
      <c r="AH459" s="62" t="s">
        <v>96</v>
      </c>
      <c r="AI459" s="62"/>
      <c r="AJ459" s="62"/>
      <c r="AK459" s="62"/>
      <c r="AL459" s="62"/>
      <c r="AM459" s="62"/>
    </row>
    <row r="460" customFormat="false" ht="25.5" hidden="false" customHeight="true" outlineLevel="0" collapsed="false">
      <c r="B460" s="63"/>
      <c r="C460" s="64"/>
      <c r="D460" s="64"/>
      <c r="E460" s="64"/>
      <c r="F460" s="64"/>
      <c r="G460" s="64"/>
      <c r="H460" s="64"/>
      <c r="I460" s="64"/>
      <c r="J460" s="65"/>
      <c r="L460" s="63"/>
      <c r="M460" s="64"/>
      <c r="N460" s="64"/>
      <c r="O460" s="64"/>
      <c r="P460" s="64"/>
      <c r="Q460" s="64"/>
      <c r="R460" s="64"/>
      <c r="S460" s="64"/>
      <c r="T460" s="65"/>
      <c r="V460" s="63"/>
      <c r="W460" s="70"/>
      <c r="X460" s="70"/>
      <c r="Y460" s="70"/>
      <c r="Z460" s="70"/>
      <c r="AA460" s="70"/>
      <c r="AB460" s="70"/>
      <c r="AC460" s="70"/>
      <c r="AD460" s="65"/>
      <c r="AF460" s="63"/>
      <c r="AG460" s="64"/>
      <c r="AH460" s="64"/>
      <c r="AI460" s="64"/>
      <c r="AJ460" s="64"/>
      <c r="AK460" s="64"/>
      <c r="AL460" s="64"/>
      <c r="AM460" s="65"/>
    </row>
    <row r="461" customFormat="false" ht="6" hidden="false" customHeight="true" outlineLevel="0" collapsed="false">
      <c r="B461" s="67"/>
      <c r="C461" s="68"/>
      <c r="D461" s="68"/>
      <c r="E461" s="68"/>
      <c r="F461" s="68"/>
      <c r="G461" s="68"/>
      <c r="H461" s="68"/>
      <c r="I461" s="68"/>
      <c r="J461" s="69"/>
      <c r="L461" s="67"/>
      <c r="M461" s="68"/>
      <c r="N461" s="68"/>
      <c r="O461" s="68"/>
      <c r="P461" s="68"/>
      <c r="Q461" s="68"/>
      <c r="R461" s="68"/>
      <c r="S461" s="68"/>
      <c r="T461" s="69"/>
      <c r="V461" s="67"/>
      <c r="W461" s="68"/>
      <c r="X461" s="68"/>
      <c r="Y461" s="68"/>
      <c r="Z461" s="68"/>
      <c r="AA461" s="68"/>
      <c r="AB461" s="68"/>
      <c r="AC461" s="68"/>
      <c r="AD461" s="69"/>
      <c r="AF461" s="67"/>
      <c r="AG461" s="68"/>
      <c r="AH461" s="68"/>
      <c r="AI461" s="68"/>
      <c r="AJ461" s="68"/>
      <c r="AK461" s="68"/>
      <c r="AL461" s="68"/>
      <c r="AM461" s="69"/>
    </row>
    <row r="462" customFormat="false" ht="9.75" hidden="false" customHeight="true" outlineLevel="0" collapsed="false"/>
    <row r="463" customFormat="false" ht="21.75" hidden="false" customHeight="true" outlineLevel="0" collapsed="false">
      <c r="B463" s="6"/>
      <c r="C463" s="19" t="s">
        <v>98</v>
      </c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59" t="s">
        <v>99</v>
      </c>
      <c r="W463" s="59"/>
      <c r="X463" s="59"/>
      <c r="Y463" s="59"/>
      <c r="Z463" s="59"/>
      <c r="AA463" s="59"/>
      <c r="AB463" s="59"/>
      <c r="AC463" s="59"/>
      <c r="AD463" s="59"/>
      <c r="AE463" s="59"/>
      <c r="AF463" s="59"/>
      <c r="AG463" s="59"/>
      <c r="AH463" s="59"/>
      <c r="AI463" s="59"/>
      <c r="AJ463" s="59"/>
      <c r="AK463" s="59"/>
      <c r="AL463" s="59"/>
      <c r="AM463" s="59"/>
    </row>
    <row r="464" customFormat="false" ht="27.75" hidden="false" customHeight="true" outlineLevel="0" collapsed="false">
      <c r="B464" s="60"/>
      <c r="C464" s="61" t="n">
        <v>7</v>
      </c>
      <c r="D464" s="62" t="s">
        <v>100</v>
      </c>
      <c r="E464" s="62"/>
      <c r="F464" s="62"/>
      <c r="G464" s="62"/>
      <c r="H464" s="62"/>
      <c r="J464" s="60"/>
      <c r="K464" s="61" t="n">
        <v>8</v>
      </c>
      <c r="L464" s="62" t="s">
        <v>101</v>
      </c>
      <c r="M464" s="62"/>
      <c r="N464" s="62"/>
      <c r="O464" s="62"/>
      <c r="P464" s="62"/>
      <c r="R464" s="60"/>
      <c r="S464" s="61" t="n">
        <v>9</v>
      </c>
      <c r="T464" s="62" t="s">
        <v>102</v>
      </c>
      <c r="U464" s="62"/>
      <c r="V464" s="62"/>
      <c r="W464" s="62"/>
      <c r="X464" s="62"/>
      <c r="Z464" s="60"/>
      <c r="AA464" s="61" t="n">
        <v>10</v>
      </c>
      <c r="AB464" s="62" t="s">
        <v>103</v>
      </c>
      <c r="AC464" s="62"/>
      <c r="AD464" s="62"/>
      <c r="AE464" s="62"/>
      <c r="AF464" s="62"/>
      <c r="AH464" s="60"/>
      <c r="AI464" s="61" t="n">
        <v>11</v>
      </c>
      <c r="AJ464" s="62" t="s">
        <v>104</v>
      </c>
      <c r="AK464" s="62"/>
      <c r="AL464" s="62"/>
      <c r="AM464" s="62"/>
    </row>
    <row r="465" customFormat="false" ht="25.5" hidden="false" customHeight="true" outlineLevel="0" collapsed="false">
      <c r="B465" s="63"/>
      <c r="C465" s="64"/>
      <c r="D465" s="64"/>
      <c r="E465" s="64"/>
      <c r="F465" s="64"/>
      <c r="G465" s="64"/>
      <c r="H465" s="65"/>
      <c r="J465" s="63"/>
      <c r="K465" s="64"/>
      <c r="L465" s="64"/>
      <c r="M465" s="64"/>
      <c r="N465" s="64"/>
      <c r="O465" s="64"/>
      <c r="P465" s="65"/>
      <c r="R465" s="63"/>
      <c r="S465" s="64"/>
      <c r="T465" s="64"/>
      <c r="U465" s="64"/>
      <c r="V465" s="64"/>
      <c r="W465" s="64"/>
      <c r="X465" s="65"/>
      <c r="Z465" s="63"/>
      <c r="AA465" s="64"/>
      <c r="AB465" s="64"/>
      <c r="AC465" s="64"/>
      <c r="AD465" s="64"/>
      <c r="AE465" s="64"/>
      <c r="AF465" s="65"/>
      <c r="AH465" s="63"/>
      <c r="AI465" s="64"/>
      <c r="AJ465" s="64"/>
      <c r="AK465" s="64"/>
      <c r="AL465" s="64"/>
      <c r="AM465" s="65"/>
    </row>
    <row r="466" customFormat="false" ht="6" hidden="false" customHeight="true" outlineLevel="0" collapsed="false">
      <c r="B466" s="67"/>
      <c r="C466" s="68"/>
      <c r="D466" s="68"/>
      <c r="E466" s="68"/>
      <c r="F466" s="68"/>
      <c r="G466" s="68"/>
      <c r="H466" s="69"/>
      <c r="J466" s="67"/>
      <c r="K466" s="68"/>
      <c r="L466" s="68"/>
      <c r="M466" s="68"/>
      <c r="N466" s="68"/>
      <c r="O466" s="68"/>
      <c r="P466" s="69"/>
      <c r="R466" s="67"/>
      <c r="S466" s="68"/>
      <c r="T466" s="68"/>
      <c r="U466" s="68"/>
      <c r="V466" s="68"/>
      <c r="W466" s="68"/>
      <c r="X466" s="69"/>
      <c r="Z466" s="67"/>
      <c r="AA466" s="68"/>
      <c r="AB466" s="68"/>
      <c r="AC466" s="68"/>
      <c r="AD466" s="68"/>
      <c r="AE466" s="68"/>
      <c r="AF466" s="69"/>
      <c r="AH466" s="67"/>
      <c r="AI466" s="68"/>
      <c r="AJ466" s="68"/>
      <c r="AK466" s="68"/>
      <c r="AL466" s="68"/>
      <c r="AM466" s="69"/>
    </row>
    <row r="467" customFormat="false" ht="9.75" hidden="false" customHeight="true" outlineLevel="0" collapsed="false"/>
    <row r="468" customFormat="false" ht="21.75" hidden="false" customHeight="true" outlineLevel="0" collapsed="false">
      <c r="B468" s="6"/>
      <c r="C468" s="19" t="s">
        <v>105</v>
      </c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59" t="s">
        <v>106</v>
      </c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  <c r="AF468" s="59"/>
      <c r="AG468" s="59"/>
      <c r="AH468" s="59"/>
      <c r="AI468" s="59"/>
      <c r="AJ468" s="59"/>
      <c r="AK468" s="59"/>
      <c r="AL468" s="59"/>
      <c r="AM468" s="59"/>
    </row>
    <row r="469" customFormat="false" ht="24" hidden="false" customHeight="true" outlineLevel="0" collapsed="false"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  <c r="AA469" s="72"/>
      <c r="AB469" s="72"/>
      <c r="AC469" s="72"/>
      <c r="AD469" s="72"/>
      <c r="AE469" s="72"/>
      <c r="AF469" s="72"/>
      <c r="AG469" s="72"/>
      <c r="AH469" s="72"/>
      <c r="AI469" s="72"/>
      <c r="AJ469" s="72"/>
      <c r="AK469" s="72"/>
      <c r="AL469" s="72"/>
      <c r="AM469" s="72"/>
    </row>
    <row r="470" customFormat="false" ht="24" hidden="false" customHeight="true" outlineLevel="0" collapsed="false"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  <c r="AA470" s="72"/>
      <c r="AB470" s="72"/>
      <c r="AC470" s="72"/>
      <c r="AD470" s="72"/>
      <c r="AE470" s="72"/>
      <c r="AF470" s="72"/>
      <c r="AG470" s="72"/>
      <c r="AH470" s="72"/>
      <c r="AI470" s="72"/>
      <c r="AJ470" s="72"/>
      <c r="AK470" s="72"/>
      <c r="AL470" s="72"/>
      <c r="AM470" s="72"/>
    </row>
    <row r="471" customFormat="false" ht="24" hidden="false" customHeight="true" outlineLevel="0" collapsed="false"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  <c r="AA471" s="72"/>
      <c r="AB471" s="72"/>
      <c r="AC471" s="72"/>
      <c r="AD471" s="72"/>
      <c r="AE471" s="72"/>
      <c r="AF471" s="72"/>
      <c r="AG471" s="72"/>
      <c r="AH471" s="72"/>
      <c r="AI471" s="72"/>
      <c r="AJ471" s="72"/>
      <c r="AK471" s="72"/>
      <c r="AL471" s="72"/>
      <c r="AM471" s="72"/>
    </row>
    <row r="472" customFormat="false" ht="295.5" hidden="false" customHeight="true" outlineLevel="0" collapsed="false"/>
    <row r="473" customFormat="false" ht="6" hidden="false" customHeight="true" outlineLevel="0" collapsed="false"/>
    <row r="474" customFormat="false" ht="19.5" hidden="false" customHeight="true" outlineLevel="0" collapsed="false">
      <c r="B474" s="73" t="s">
        <v>107</v>
      </c>
      <c r="C474" s="73"/>
      <c r="D474" s="73"/>
      <c r="E474" s="73"/>
      <c r="F474" s="73"/>
      <c r="G474" s="73"/>
      <c r="H474" s="73"/>
      <c r="I474" s="73"/>
      <c r="J474" s="73"/>
      <c r="K474" s="73"/>
      <c r="L474" s="74" t="s">
        <v>108</v>
      </c>
      <c r="M474" s="74"/>
      <c r="N474" s="74"/>
      <c r="O474" s="74"/>
      <c r="P474" s="74"/>
      <c r="Q474" s="74"/>
      <c r="R474" s="74"/>
      <c r="S474" s="74"/>
      <c r="U474" s="73" t="s">
        <v>109</v>
      </c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4" t="s">
        <v>108</v>
      </c>
      <c r="AG474" s="74"/>
      <c r="AH474" s="74"/>
      <c r="AI474" s="74"/>
      <c r="AJ474" s="74"/>
      <c r="AK474" s="74"/>
      <c r="AL474" s="74"/>
      <c r="AM474" s="74"/>
    </row>
    <row r="475" customFormat="false" ht="9.75" hidden="false" customHeight="true" outlineLevel="0" collapsed="false"/>
    <row r="476" customFormat="false" ht="18" hidden="false" customHeight="true" outlineLevel="0" collapsed="false">
      <c r="B476" s="75" t="s">
        <v>110</v>
      </c>
      <c r="C476" s="75"/>
      <c r="D476" s="75"/>
      <c r="E476" s="75"/>
      <c r="F476" s="75"/>
      <c r="G476" s="75"/>
      <c r="H476" s="75"/>
      <c r="I476" s="75"/>
      <c r="J476" s="75"/>
      <c r="K476" s="75"/>
      <c r="L476" s="75"/>
      <c r="M476" s="75"/>
      <c r="N476" s="75"/>
      <c r="O476" s="75"/>
      <c r="P476" s="75"/>
      <c r="Q476" s="75"/>
      <c r="R476" s="75"/>
      <c r="S476" s="75"/>
      <c r="T476" s="76" t="s">
        <v>111</v>
      </c>
      <c r="U476" s="76"/>
      <c r="V476" s="76"/>
      <c r="W476" s="76"/>
      <c r="X476" s="76"/>
      <c r="Y476" s="76"/>
      <c r="Z476" s="76"/>
      <c r="AA476" s="76"/>
      <c r="AB476" s="76"/>
      <c r="AC476" s="76"/>
      <c r="AD476" s="76"/>
      <c r="AE476" s="76"/>
      <c r="AF476" s="76"/>
      <c r="AG476" s="76"/>
      <c r="AH476" s="76"/>
      <c r="AI476" s="76"/>
      <c r="AJ476" s="76"/>
      <c r="AK476" s="76"/>
      <c r="AL476" s="76"/>
      <c r="AM476" s="76"/>
    </row>
    <row r="477" customFormat="false" ht="7.5" hidden="false" customHeight="true" outlineLevel="0" collapsed="false"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</row>
    <row r="478" customFormat="false" ht="19.5" hidden="false" customHeight="true" outlineLevel="0" collapsed="false">
      <c r="B478" s="1"/>
      <c r="C478" s="51" t="s">
        <v>78</v>
      </c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  <c r="AA478" s="51"/>
      <c r="AB478" s="1"/>
      <c r="AC478" s="1"/>
      <c r="AD478" s="1"/>
      <c r="AE478" s="52" t="s">
        <v>79</v>
      </c>
      <c r="AF478" s="52"/>
      <c r="AG478" s="52"/>
      <c r="AH478" s="52"/>
      <c r="AI478" s="52"/>
      <c r="AJ478" s="52"/>
      <c r="AK478" s="52"/>
      <c r="AL478" s="1"/>
      <c r="AM478" s="1"/>
    </row>
    <row r="479" customFormat="false" ht="30" hidden="false" customHeight="true" outlineLevel="0" collapsed="false">
      <c r="B479" s="1"/>
      <c r="C479" s="53" t="s">
        <v>80</v>
      </c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4" t="s">
        <v>81</v>
      </c>
      <c r="AC479" s="54"/>
      <c r="AD479" s="54"/>
      <c r="AE479" s="54"/>
      <c r="AF479" s="54"/>
      <c r="AG479" s="54"/>
      <c r="AH479" s="54"/>
      <c r="AI479" s="54"/>
      <c r="AJ479" s="54"/>
      <c r="AK479" s="54"/>
      <c r="AL479" s="1"/>
      <c r="AM479" s="1"/>
    </row>
    <row r="480" customFormat="false" ht="15.75" hidden="false" customHeight="true" outlineLevel="0" collapsed="false">
      <c r="B480" s="1"/>
      <c r="C480" s="55" t="s">
        <v>82</v>
      </c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</row>
    <row r="481" customFormat="false" ht="9.75" hidden="false" customHeight="true" outlineLevel="0" collapsed="false"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</row>
    <row r="482" customFormat="false" ht="3.75" hidden="false" customHeight="true" outlineLevel="0" collapsed="false"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</row>
    <row r="483" customFormat="false" ht="7.5" hidden="false" customHeight="true" outlineLevel="0" collapsed="false"/>
    <row r="484" customFormat="false" ht="13.5" hidden="false" customHeight="true" outlineLevel="0" collapsed="false">
      <c r="B484" s="56" t="s">
        <v>83</v>
      </c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P484" s="56" t="s">
        <v>84</v>
      </c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C484" s="56" t="s">
        <v>85</v>
      </c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</row>
    <row r="485" customFormat="false" ht="21.75" hidden="false" customHeight="true" outlineLevel="0" collapsed="false">
      <c r="B485" s="57" t="str">
        <f aca="false">Dashboard!$C$6</f>
        <v>Bindhya TB</v>
      </c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P485" s="57" t="str">
        <f aca="false">Dashboard!$C$7</f>
        <v>Tourism &amp; Business</v>
      </c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C485" s="58" t="n">
        <f aca="false">Cal!A16</f>
        <v>46310</v>
      </c>
      <c r="AD485" s="58"/>
      <c r="AE485" s="58"/>
      <c r="AF485" s="58"/>
      <c r="AG485" s="58"/>
      <c r="AH485" s="58"/>
      <c r="AI485" s="58"/>
      <c r="AJ485" s="58"/>
      <c r="AK485" s="58"/>
      <c r="AL485" s="58"/>
      <c r="AM485" s="58"/>
    </row>
    <row r="486" customFormat="false" ht="9.75" hidden="false" customHeight="true" outlineLevel="0" collapsed="false"/>
    <row r="487" customFormat="false" ht="21.75" hidden="false" customHeight="true" outlineLevel="0" collapsed="false">
      <c r="B487" s="6"/>
      <c r="C487" s="19" t="s">
        <v>86</v>
      </c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59" t="s">
        <v>87</v>
      </c>
      <c r="Q487" s="59"/>
      <c r="R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  <c r="AF487" s="59"/>
      <c r="AG487" s="59"/>
      <c r="AH487" s="59"/>
      <c r="AI487" s="59"/>
      <c r="AJ487" s="59"/>
      <c r="AK487" s="59"/>
      <c r="AL487" s="59"/>
      <c r="AM487" s="59"/>
    </row>
    <row r="488" customFormat="false" ht="19.5" hidden="false" customHeight="true" outlineLevel="0" collapsed="false">
      <c r="B488" s="60"/>
      <c r="C488" s="61" t="n">
        <v>1</v>
      </c>
      <c r="D488" s="62" t="s">
        <v>88</v>
      </c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V488" s="60"/>
      <c r="W488" s="61" t="n">
        <v>2</v>
      </c>
      <c r="X488" s="62" t="s">
        <v>89</v>
      </c>
      <c r="Y488" s="62"/>
      <c r="Z488" s="62"/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  <c r="AK488" s="62"/>
      <c r="AL488" s="62"/>
      <c r="AM488" s="62"/>
    </row>
    <row r="489" customFormat="false" ht="49.5" hidden="false" customHeight="true" outlineLevel="0" collapsed="false">
      <c r="B489" s="63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5"/>
      <c r="V489" s="63"/>
      <c r="W489" s="77"/>
      <c r="X489" s="77"/>
      <c r="Y489" s="77"/>
      <c r="Z489" s="77"/>
      <c r="AA489" s="77"/>
      <c r="AB489" s="77"/>
      <c r="AC489" s="77"/>
      <c r="AD489" s="77"/>
      <c r="AE489" s="77"/>
      <c r="AF489" s="77"/>
      <c r="AG489" s="77"/>
      <c r="AH489" s="77"/>
      <c r="AI489" s="77"/>
      <c r="AJ489" s="77"/>
      <c r="AK489" s="77"/>
      <c r="AL489" s="77"/>
      <c r="AM489" s="65"/>
    </row>
    <row r="490" customFormat="false" ht="6" hidden="false" customHeight="true" outlineLevel="0" collapsed="false">
      <c r="B490" s="67"/>
      <c r="C490" s="68"/>
      <c r="D490" s="68"/>
      <c r="E490" s="68"/>
      <c r="F490" s="68"/>
      <c r="G490" s="68"/>
      <c r="H490" s="68"/>
      <c r="I490" s="68"/>
      <c r="J490" s="68"/>
      <c r="K490" s="68"/>
      <c r="L490" s="68"/>
      <c r="M490" s="68"/>
      <c r="N490" s="68"/>
      <c r="O490" s="68"/>
      <c r="P490" s="68"/>
      <c r="Q490" s="68"/>
      <c r="R490" s="68"/>
      <c r="S490" s="68"/>
      <c r="T490" s="69"/>
      <c r="V490" s="67"/>
      <c r="W490" s="68"/>
      <c r="X490" s="68"/>
      <c r="Y490" s="68"/>
      <c r="Z490" s="68"/>
      <c r="AA490" s="68"/>
      <c r="AB490" s="68"/>
      <c r="AC490" s="68"/>
      <c r="AD490" s="68"/>
      <c r="AE490" s="68"/>
      <c r="AF490" s="68"/>
      <c r="AG490" s="68"/>
      <c r="AH490" s="68"/>
      <c r="AI490" s="68"/>
      <c r="AJ490" s="68"/>
      <c r="AK490" s="68"/>
      <c r="AL490" s="68"/>
      <c r="AM490" s="69"/>
    </row>
    <row r="491" customFormat="false" ht="9.75" hidden="false" customHeight="true" outlineLevel="0" collapsed="false"/>
    <row r="492" customFormat="false" ht="21.75" hidden="false" customHeight="true" outlineLevel="0" collapsed="false">
      <c r="B492" s="6"/>
      <c r="C492" s="19" t="s">
        <v>91</v>
      </c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59" t="s">
        <v>92</v>
      </c>
      <c r="W492" s="59"/>
      <c r="X492" s="59"/>
      <c r="Y492" s="59"/>
      <c r="Z492" s="59"/>
      <c r="AA492" s="59"/>
      <c r="AB492" s="59"/>
      <c r="AC492" s="59"/>
      <c r="AD492" s="59"/>
      <c r="AE492" s="59"/>
      <c r="AF492" s="59"/>
      <c r="AG492" s="59"/>
      <c r="AH492" s="59"/>
      <c r="AI492" s="59"/>
      <c r="AJ492" s="59"/>
      <c r="AK492" s="59"/>
      <c r="AL492" s="59"/>
      <c r="AM492" s="59"/>
    </row>
    <row r="493" customFormat="false" ht="27.75" hidden="false" customHeight="true" outlineLevel="0" collapsed="false">
      <c r="B493" s="60"/>
      <c r="C493" s="61" t="n">
        <v>3</v>
      </c>
      <c r="D493" s="62" t="s">
        <v>93</v>
      </c>
      <c r="E493" s="62"/>
      <c r="F493" s="62"/>
      <c r="G493" s="62"/>
      <c r="H493" s="62"/>
      <c r="I493" s="62"/>
      <c r="J493" s="62"/>
      <c r="L493" s="60"/>
      <c r="M493" s="61" t="n">
        <v>4</v>
      </c>
      <c r="N493" s="62" t="s">
        <v>94</v>
      </c>
      <c r="O493" s="62"/>
      <c r="P493" s="62"/>
      <c r="Q493" s="62"/>
      <c r="R493" s="62"/>
      <c r="S493" s="62"/>
      <c r="T493" s="62"/>
      <c r="V493" s="60"/>
      <c r="W493" s="61" t="n">
        <v>5</v>
      </c>
      <c r="X493" s="62" t="s">
        <v>95</v>
      </c>
      <c r="Y493" s="62"/>
      <c r="Z493" s="62"/>
      <c r="AA493" s="62"/>
      <c r="AB493" s="62"/>
      <c r="AC493" s="62"/>
      <c r="AD493" s="62"/>
      <c r="AF493" s="60"/>
      <c r="AG493" s="61" t="n">
        <v>6</v>
      </c>
      <c r="AH493" s="62" t="s">
        <v>96</v>
      </c>
      <c r="AI493" s="62"/>
      <c r="AJ493" s="62"/>
      <c r="AK493" s="62"/>
      <c r="AL493" s="62"/>
      <c r="AM493" s="62"/>
    </row>
    <row r="494" customFormat="false" ht="25.5" hidden="false" customHeight="true" outlineLevel="0" collapsed="false">
      <c r="B494" s="63"/>
      <c r="C494" s="64"/>
      <c r="D494" s="64"/>
      <c r="E494" s="64"/>
      <c r="F494" s="64"/>
      <c r="G494" s="64"/>
      <c r="H494" s="64"/>
      <c r="I494" s="64"/>
      <c r="J494" s="65"/>
      <c r="L494" s="63"/>
      <c r="M494" s="64"/>
      <c r="N494" s="64"/>
      <c r="O494" s="64"/>
      <c r="P494" s="64"/>
      <c r="Q494" s="64"/>
      <c r="R494" s="64"/>
      <c r="S494" s="64"/>
      <c r="T494" s="65"/>
      <c r="V494" s="63"/>
      <c r="W494" s="70"/>
      <c r="X494" s="70"/>
      <c r="Y494" s="70"/>
      <c r="Z494" s="70"/>
      <c r="AA494" s="70"/>
      <c r="AB494" s="70"/>
      <c r="AC494" s="70"/>
      <c r="AD494" s="65"/>
      <c r="AF494" s="63"/>
      <c r="AG494" s="64"/>
      <c r="AH494" s="64"/>
      <c r="AI494" s="64"/>
      <c r="AJ494" s="64"/>
      <c r="AK494" s="64"/>
      <c r="AL494" s="64"/>
      <c r="AM494" s="65"/>
    </row>
    <row r="495" customFormat="false" ht="6" hidden="false" customHeight="true" outlineLevel="0" collapsed="false">
      <c r="B495" s="67"/>
      <c r="C495" s="68"/>
      <c r="D495" s="68"/>
      <c r="E495" s="68"/>
      <c r="F495" s="68"/>
      <c r="G495" s="68"/>
      <c r="H495" s="68"/>
      <c r="I495" s="68"/>
      <c r="J495" s="69"/>
      <c r="L495" s="67"/>
      <c r="M495" s="68"/>
      <c r="N495" s="68"/>
      <c r="O495" s="68"/>
      <c r="P495" s="68"/>
      <c r="Q495" s="68"/>
      <c r="R495" s="68"/>
      <c r="S495" s="68"/>
      <c r="T495" s="69"/>
      <c r="V495" s="67"/>
      <c r="W495" s="68"/>
      <c r="X495" s="68"/>
      <c r="Y495" s="68"/>
      <c r="Z495" s="68"/>
      <c r="AA495" s="68"/>
      <c r="AB495" s="68"/>
      <c r="AC495" s="68"/>
      <c r="AD495" s="69"/>
      <c r="AF495" s="67"/>
      <c r="AG495" s="68"/>
      <c r="AH495" s="68"/>
      <c r="AI495" s="68"/>
      <c r="AJ495" s="68"/>
      <c r="AK495" s="68"/>
      <c r="AL495" s="68"/>
      <c r="AM495" s="69"/>
    </row>
    <row r="496" customFormat="false" ht="9.75" hidden="false" customHeight="true" outlineLevel="0" collapsed="false"/>
    <row r="497" customFormat="false" ht="21.75" hidden="false" customHeight="true" outlineLevel="0" collapsed="false">
      <c r="B497" s="6"/>
      <c r="C497" s="19" t="s">
        <v>98</v>
      </c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59" t="s">
        <v>99</v>
      </c>
      <c r="W497" s="59"/>
      <c r="X497" s="59"/>
      <c r="Y497" s="59"/>
      <c r="Z497" s="59"/>
      <c r="AA497" s="59"/>
      <c r="AB497" s="59"/>
      <c r="AC497" s="59"/>
      <c r="AD497" s="59"/>
      <c r="AE497" s="59"/>
      <c r="AF497" s="59"/>
      <c r="AG497" s="59"/>
      <c r="AH497" s="59"/>
      <c r="AI497" s="59"/>
      <c r="AJ497" s="59"/>
      <c r="AK497" s="59"/>
      <c r="AL497" s="59"/>
      <c r="AM497" s="59"/>
    </row>
    <row r="498" customFormat="false" ht="27.75" hidden="false" customHeight="true" outlineLevel="0" collapsed="false">
      <c r="B498" s="60"/>
      <c r="C498" s="61" t="n">
        <v>7</v>
      </c>
      <c r="D498" s="62" t="s">
        <v>100</v>
      </c>
      <c r="E498" s="62"/>
      <c r="F498" s="62"/>
      <c r="G498" s="62"/>
      <c r="H498" s="62"/>
      <c r="J498" s="60"/>
      <c r="K498" s="61" t="n">
        <v>8</v>
      </c>
      <c r="L498" s="62" t="s">
        <v>101</v>
      </c>
      <c r="M498" s="62"/>
      <c r="N498" s="62"/>
      <c r="O498" s="62"/>
      <c r="P498" s="62"/>
      <c r="R498" s="60"/>
      <c r="S498" s="61" t="n">
        <v>9</v>
      </c>
      <c r="T498" s="62" t="s">
        <v>102</v>
      </c>
      <c r="U498" s="62"/>
      <c r="V498" s="62"/>
      <c r="W498" s="62"/>
      <c r="X498" s="62"/>
      <c r="Z498" s="60"/>
      <c r="AA498" s="61" t="n">
        <v>10</v>
      </c>
      <c r="AB498" s="62" t="s">
        <v>103</v>
      </c>
      <c r="AC498" s="62"/>
      <c r="AD498" s="62"/>
      <c r="AE498" s="62"/>
      <c r="AF498" s="62"/>
      <c r="AH498" s="60"/>
      <c r="AI498" s="61" t="n">
        <v>11</v>
      </c>
      <c r="AJ498" s="62" t="s">
        <v>104</v>
      </c>
      <c r="AK498" s="62"/>
      <c r="AL498" s="62"/>
      <c r="AM498" s="62"/>
    </row>
    <row r="499" customFormat="false" ht="25.5" hidden="false" customHeight="true" outlineLevel="0" collapsed="false">
      <c r="B499" s="63"/>
      <c r="C499" s="64"/>
      <c r="D499" s="64"/>
      <c r="E499" s="64"/>
      <c r="F499" s="64"/>
      <c r="G499" s="64"/>
      <c r="H499" s="65"/>
      <c r="J499" s="63"/>
      <c r="K499" s="64"/>
      <c r="L499" s="64"/>
      <c r="M499" s="64"/>
      <c r="N499" s="64"/>
      <c r="O499" s="64"/>
      <c r="P499" s="65"/>
      <c r="R499" s="63"/>
      <c r="S499" s="64"/>
      <c r="T499" s="64"/>
      <c r="U499" s="64"/>
      <c r="V499" s="64"/>
      <c r="W499" s="64"/>
      <c r="X499" s="65"/>
      <c r="Z499" s="63"/>
      <c r="AA499" s="64"/>
      <c r="AB499" s="64"/>
      <c r="AC499" s="64"/>
      <c r="AD499" s="64"/>
      <c r="AE499" s="64"/>
      <c r="AF499" s="65"/>
      <c r="AH499" s="63"/>
      <c r="AI499" s="64"/>
      <c r="AJ499" s="64"/>
      <c r="AK499" s="64"/>
      <c r="AL499" s="64"/>
      <c r="AM499" s="65"/>
    </row>
    <row r="500" customFormat="false" ht="6" hidden="false" customHeight="true" outlineLevel="0" collapsed="false">
      <c r="B500" s="67"/>
      <c r="C500" s="68"/>
      <c r="D500" s="68"/>
      <c r="E500" s="68"/>
      <c r="F500" s="68"/>
      <c r="G500" s="68"/>
      <c r="H500" s="69"/>
      <c r="J500" s="67"/>
      <c r="K500" s="68"/>
      <c r="L500" s="68"/>
      <c r="M500" s="68"/>
      <c r="N500" s="68"/>
      <c r="O500" s="68"/>
      <c r="P500" s="69"/>
      <c r="R500" s="67"/>
      <c r="S500" s="68"/>
      <c r="T500" s="68"/>
      <c r="U500" s="68"/>
      <c r="V500" s="68"/>
      <c r="W500" s="68"/>
      <c r="X500" s="69"/>
      <c r="Z500" s="67"/>
      <c r="AA500" s="68"/>
      <c r="AB500" s="68"/>
      <c r="AC500" s="68"/>
      <c r="AD500" s="68"/>
      <c r="AE500" s="68"/>
      <c r="AF500" s="69"/>
      <c r="AH500" s="67"/>
      <c r="AI500" s="68"/>
      <c r="AJ500" s="68"/>
      <c r="AK500" s="68"/>
      <c r="AL500" s="68"/>
      <c r="AM500" s="69"/>
    </row>
    <row r="501" customFormat="false" ht="9.75" hidden="false" customHeight="true" outlineLevel="0" collapsed="false"/>
    <row r="502" customFormat="false" ht="21.75" hidden="false" customHeight="true" outlineLevel="0" collapsed="false">
      <c r="B502" s="6"/>
      <c r="C502" s="19" t="s">
        <v>105</v>
      </c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59" t="s">
        <v>106</v>
      </c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  <c r="AF502" s="59"/>
      <c r="AG502" s="59"/>
      <c r="AH502" s="59"/>
      <c r="AI502" s="59"/>
      <c r="AJ502" s="59"/>
      <c r="AK502" s="59"/>
      <c r="AL502" s="59"/>
      <c r="AM502" s="59"/>
    </row>
    <row r="503" customFormat="false" ht="24" hidden="false" customHeight="true" outlineLevel="0" collapsed="false"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  <c r="AA503" s="72"/>
      <c r="AB503" s="72"/>
      <c r="AC503" s="72"/>
      <c r="AD503" s="72"/>
      <c r="AE503" s="72"/>
      <c r="AF503" s="72"/>
      <c r="AG503" s="72"/>
      <c r="AH503" s="72"/>
      <c r="AI503" s="72"/>
      <c r="AJ503" s="72"/>
      <c r="AK503" s="72"/>
      <c r="AL503" s="72"/>
      <c r="AM503" s="72"/>
    </row>
    <row r="504" customFormat="false" ht="24" hidden="false" customHeight="true" outlineLevel="0" collapsed="false"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  <c r="AA504" s="72"/>
      <c r="AB504" s="72"/>
      <c r="AC504" s="72"/>
      <c r="AD504" s="72"/>
      <c r="AE504" s="72"/>
      <c r="AF504" s="72"/>
      <c r="AG504" s="72"/>
      <c r="AH504" s="72"/>
      <c r="AI504" s="72"/>
      <c r="AJ504" s="72"/>
      <c r="AK504" s="72"/>
      <c r="AL504" s="72"/>
      <c r="AM504" s="72"/>
    </row>
    <row r="505" customFormat="false" ht="24" hidden="false" customHeight="true" outlineLevel="0" collapsed="false"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  <c r="AA505" s="72"/>
      <c r="AB505" s="72"/>
      <c r="AC505" s="72"/>
      <c r="AD505" s="72"/>
      <c r="AE505" s="72"/>
      <c r="AF505" s="72"/>
      <c r="AG505" s="72"/>
      <c r="AH505" s="72"/>
      <c r="AI505" s="72"/>
      <c r="AJ505" s="72"/>
      <c r="AK505" s="72"/>
      <c r="AL505" s="72"/>
      <c r="AM505" s="72"/>
    </row>
    <row r="506" customFormat="false" ht="295.5" hidden="false" customHeight="true" outlineLevel="0" collapsed="false"/>
    <row r="507" customFormat="false" ht="6" hidden="false" customHeight="true" outlineLevel="0" collapsed="false"/>
    <row r="508" customFormat="false" ht="19.5" hidden="false" customHeight="true" outlineLevel="0" collapsed="false">
      <c r="B508" s="73" t="s">
        <v>107</v>
      </c>
      <c r="C508" s="73"/>
      <c r="D508" s="73"/>
      <c r="E508" s="73"/>
      <c r="F508" s="73"/>
      <c r="G508" s="73"/>
      <c r="H508" s="73"/>
      <c r="I508" s="73"/>
      <c r="J508" s="73"/>
      <c r="K508" s="73"/>
      <c r="L508" s="74" t="s">
        <v>108</v>
      </c>
      <c r="M508" s="74"/>
      <c r="N508" s="74"/>
      <c r="O508" s="74"/>
      <c r="P508" s="74"/>
      <c r="Q508" s="74"/>
      <c r="R508" s="74"/>
      <c r="S508" s="74"/>
      <c r="U508" s="73" t="s">
        <v>109</v>
      </c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4" t="s">
        <v>108</v>
      </c>
      <c r="AG508" s="74"/>
      <c r="AH508" s="74"/>
      <c r="AI508" s="74"/>
      <c r="AJ508" s="74"/>
      <c r="AK508" s="74"/>
      <c r="AL508" s="74"/>
      <c r="AM508" s="74"/>
    </row>
    <row r="509" customFormat="false" ht="9.75" hidden="false" customHeight="true" outlineLevel="0" collapsed="false"/>
    <row r="510" customFormat="false" ht="18" hidden="false" customHeight="true" outlineLevel="0" collapsed="false">
      <c r="B510" s="75" t="s">
        <v>110</v>
      </c>
      <c r="C510" s="75"/>
      <c r="D510" s="75"/>
      <c r="E510" s="75"/>
      <c r="F510" s="75"/>
      <c r="G510" s="75"/>
      <c r="H510" s="75"/>
      <c r="I510" s="75"/>
      <c r="J510" s="75"/>
      <c r="K510" s="75"/>
      <c r="L510" s="75"/>
      <c r="M510" s="75"/>
      <c r="N510" s="75"/>
      <c r="O510" s="75"/>
      <c r="P510" s="75"/>
      <c r="Q510" s="75"/>
      <c r="R510" s="75"/>
      <c r="S510" s="75"/>
      <c r="T510" s="76" t="s">
        <v>111</v>
      </c>
      <c r="U510" s="76"/>
      <c r="V510" s="76"/>
      <c r="W510" s="76"/>
      <c r="X510" s="76"/>
      <c r="Y510" s="76"/>
      <c r="Z510" s="76"/>
      <c r="AA510" s="76"/>
      <c r="AB510" s="76"/>
      <c r="AC510" s="76"/>
      <c r="AD510" s="76"/>
      <c r="AE510" s="76"/>
      <c r="AF510" s="76"/>
      <c r="AG510" s="76"/>
      <c r="AH510" s="76"/>
      <c r="AI510" s="76"/>
      <c r="AJ510" s="76"/>
      <c r="AK510" s="76"/>
      <c r="AL510" s="76"/>
      <c r="AM510" s="76"/>
    </row>
    <row r="511" customFormat="false" ht="7.5" hidden="false" customHeight="true" outlineLevel="0" collapsed="false"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</row>
    <row r="512" customFormat="false" ht="19.5" hidden="false" customHeight="true" outlineLevel="0" collapsed="false">
      <c r="B512" s="1"/>
      <c r="C512" s="51" t="s">
        <v>78</v>
      </c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  <c r="AA512" s="51"/>
      <c r="AB512" s="1"/>
      <c r="AC512" s="1"/>
      <c r="AD512" s="1"/>
      <c r="AE512" s="52" t="s">
        <v>79</v>
      </c>
      <c r="AF512" s="52"/>
      <c r="AG512" s="52"/>
      <c r="AH512" s="52"/>
      <c r="AI512" s="52"/>
      <c r="AJ512" s="52"/>
      <c r="AK512" s="52"/>
      <c r="AL512" s="1"/>
      <c r="AM512" s="1"/>
    </row>
    <row r="513" customFormat="false" ht="30" hidden="false" customHeight="true" outlineLevel="0" collapsed="false">
      <c r="B513" s="1"/>
      <c r="C513" s="53" t="s">
        <v>80</v>
      </c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4" t="s">
        <v>81</v>
      </c>
      <c r="AC513" s="54"/>
      <c r="AD513" s="54"/>
      <c r="AE513" s="54"/>
      <c r="AF513" s="54"/>
      <c r="AG513" s="54"/>
      <c r="AH513" s="54"/>
      <c r="AI513" s="54"/>
      <c r="AJ513" s="54"/>
      <c r="AK513" s="54"/>
      <c r="AL513" s="1"/>
      <c r="AM513" s="1"/>
    </row>
    <row r="514" customFormat="false" ht="15.75" hidden="false" customHeight="true" outlineLevel="0" collapsed="false">
      <c r="B514" s="1"/>
      <c r="C514" s="55" t="s">
        <v>82</v>
      </c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</row>
    <row r="515" customFormat="false" ht="9.75" hidden="false" customHeight="true" outlineLevel="0" collapsed="false"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</row>
    <row r="516" customFormat="false" ht="3.75" hidden="false" customHeight="true" outlineLevel="0" collapsed="false"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</row>
    <row r="517" customFormat="false" ht="7.5" hidden="false" customHeight="true" outlineLevel="0" collapsed="false"/>
    <row r="518" customFormat="false" ht="13.5" hidden="false" customHeight="true" outlineLevel="0" collapsed="false">
      <c r="B518" s="56" t="s">
        <v>83</v>
      </c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P518" s="56" t="s">
        <v>84</v>
      </c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C518" s="56" t="s">
        <v>85</v>
      </c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</row>
    <row r="519" customFormat="false" ht="21.75" hidden="false" customHeight="true" outlineLevel="0" collapsed="false">
      <c r="B519" s="57" t="str">
        <f aca="false">Dashboard!$C$6</f>
        <v>Bindhya TB</v>
      </c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P519" s="57" t="str">
        <f aca="false">Dashboard!$C$7</f>
        <v>Tourism &amp; Business</v>
      </c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C519" s="58" t="n">
        <f aca="false">Cal!A17</f>
        <v>46311</v>
      </c>
      <c r="AD519" s="58"/>
      <c r="AE519" s="58"/>
      <c r="AF519" s="58"/>
      <c r="AG519" s="58"/>
      <c r="AH519" s="58"/>
      <c r="AI519" s="58"/>
      <c r="AJ519" s="58"/>
      <c r="AK519" s="58"/>
      <c r="AL519" s="58"/>
      <c r="AM519" s="58"/>
    </row>
    <row r="520" customFormat="false" ht="9.75" hidden="false" customHeight="true" outlineLevel="0" collapsed="false"/>
    <row r="521" customFormat="false" ht="21.75" hidden="false" customHeight="true" outlineLevel="0" collapsed="false">
      <c r="B521" s="6"/>
      <c r="C521" s="19" t="s">
        <v>86</v>
      </c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59" t="s">
        <v>87</v>
      </c>
      <c r="Q521" s="59"/>
      <c r="R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  <c r="AF521" s="59"/>
      <c r="AG521" s="59"/>
      <c r="AH521" s="59"/>
      <c r="AI521" s="59"/>
      <c r="AJ521" s="59"/>
      <c r="AK521" s="59"/>
      <c r="AL521" s="59"/>
      <c r="AM521" s="59"/>
    </row>
    <row r="522" customFormat="false" ht="19.5" hidden="false" customHeight="true" outlineLevel="0" collapsed="false">
      <c r="B522" s="60"/>
      <c r="C522" s="61" t="n">
        <v>1</v>
      </c>
      <c r="D522" s="62" t="s">
        <v>88</v>
      </c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V522" s="60"/>
      <c r="W522" s="61" t="n">
        <v>2</v>
      </c>
      <c r="X522" s="62" t="s">
        <v>89</v>
      </c>
      <c r="Y522" s="62"/>
      <c r="Z522" s="62"/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  <c r="AK522" s="62"/>
      <c r="AL522" s="62"/>
      <c r="AM522" s="62"/>
    </row>
    <row r="523" customFormat="false" ht="49.5" hidden="false" customHeight="true" outlineLevel="0" collapsed="false">
      <c r="B523" s="63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5"/>
      <c r="V523" s="63"/>
      <c r="W523" s="77"/>
      <c r="X523" s="77"/>
      <c r="Y523" s="77"/>
      <c r="Z523" s="77"/>
      <c r="AA523" s="77"/>
      <c r="AB523" s="77"/>
      <c r="AC523" s="77"/>
      <c r="AD523" s="77"/>
      <c r="AE523" s="77"/>
      <c r="AF523" s="77"/>
      <c r="AG523" s="77"/>
      <c r="AH523" s="77"/>
      <c r="AI523" s="77"/>
      <c r="AJ523" s="77"/>
      <c r="AK523" s="77"/>
      <c r="AL523" s="77"/>
      <c r="AM523" s="65"/>
    </row>
    <row r="524" customFormat="false" ht="6" hidden="false" customHeight="true" outlineLevel="0" collapsed="false">
      <c r="B524" s="67"/>
      <c r="C524" s="68"/>
      <c r="D524" s="68"/>
      <c r="E524" s="68"/>
      <c r="F524" s="68"/>
      <c r="G524" s="68"/>
      <c r="H524" s="68"/>
      <c r="I524" s="68"/>
      <c r="J524" s="68"/>
      <c r="K524" s="68"/>
      <c r="L524" s="68"/>
      <c r="M524" s="68"/>
      <c r="N524" s="68"/>
      <c r="O524" s="68"/>
      <c r="P524" s="68"/>
      <c r="Q524" s="68"/>
      <c r="R524" s="68"/>
      <c r="S524" s="68"/>
      <c r="T524" s="69"/>
      <c r="V524" s="67"/>
      <c r="W524" s="68"/>
      <c r="X524" s="68"/>
      <c r="Y524" s="68"/>
      <c r="Z524" s="68"/>
      <c r="AA524" s="68"/>
      <c r="AB524" s="68"/>
      <c r="AC524" s="68"/>
      <c r="AD524" s="68"/>
      <c r="AE524" s="68"/>
      <c r="AF524" s="68"/>
      <c r="AG524" s="68"/>
      <c r="AH524" s="68"/>
      <c r="AI524" s="68"/>
      <c r="AJ524" s="68"/>
      <c r="AK524" s="68"/>
      <c r="AL524" s="68"/>
      <c r="AM524" s="69"/>
    </row>
    <row r="525" customFormat="false" ht="9.75" hidden="false" customHeight="true" outlineLevel="0" collapsed="false"/>
    <row r="526" customFormat="false" ht="21.75" hidden="false" customHeight="true" outlineLevel="0" collapsed="false">
      <c r="B526" s="6"/>
      <c r="C526" s="19" t="s">
        <v>91</v>
      </c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59" t="s">
        <v>92</v>
      </c>
      <c r="W526" s="59"/>
      <c r="X526" s="59"/>
      <c r="Y526" s="59"/>
      <c r="Z526" s="59"/>
      <c r="AA526" s="59"/>
      <c r="AB526" s="59"/>
      <c r="AC526" s="59"/>
      <c r="AD526" s="59"/>
      <c r="AE526" s="59"/>
      <c r="AF526" s="59"/>
      <c r="AG526" s="59"/>
      <c r="AH526" s="59"/>
      <c r="AI526" s="59"/>
      <c r="AJ526" s="59"/>
      <c r="AK526" s="59"/>
      <c r="AL526" s="59"/>
      <c r="AM526" s="59"/>
    </row>
    <row r="527" customFormat="false" ht="27.75" hidden="false" customHeight="true" outlineLevel="0" collapsed="false">
      <c r="B527" s="60"/>
      <c r="C527" s="61" t="n">
        <v>3</v>
      </c>
      <c r="D527" s="62" t="s">
        <v>93</v>
      </c>
      <c r="E527" s="62"/>
      <c r="F527" s="62"/>
      <c r="G527" s="62"/>
      <c r="H527" s="62"/>
      <c r="I527" s="62"/>
      <c r="J527" s="62"/>
      <c r="L527" s="60"/>
      <c r="M527" s="61" t="n">
        <v>4</v>
      </c>
      <c r="N527" s="62" t="s">
        <v>94</v>
      </c>
      <c r="O527" s="62"/>
      <c r="P527" s="62"/>
      <c r="Q527" s="62"/>
      <c r="R527" s="62"/>
      <c r="S527" s="62"/>
      <c r="T527" s="62"/>
      <c r="V527" s="60"/>
      <c r="W527" s="61" t="n">
        <v>5</v>
      </c>
      <c r="X527" s="62" t="s">
        <v>95</v>
      </c>
      <c r="Y527" s="62"/>
      <c r="Z527" s="62"/>
      <c r="AA527" s="62"/>
      <c r="AB527" s="62"/>
      <c r="AC527" s="62"/>
      <c r="AD527" s="62"/>
      <c r="AF527" s="60"/>
      <c r="AG527" s="61" t="n">
        <v>6</v>
      </c>
      <c r="AH527" s="62" t="s">
        <v>96</v>
      </c>
      <c r="AI527" s="62"/>
      <c r="AJ527" s="62"/>
      <c r="AK527" s="62"/>
      <c r="AL527" s="62"/>
      <c r="AM527" s="62"/>
    </row>
    <row r="528" customFormat="false" ht="25.5" hidden="false" customHeight="true" outlineLevel="0" collapsed="false">
      <c r="B528" s="63"/>
      <c r="C528" s="64"/>
      <c r="D528" s="64"/>
      <c r="E528" s="64"/>
      <c r="F528" s="64"/>
      <c r="G528" s="64"/>
      <c r="H528" s="64"/>
      <c r="I528" s="64"/>
      <c r="J528" s="65"/>
      <c r="L528" s="63"/>
      <c r="M528" s="64"/>
      <c r="N528" s="64"/>
      <c r="O528" s="64"/>
      <c r="P528" s="64"/>
      <c r="Q528" s="64"/>
      <c r="R528" s="64"/>
      <c r="S528" s="64"/>
      <c r="T528" s="65"/>
      <c r="V528" s="63"/>
      <c r="W528" s="70"/>
      <c r="X528" s="70"/>
      <c r="Y528" s="70"/>
      <c r="Z528" s="70"/>
      <c r="AA528" s="70"/>
      <c r="AB528" s="70"/>
      <c r="AC528" s="70"/>
      <c r="AD528" s="65"/>
      <c r="AF528" s="63"/>
      <c r="AG528" s="64"/>
      <c r="AH528" s="64"/>
      <c r="AI528" s="64"/>
      <c r="AJ528" s="64"/>
      <c r="AK528" s="64"/>
      <c r="AL528" s="64"/>
      <c r="AM528" s="65"/>
    </row>
    <row r="529" customFormat="false" ht="6" hidden="false" customHeight="true" outlineLevel="0" collapsed="false">
      <c r="B529" s="67"/>
      <c r="C529" s="68"/>
      <c r="D529" s="68"/>
      <c r="E529" s="68"/>
      <c r="F529" s="68"/>
      <c r="G529" s="68"/>
      <c r="H529" s="68"/>
      <c r="I529" s="68"/>
      <c r="J529" s="69"/>
      <c r="L529" s="67"/>
      <c r="M529" s="68"/>
      <c r="N529" s="68"/>
      <c r="O529" s="68"/>
      <c r="P529" s="68"/>
      <c r="Q529" s="68"/>
      <c r="R529" s="68"/>
      <c r="S529" s="68"/>
      <c r="T529" s="69"/>
      <c r="V529" s="67"/>
      <c r="W529" s="68"/>
      <c r="X529" s="68"/>
      <c r="Y529" s="68"/>
      <c r="Z529" s="68"/>
      <c r="AA529" s="68"/>
      <c r="AB529" s="68"/>
      <c r="AC529" s="68"/>
      <c r="AD529" s="69"/>
      <c r="AF529" s="67"/>
      <c r="AG529" s="68"/>
      <c r="AH529" s="68"/>
      <c r="AI529" s="68"/>
      <c r="AJ529" s="68"/>
      <c r="AK529" s="68"/>
      <c r="AL529" s="68"/>
      <c r="AM529" s="69"/>
    </row>
    <row r="530" customFormat="false" ht="9.75" hidden="false" customHeight="true" outlineLevel="0" collapsed="false"/>
    <row r="531" customFormat="false" ht="21.75" hidden="false" customHeight="true" outlineLevel="0" collapsed="false">
      <c r="B531" s="6"/>
      <c r="C531" s="19" t="s">
        <v>98</v>
      </c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59" t="s">
        <v>99</v>
      </c>
      <c r="W531" s="59"/>
      <c r="X531" s="59"/>
      <c r="Y531" s="59"/>
      <c r="Z531" s="59"/>
      <c r="AA531" s="59"/>
      <c r="AB531" s="59"/>
      <c r="AC531" s="59"/>
      <c r="AD531" s="59"/>
      <c r="AE531" s="59"/>
      <c r="AF531" s="59"/>
      <c r="AG531" s="59"/>
      <c r="AH531" s="59"/>
      <c r="AI531" s="59"/>
      <c r="AJ531" s="59"/>
      <c r="AK531" s="59"/>
      <c r="AL531" s="59"/>
      <c r="AM531" s="59"/>
    </row>
    <row r="532" customFormat="false" ht="27.75" hidden="false" customHeight="true" outlineLevel="0" collapsed="false">
      <c r="B532" s="60"/>
      <c r="C532" s="61" t="n">
        <v>7</v>
      </c>
      <c r="D532" s="62" t="s">
        <v>100</v>
      </c>
      <c r="E532" s="62"/>
      <c r="F532" s="62"/>
      <c r="G532" s="62"/>
      <c r="H532" s="62"/>
      <c r="J532" s="60"/>
      <c r="K532" s="61" t="n">
        <v>8</v>
      </c>
      <c r="L532" s="62" t="s">
        <v>101</v>
      </c>
      <c r="M532" s="62"/>
      <c r="N532" s="62"/>
      <c r="O532" s="62"/>
      <c r="P532" s="62"/>
      <c r="R532" s="60"/>
      <c r="S532" s="61" t="n">
        <v>9</v>
      </c>
      <c r="T532" s="62" t="s">
        <v>102</v>
      </c>
      <c r="U532" s="62"/>
      <c r="V532" s="62"/>
      <c r="W532" s="62"/>
      <c r="X532" s="62"/>
      <c r="Z532" s="60"/>
      <c r="AA532" s="61" t="n">
        <v>10</v>
      </c>
      <c r="AB532" s="62" t="s">
        <v>103</v>
      </c>
      <c r="AC532" s="62"/>
      <c r="AD532" s="62"/>
      <c r="AE532" s="62"/>
      <c r="AF532" s="62"/>
      <c r="AH532" s="60"/>
      <c r="AI532" s="61" t="n">
        <v>11</v>
      </c>
      <c r="AJ532" s="62" t="s">
        <v>104</v>
      </c>
      <c r="AK532" s="62"/>
      <c r="AL532" s="62"/>
      <c r="AM532" s="62"/>
    </row>
    <row r="533" customFormat="false" ht="25.5" hidden="false" customHeight="true" outlineLevel="0" collapsed="false">
      <c r="B533" s="63"/>
      <c r="C533" s="64"/>
      <c r="D533" s="64"/>
      <c r="E533" s="64"/>
      <c r="F533" s="64"/>
      <c r="G533" s="64"/>
      <c r="H533" s="65"/>
      <c r="J533" s="63"/>
      <c r="K533" s="64"/>
      <c r="L533" s="64"/>
      <c r="M533" s="64"/>
      <c r="N533" s="64"/>
      <c r="O533" s="64"/>
      <c r="P533" s="65"/>
      <c r="R533" s="63"/>
      <c r="S533" s="64"/>
      <c r="T533" s="64"/>
      <c r="U533" s="64"/>
      <c r="V533" s="64"/>
      <c r="W533" s="64"/>
      <c r="X533" s="65"/>
      <c r="Z533" s="63"/>
      <c r="AA533" s="64"/>
      <c r="AB533" s="64"/>
      <c r="AC533" s="64"/>
      <c r="AD533" s="64"/>
      <c r="AE533" s="64"/>
      <c r="AF533" s="65"/>
      <c r="AH533" s="63"/>
      <c r="AI533" s="64"/>
      <c r="AJ533" s="64"/>
      <c r="AK533" s="64"/>
      <c r="AL533" s="64"/>
      <c r="AM533" s="65"/>
    </row>
    <row r="534" customFormat="false" ht="6" hidden="false" customHeight="true" outlineLevel="0" collapsed="false">
      <c r="B534" s="67"/>
      <c r="C534" s="68"/>
      <c r="D534" s="68"/>
      <c r="E534" s="68"/>
      <c r="F534" s="68"/>
      <c r="G534" s="68"/>
      <c r="H534" s="69"/>
      <c r="J534" s="67"/>
      <c r="K534" s="68"/>
      <c r="L534" s="68"/>
      <c r="M534" s="68"/>
      <c r="N534" s="68"/>
      <c r="O534" s="68"/>
      <c r="P534" s="69"/>
      <c r="R534" s="67"/>
      <c r="S534" s="68"/>
      <c r="T534" s="68"/>
      <c r="U534" s="68"/>
      <c r="V534" s="68"/>
      <c r="W534" s="68"/>
      <c r="X534" s="69"/>
      <c r="Z534" s="67"/>
      <c r="AA534" s="68"/>
      <c r="AB534" s="68"/>
      <c r="AC534" s="68"/>
      <c r="AD534" s="68"/>
      <c r="AE534" s="68"/>
      <c r="AF534" s="69"/>
      <c r="AH534" s="67"/>
      <c r="AI534" s="68"/>
      <c r="AJ534" s="68"/>
      <c r="AK534" s="68"/>
      <c r="AL534" s="68"/>
      <c r="AM534" s="69"/>
    </row>
    <row r="535" customFormat="false" ht="9.75" hidden="false" customHeight="true" outlineLevel="0" collapsed="false"/>
    <row r="536" customFormat="false" ht="21.75" hidden="false" customHeight="true" outlineLevel="0" collapsed="false">
      <c r="B536" s="6"/>
      <c r="C536" s="19" t="s">
        <v>105</v>
      </c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59" t="s">
        <v>106</v>
      </c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  <c r="AF536" s="59"/>
      <c r="AG536" s="59"/>
      <c r="AH536" s="59"/>
      <c r="AI536" s="59"/>
      <c r="AJ536" s="59"/>
      <c r="AK536" s="59"/>
      <c r="AL536" s="59"/>
      <c r="AM536" s="59"/>
    </row>
    <row r="537" customFormat="false" ht="24" hidden="false" customHeight="true" outlineLevel="0" collapsed="false"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  <c r="AA537" s="72"/>
      <c r="AB537" s="72"/>
      <c r="AC537" s="72"/>
      <c r="AD537" s="72"/>
      <c r="AE537" s="72"/>
      <c r="AF537" s="72"/>
      <c r="AG537" s="72"/>
      <c r="AH537" s="72"/>
      <c r="AI537" s="72"/>
      <c r="AJ537" s="72"/>
      <c r="AK537" s="72"/>
      <c r="AL537" s="72"/>
      <c r="AM537" s="72"/>
    </row>
    <row r="538" customFormat="false" ht="24" hidden="false" customHeight="true" outlineLevel="0" collapsed="false"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  <c r="AA538" s="72"/>
      <c r="AB538" s="72"/>
      <c r="AC538" s="72"/>
      <c r="AD538" s="72"/>
      <c r="AE538" s="72"/>
      <c r="AF538" s="72"/>
      <c r="AG538" s="72"/>
      <c r="AH538" s="72"/>
      <c r="AI538" s="72"/>
      <c r="AJ538" s="72"/>
      <c r="AK538" s="72"/>
      <c r="AL538" s="72"/>
      <c r="AM538" s="72"/>
    </row>
    <row r="539" customFormat="false" ht="24" hidden="false" customHeight="true" outlineLevel="0" collapsed="false"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  <c r="AA539" s="72"/>
      <c r="AB539" s="72"/>
      <c r="AC539" s="72"/>
      <c r="AD539" s="72"/>
      <c r="AE539" s="72"/>
      <c r="AF539" s="72"/>
      <c r="AG539" s="72"/>
      <c r="AH539" s="72"/>
      <c r="AI539" s="72"/>
      <c r="AJ539" s="72"/>
      <c r="AK539" s="72"/>
      <c r="AL539" s="72"/>
      <c r="AM539" s="72"/>
    </row>
    <row r="540" customFormat="false" ht="295.5" hidden="false" customHeight="true" outlineLevel="0" collapsed="false"/>
    <row r="541" customFormat="false" ht="6" hidden="false" customHeight="true" outlineLevel="0" collapsed="false"/>
    <row r="542" customFormat="false" ht="19.5" hidden="false" customHeight="true" outlineLevel="0" collapsed="false">
      <c r="B542" s="73" t="s">
        <v>107</v>
      </c>
      <c r="C542" s="73"/>
      <c r="D542" s="73"/>
      <c r="E542" s="73"/>
      <c r="F542" s="73"/>
      <c r="G542" s="73"/>
      <c r="H542" s="73"/>
      <c r="I542" s="73"/>
      <c r="J542" s="73"/>
      <c r="K542" s="73"/>
      <c r="L542" s="74" t="s">
        <v>108</v>
      </c>
      <c r="M542" s="74"/>
      <c r="N542" s="74"/>
      <c r="O542" s="74"/>
      <c r="P542" s="74"/>
      <c r="Q542" s="74"/>
      <c r="R542" s="74"/>
      <c r="S542" s="74"/>
      <c r="U542" s="73" t="s">
        <v>109</v>
      </c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4" t="s">
        <v>108</v>
      </c>
      <c r="AG542" s="74"/>
      <c r="AH542" s="74"/>
      <c r="AI542" s="74"/>
      <c r="AJ542" s="74"/>
      <c r="AK542" s="74"/>
      <c r="AL542" s="74"/>
      <c r="AM542" s="74"/>
    </row>
    <row r="543" customFormat="false" ht="9.75" hidden="false" customHeight="true" outlineLevel="0" collapsed="false"/>
    <row r="544" customFormat="false" ht="18" hidden="false" customHeight="true" outlineLevel="0" collapsed="false">
      <c r="B544" s="75" t="s">
        <v>110</v>
      </c>
      <c r="C544" s="75"/>
      <c r="D544" s="75"/>
      <c r="E544" s="75"/>
      <c r="F544" s="75"/>
      <c r="G544" s="75"/>
      <c r="H544" s="75"/>
      <c r="I544" s="75"/>
      <c r="J544" s="75"/>
      <c r="K544" s="75"/>
      <c r="L544" s="75"/>
      <c r="M544" s="75"/>
      <c r="N544" s="75"/>
      <c r="O544" s="75"/>
      <c r="P544" s="75"/>
      <c r="Q544" s="75"/>
      <c r="R544" s="75"/>
      <c r="S544" s="75"/>
      <c r="T544" s="76" t="s">
        <v>111</v>
      </c>
      <c r="U544" s="76"/>
      <c r="V544" s="76"/>
      <c r="W544" s="76"/>
      <c r="X544" s="76"/>
      <c r="Y544" s="76"/>
      <c r="Z544" s="76"/>
      <c r="AA544" s="76"/>
      <c r="AB544" s="76"/>
      <c r="AC544" s="76"/>
      <c r="AD544" s="76"/>
      <c r="AE544" s="76"/>
      <c r="AF544" s="76"/>
      <c r="AG544" s="76"/>
      <c r="AH544" s="76"/>
      <c r="AI544" s="76"/>
      <c r="AJ544" s="76"/>
      <c r="AK544" s="76"/>
      <c r="AL544" s="76"/>
      <c r="AM544" s="76"/>
    </row>
    <row r="545" customFormat="false" ht="7.5" hidden="false" customHeight="true" outlineLevel="0" collapsed="false"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</row>
    <row r="546" customFormat="false" ht="19.5" hidden="false" customHeight="true" outlineLevel="0" collapsed="false">
      <c r="B546" s="1"/>
      <c r="C546" s="51" t="s">
        <v>78</v>
      </c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  <c r="AA546" s="51"/>
      <c r="AB546" s="1"/>
      <c r="AC546" s="1"/>
      <c r="AD546" s="1"/>
      <c r="AE546" s="52" t="s">
        <v>79</v>
      </c>
      <c r="AF546" s="52"/>
      <c r="AG546" s="52"/>
      <c r="AH546" s="52"/>
      <c r="AI546" s="52"/>
      <c r="AJ546" s="52"/>
      <c r="AK546" s="52"/>
      <c r="AL546" s="1"/>
      <c r="AM546" s="1"/>
    </row>
    <row r="547" customFormat="false" ht="30" hidden="false" customHeight="true" outlineLevel="0" collapsed="false">
      <c r="B547" s="1"/>
      <c r="C547" s="53" t="s">
        <v>80</v>
      </c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4" t="s">
        <v>81</v>
      </c>
      <c r="AC547" s="54"/>
      <c r="AD547" s="54"/>
      <c r="AE547" s="54"/>
      <c r="AF547" s="54"/>
      <c r="AG547" s="54"/>
      <c r="AH547" s="54"/>
      <c r="AI547" s="54"/>
      <c r="AJ547" s="54"/>
      <c r="AK547" s="54"/>
      <c r="AL547" s="1"/>
      <c r="AM547" s="1"/>
    </row>
    <row r="548" customFormat="false" ht="15.75" hidden="false" customHeight="true" outlineLevel="0" collapsed="false">
      <c r="B548" s="1"/>
      <c r="C548" s="55" t="s">
        <v>82</v>
      </c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</row>
    <row r="549" customFormat="false" ht="9.75" hidden="false" customHeight="true" outlineLevel="0" collapsed="false"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</row>
    <row r="550" customFormat="false" ht="3.75" hidden="false" customHeight="true" outlineLevel="0" collapsed="false"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</row>
    <row r="551" customFormat="false" ht="7.5" hidden="false" customHeight="true" outlineLevel="0" collapsed="false"/>
    <row r="552" customFormat="false" ht="13.5" hidden="false" customHeight="true" outlineLevel="0" collapsed="false">
      <c r="B552" s="56" t="s">
        <v>83</v>
      </c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P552" s="56" t="s">
        <v>84</v>
      </c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C552" s="56" t="s">
        <v>85</v>
      </c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</row>
    <row r="553" customFormat="false" ht="21.75" hidden="false" customHeight="true" outlineLevel="0" collapsed="false">
      <c r="B553" s="57" t="str">
        <f aca="false">Dashboard!$C$6</f>
        <v>Bindhya TB</v>
      </c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P553" s="57" t="str">
        <f aca="false">Dashboard!$C$7</f>
        <v>Tourism &amp; Business</v>
      </c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C553" s="58" t="n">
        <f aca="false">Cal!A18</f>
        <v>46312</v>
      </c>
      <c r="AD553" s="58"/>
      <c r="AE553" s="58"/>
      <c r="AF553" s="58"/>
      <c r="AG553" s="58"/>
      <c r="AH553" s="58"/>
      <c r="AI553" s="58"/>
      <c r="AJ553" s="58"/>
      <c r="AK553" s="58"/>
      <c r="AL553" s="58"/>
      <c r="AM553" s="58"/>
    </row>
    <row r="554" customFormat="false" ht="9.75" hidden="false" customHeight="true" outlineLevel="0" collapsed="false"/>
    <row r="555" customFormat="false" ht="21.75" hidden="false" customHeight="true" outlineLevel="0" collapsed="false">
      <c r="B555" s="6"/>
      <c r="C555" s="19" t="s">
        <v>86</v>
      </c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59" t="s">
        <v>87</v>
      </c>
      <c r="Q555" s="59"/>
      <c r="R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  <c r="AF555" s="59"/>
      <c r="AG555" s="59"/>
      <c r="AH555" s="59"/>
      <c r="AI555" s="59"/>
      <c r="AJ555" s="59"/>
      <c r="AK555" s="59"/>
      <c r="AL555" s="59"/>
      <c r="AM555" s="59"/>
    </row>
    <row r="556" customFormat="false" ht="19.5" hidden="false" customHeight="true" outlineLevel="0" collapsed="false">
      <c r="B556" s="60"/>
      <c r="C556" s="61" t="n">
        <v>1</v>
      </c>
      <c r="D556" s="62" t="s">
        <v>88</v>
      </c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V556" s="60"/>
      <c r="W556" s="61" t="n">
        <v>2</v>
      </c>
      <c r="X556" s="62" t="s">
        <v>89</v>
      </c>
      <c r="Y556" s="62"/>
      <c r="Z556" s="62"/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  <c r="AK556" s="62"/>
      <c r="AL556" s="62"/>
      <c r="AM556" s="62"/>
    </row>
    <row r="557" customFormat="false" ht="49.5" hidden="false" customHeight="true" outlineLevel="0" collapsed="false">
      <c r="B557" s="63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5"/>
      <c r="V557" s="63"/>
      <c r="W557" s="77"/>
      <c r="X557" s="77"/>
      <c r="Y557" s="77"/>
      <c r="Z557" s="77"/>
      <c r="AA557" s="77"/>
      <c r="AB557" s="77"/>
      <c r="AC557" s="77"/>
      <c r="AD557" s="77"/>
      <c r="AE557" s="77"/>
      <c r="AF557" s="77"/>
      <c r="AG557" s="77"/>
      <c r="AH557" s="77"/>
      <c r="AI557" s="77"/>
      <c r="AJ557" s="77"/>
      <c r="AK557" s="77"/>
      <c r="AL557" s="77"/>
      <c r="AM557" s="65"/>
    </row>
    <row r="558" customFormat="false" ht="6" hidden="false" customHeight="true" outlineLevel="0" collapsed="false">
      <c r="B558" s="67"/>
      <c r="C558" s="68"/>
      <c r="D558" s="68"/>
      <c r="E558" s="68"/>
      <c r="F558" s="68"/>
      <c r="G558" s="68"/>
      <c r="H558" s="68"/>
      <c r="I558" s="68"/>
      <c r="J558" s="68"/>
      <c r="K558" s="68"/>
      <c r="L558" s="68"/>
      <c r="M558" s="68"/>
      <c r="N558" s="68"/>
      <c r="O558" s="68"/>
      <c r="P558" s="68"/>
      <c r="Q558" s="68"/>
      <c r="R558" s="68"/>
      <c r="S558" s="68"/>
      <c r="T558" s="69"/>
      <c r="V558" s="67"/>
      <c r="W558" s="68"/>
      <c r="X558" s="68"/>
      <c r="Y558" s="68"/>
      <c r="Z558" s="68"/>
      <c r="AA558" s="68"/>
      <c r="AB558" s="68"/>
      <c r="AC558" s="68"/>
      <c r="AD558" s="68"/>
      <c r="AE558" s="68"/>
      <c r="AF558" s="68"/>
      <c r="AG558" s="68"/>
      <c r="AH558" s="68"/>
      <c r="AI558" s="68"/>
      <c r="AJ558" s="68"/>
      <c r="AK558" s="68"/>
      <c r="AL558" s="68"/>
      <c r="AM558" s="69"/>
    </row>
    <row r="559" customFormat="false" ht="9.75" hidden="false" customHeight="true" outlineLevel="0" collapsed="false"/>
    <row r="560" customFormat="false" ht="21.75" hidden="false" customHeight="true" outlineLevel="0" collapsed="false">
      <c r="B560" s="6"/>
      <c r="C560" s="19" t="s">
        <v>91</v>
      </c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59" t="s">
        <v>92</v>
      </c>
      <c r="W560" s="59"/>
      <c r="X560" s="59"/>
      <c r="Y560" s="59"/>
      <c r="Z560" s="59"/>
      <c r="AA560" s="59"/>
      <c r="AB560" s="59"/>
      <c r="AC560" s="59"/>
      <c r="AD560" s="59"/>
      <c r="AE560" s="59"/>
      <c r="AF560" s="59"/>
      <c r="AG560" s="59"/>
      <c r="AH560" s="59"/>
      <c r="AI560" s="59"/>
      <c r="AJ560" s="59"/>
      <c r="AK560" s="59"/>
      <c r="AL560" s="59"/>
      <c r="AM560" s="59"/>
    </row>
    <row r="561" customFormat="false" ht="27.75" hidden="false" customHeight="true" outlineLevel="0" collapsed="false">
      <c r="B561" s="60"/>
      <c r="C561" s="61" t="n">
        <v>3</v>
      </c>
      <c r="D561" s="62" t="s">
        <v>93</v>
      </c>
      <c r="E561" s="62"/>
      <c r="F561" s="62"/>
      <c r="G561" s="62"/>
      <c r="H561" s="62"/>
      <c r="I561" s="62"/>
      <c r="J561" s="62"/>
      <c r="L561" s="60"/>
      <c r="M561" s="61" t="n">
        <v>4</v>
      </c>
      <c r="N561" s="62" t="s">
        <v>94</v>
      </c>
      <c r="O561" s="62"/>
      <c r="P561" s="62"/>
      <c r="Q561" s="62"/>
      <c r="R561" s="62"/>
      <c r="S561" s="62"/>
      <c r="T561" s="62"/>
      <c r="V561" s="60"/>
      <c r="W561" s="61" t="n">
        <v>5</v>
      </c>
      <c r="X561" s="62" t="s">
        <v>95</v>
      </c>
      <c r="Y561" s="62"/>
      <c r="Z561" s="62"/>
      <c r="AA561" s="62"/>
      <c r="AB561" s="62"/>
      <c r="AC561" s="62"/>
      <c r="AD561" s="62"/>
      <c r="AF561" s="60"/>
      <c r="AG561" s="61" t="n">
        <v>6</v>
      </c>
      <c r="AH561" s="62" t="s">
        <v>96</v>
      </c>
      <c r="AI561" s="62"/>
      <c r="AJ561" s="62"/>
      <c r="AK561" s="62"/>
      <c r="AL561" s="62"/>
      <c r="AM561" s="62"/>
    </row>
    <row r="562" customFormat="false" ht="25.5" hidden="false" customHeight="true" outlineLevel="0" collapsed="false">
      <c r="B562" s="63"/>
      <c r="C562" s="64"/>
      <c r="D562" s="64"/>
      <c r="E562" s="64"/>
      <c r="F562" s="64"/>
      <c r="G562" s="64"/>
      <c r="H562" s="64"/>
      <c r="I562" s="64"/>
      <c r="J562" s="65"/>
      <c r="L562" s="63"/>
      <c r="M562" s="64"/>
      <c r="N562" s="64"/>
      <c r="O562" s="64"/>
      <c r="P562" s="64"/>
      <c r="Q562" s="64"/>
      <c r="R562" s="64"/>
      <c r="S562" s="64"/>
      <c r="T562" s="65"/>
      <c r="V562" s="63"/>
      <c r="W562" s="70"/>
      <c r="X562" s="70"/>
      <c r="Y562" s="70"/>
      <c r="Z562" s="70"/>
      <c r="AA562" s="70"/>
      <c r="AB562" s="70"/>
      <c r="AC562" s="70"/>
      <c r="AD562" s="65"/>
      <c r="AF562" s="63"/>
      <c r="AG562" s="64"/>
      <c r="AH562" s="64"/>
      <c r="AI562" s="64"/>
      <c r="AJ562" s="64"/>
      <c r="AK562" s="64"/>
      <c r="AL562" s="64"/>
      <c r="AM562" s="65"/>
    </row>
    <row r="563" customFormat="false" ht="6" hidden="false" customHeight="true" outlineLevel="0" collapsed="false">
      <c r="B563" s="67"/>
      <c r="C563" s="68"/>
      <c r="D563" s="68"/>
      <c r="E563" s="68"/>
      <c r="F563" s="68"/>
      <c r="G563" s="68"/>
      <c r="H563" s="68"/>
      <c r="I563" s="68"/>
      <c r="J563" s="69"/>
      <c r="L563" s="67"/>
      <c r="M563" s="68"/>
      <c r="N563" s="68"/>
      <c r="O563" s="68"/>
      <c r="P563" s="68"/>
      <c r="Q563" s="68"/>
      <c r="R563" s="68"/>
      <c r="S563" s="68"/>
      <c r="T563" s="69"/>
      <c r="V563" s="67"/>
      <c r="W563" s="68"/>
      <c r="X563" s="68"/>
      <c r="Y563" s="68"/>
      <c r="Z563" s="68"/>
      <c r="AA563" s="68"/>
      <c r="AB563" s="68"/>
      <c r="AC563" s="68"/>
      <c r="AD563" s="69"/>
      <c r="AF563" s="67"/>
      <c r="AG563" s="68"/>
      <c r="AH563" s="68"/>
      <c r="AI563" s="68"/>
      <c r="AJ563" s="68"/>
      <c r="AK563" s="68"/>
      <c r="AL563" s="68"/>
      <c r="AM563" s="69"/>
    </row>
    <row r="564" customFormat="false" ht="9.75" hidden="false" customHeight="true" outlineLevel="0" collapsed="false"/>
    <row r="565" customFormat="false" ht="21.75" hidden="false" customHeight="true" outlineLevel="0" collapsed="false">
      <c r="B565" s="6"/>
      <c r="C565" s="19" t="s">
        <v>98</v>
      </c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59" t="s">
        <v>99</v>
      </c>
      <c r="W565" s="59"/>
      <c r="X565" s="59"/>
      <c r="Y565" s="59"/>
      <c r="Z565" s="59"/>
      <c r="AA565" s="59"/>
      <c r="AB565" s="59"/>
      <c r="AC565" s="59"/>
      <c r="AD565" s="59"/>
      <c r="AE565" s="59"/>
      <c r="AF565" s="59"/>
      <c r="AG565" s="59"/>
      <c r="AH565" s="59"/>
      <c r="AI565" s="59"/>
      <c r="AJ565" s="59"/>
      <c r="AK565" s="59"/>
      <c r="AL565" s="59"/>
      <c r="AM565" s="59"/>
    </row>
    <row r="566" customFormat="false" ht="27.75" hidden="false" customHeight="true" outlineLevel="0" collapsed="false">
      <c r="B566" s="60"/>
      <c r="C566" s="61" t="n">
        <v>7</v>
      </c>
      <c r="D566" s="62" t="s">
        <v>100</v>
      </c>
      <c r="E566" s="62"/>
      <c r="F566" s="62"/>
      <c r="G566" s="62"/>
      <c r="H566" s="62"/>
      <c r="J566" s="60"/>
      <c r="K566" s="61" t="n">
        <v>8</v>
      </c>
      <c r="L566" s="62" t="s">
        <v>101</v>
      </c>
      <c r="M566" s="62"/>
      <c r="N566" s="62"/>
      <c r="O566" s="62"/>
      <c r="P566" s="62"/>
      <c r="R566" s="60"/>
      <c r="S566" s="61" t="n">
        <v>9</v>
      </c>
      <c r="T566" s="62" t="s">
        <v>102</v>
      </c>
      <c r="U566" s="62"/>
      <c r="V566" s="62"/>
      <c r="W566" s="62"/>
      <c r="X566" s="62"/>
      <c r="Z566" s="60"/>
      <c r="AA566" s="61" t="n">
        <v>10</v>
      </c>
      <c r="AB566" s="62" t="s">
        <v>103</v>
      </c>
      <c r="AC566" s="62"/>
      <c r="AD566" s="62"/>
      <c r="AE566" s="62"/>
      <c r="AF566" s="62"/>
      <c r="AH566" s="60"/>
      <c r="AI566" s="61" t="n">
        <v>11</v>
      </c>
      <c r="AJ566" s="62" t="s">
        <v>104</v>
      </c>
      <c r="AK566" s="62"/>
      <c r="AL566" s="62"/>
      <c r="AM566" s="62"/>
    </row>
    <row r="567" customFormat="false" ht="25.5" hidden="false" customHeight="true" outlineLevel="0" collapsed="false">
      <c r="B567" s="63"/>
      <c r="C567" s="64"/>
      <c r="D567" s="64"/>
      <c r="E567" s="64"/>
      <c r="F567" s="64"/>
      <c r="G567" s="64"/>
      <c r="H567" s="65"/>
      <c r="J567" s="63"/>
      <c r="K567" s="64"/>
      <c r="L567" s="64"/>
      <c r="M567" s="64"/>
      <c r="N567" s="64"/>
      <c r="O567" s="64"/>
      <c r="P567" s="65"/>
      <c r="R567" s="63"/>
      <c r="S567" s="64"/>
      <c r="T567" s="64"/>
      <c r="U567" s="64"/>
      <c r="V567" s="64"/>
      <c r="W567" s="64"/>
      <c r="X567" s="65"/>
      <c r="Z567" s="63"/>
      <c r="AA567" s="64"/>
      <c r="AB567" s="64"/>
      <c r="AC567" s="64"/>
      <c r="AD567" s="64"/>
      <c r="AE567" s="64"/>
      <c r="AF567" s="65"/>
      <c r="AH567" s="63"/>
      <c r="AI567" s="64"/>
      <c r="AJ567" s="64"/>
      <c r="AK567" s="64"/>
      <c r="AL567" s="64"/>
      <c r="AM567" s="65"/>
    </row>
    <row r="568" customFormat="false" ht="6" hidden="false" customHeight="true" outlineLevel="0" collapsed="false">
      <c r="B568" s="67"/>
      <c r="C568" s="68"/>
      <c r="D568" s="68"/>
      <c r="E568" s="68"/>
      <c r="F568" s="68"/>
      <c r="G568" s="68"/>
      <c r="H568" s="69"/>
      <c r="J568" s="67"/>
      <c r="K568" s="68"/>
      <c r="L568" s="68"/>
      <c r="M568" s="68"/>
      <c r="N568" s="68"/>
      <c r="O568" s="68"/>
      <c r="P568" s="69"/>
      <c r="R568" s="67"/>
      <c r="S568" s="68"/>
      <c r="T568" s="68"/>
      <c r="U568" s="68"/>
      <c r="V568" s="68"/>
      <c r="W568" s="68"/>
      <c r="X568" s="69"/>
      <c r="Z568" s="67"/>
      <c r="AA568" s="68"/>
      <c r="AB568" s="68"/>
      <c r="AC568" s="68"/>
      <c r="AD568" s="68"/>
      <c r="AE568" s="68"/>
      <c r="AF568" s="69"/>
      <c r="AH568" s="67"/>
      <c r="AI568" s="68"/>
      <c r="AJ568" s="68"/>
      <c r="AK568" s="68"/>
      <c r="AL568" s="68"/>
      <c r="AM568" s="69"/>
    </row>
    <row r="569" customFormat="false" ht="9.75" hidden="false" customHeight="true" outlineLevel="0" collapsed="false"/>
    <row r="570" customFormat="false" ht="21.75" hidden="false" customHeight="true" outlineLevel="0" collapsed="false">
      <c r="B570" s="6"/>
      <c r="C570" s="19" t="s">
        <v>105</v>
      </c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59" t="s">
        <v>106</v>
      </c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  <c r="AF570" s="59"/>
      <c r="AG570" s="59"/>
      <c r="AH570" s="59"/>
      <c r="AI570" s="59"/>
      <c r="AJ570" s="59"/>
      <c r="AK570" s="59"/>
      <c r="AL570" s="59"/>
      <c r="AM570" s="59"/>
    </row>
    <row r="571" customFormat="false" ht="24" hidden="false" customHeight="true" outlineLevel="0" collapsed="false"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  <c r="AA571" s="72"/>
      <c r="AB571" s="72"/>
      <c r="AC571" s="72"/>
      <c r="AD571" s="72"/>
      <c r="AE571" s="72"/>
      <c r="AF571" s="72"/>
      <c r="AG571" s="72"/>
      <c r="AH571" s="72"/>
      <c r="AI571" s="72"/>
      <c r="AJ571" s="72"/>
      <c r="AK571" s="72"/>
      <c r="AL571" s="72"/>
      <c r="AM571" s="72"/>
    </row>
    <row r="572" customFormat="false" ht="24" hidden="false" customHeight="true" outlineLevel="0" collapsed="false"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  <c r="AA572" s="72"/>
      <c r="AB572" s="72"/>
      <c r="AC572" s="72"/>
      <c r="AD572" s="72"/>
      <c r="AE572" s="72"/>
      <c r="AF572" s="72"/>
      <c r="AG572" s="72"/>
      <c r="AH572" s="72"/>
      <c r="AI572" s="72"/>
      <c r="AJ572" s="72"/>
      <c r="AK572" s="72"/>
      <c r="AL572" s="72"/>
      <c r="AM572" s="72"/>
    </row>
    <row r="573" customFormat="false" ht="24" hidden="false" customHeight="true" outlineLevel="0" collapsed="false"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  <c r="AA573" s="72"/>
      <c r="AB573" s="72"/>
      <c r="AC573" s="72"/>
      <c r="AD573" s="72"/>
      <c r="AE573" s="72"/>
      <c r="AF573" s="72"/>
      <c r="AG573" s="72"/>
      <c r="AH573" s="72"/>
      <c r="AI573" s="72"/>
      <c r="AJ573" s="72"/>
      <c r="AK573" s="72"/>
      <c r="AL573" s="72"/>
      <c r="AM573" s="72"/>
    </row>
    <row r="574" customFormat="false" ht="295.5" hidden="false" customHeight="true" outlineLevel="0" collapsed="false"/>
    <row r="575" customFormat="false" ht="6" hidden="false" customHeight="true" outlineLevel="0" collapsed="false"/>
    <row r="576" customFormat="false" ht="19.5" hidden="false" customHeight="true" outlineLevel="0" collapsed="false">
      <c r="B576" s="73" t="s">
        <v>107</v>
      </c>
      <c r="C576" s="73"/>
      <c r="D576" s="73"/>
      <c r="E576" s="73"/>
      <c r="F576" s="73"/>
      <c r="G576" s="73"/>
      <c r="H576" s="73"/>
      <c r="I576" s="73"/>
      <c r="J576" s="73"/>
      <c r="K576" s="73"/>
      <c r="L576" s="74" t="s">
        <v>108</v>
      </c>
      <c r="M576" s="74"/>
      <c r="N576" s="74"/>
      <c r="O576" s="74"/>
      <c r="P576" s="74"/>
      <c r="Q576" s="74"/>
      <c r="R576" s="74"/>
      <c r="S576" s="74"/>
      <c r="U576" s="73" t="s">
        <v>109</v>
      </c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4" t="s">
        <v>108</v>
      </c>
      <c r="AG576" s="74"/>
      <c r="AH576" s="74"/>
      <c r="AI576" s="74"/>
      <c r="AJ576" s="74"/>
      <c r="AK576" s="74"/>
      <c r="AL576" s="74"/>
      <c r="AM576" s="74"/>
    </row>
    <row r="577" customFormat="false" ht="9.75" hidden="false" customHeight="true" outlineLevel="0" collapsed="false"/>
    <row r="578" customFormat="false" ht="18" hidden="false" customHeight="true" outlineLevel="0" collapsed="false">
      <c r="B578" s="75" t="s">
        <v>110</v>
      </c>
      <c r="C578" s="75"/>
      <c r="D578" s="75"/>
      <c r="E578" s="75"/>
      <c r="F578" s="75"/>
      <c r="G578" s="75"/>
      <c r="H578" s="75"/>
      <c r="I578" s="75"/>
      <c r="J578" s="75"/>
      <c r="K578" s="75"/>
      <c r="L578" s="75"/>
      <c r="M578" s="75"/>
      <c r="N578" s="75"/>
      <c r="O578" s="75"/>
      <c r="P578" s="75"/>
      <c r="Q578" s="75"/>
      <c r="R578" s="75"/>
      <c r="S578" s="75"/>
      <c r="T578" s="76" t="s">
        <v>111</v>
      </c>
      <c r="U578" s="76"/>
      <c r="V578" s="76"/>
      <c r="W578" s="76"/>
      <c r="X578" s="76"/>
      <c r="Y578" s="76"/>
      <c r="Z578" s="76"/>
      <c r="AA578" s="76"/>
      <c r="AB578" s="76"/>
      <c r="AC578" s="76"/>
      <c r="AD578" s="76"/>
      <c r="AE578" s="76"/>
      <c r="AF578" s="76"/>
      <c r="AG578" s="76"/>
      <c r="AH578" s="76"/>
      <c r="AI578" s="76"/>
      <c r="AJ578" s="76"/>
      <c r="AK578" s="76"/>
      <c r="AL578" s="76"/>
      <c r="AM578" s="76"/>
    </row>
    <row r="579" customFormat="false" ht="7.5" hidden="false" customHeight="true" outlineLevel="0" collapsed="false"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</row>
    <row r="580" customFormat="false" ht="19.5" hidden="false" customHeight="true" outlineLevel="0" collapsed="false">
      <c r="B580" s="1"/>
      <c r="C580" s="51" t="s">
        <v>78</v>
      </c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  <c r="AA580" s="51"/>
      <c r="AB580" s="1"/>
      <c r="AC580" s="1"/>
      <c r="AD580" s="1"/>
      <c r="AE580" s="52" t="s">
        <v>79</v>
      </c>
      <c r="AF580" s="52"/>
      <c r="AG580" s="52"/>
      <c r="AH580" s="52"/>
      <c r="AI580" s="52"/>
      <c r="AJ580" s="52"/>
      <c r="AK580" s="52"/>
      <c r="AL580" s="1"/>
      <c r="AM580" s="1"/>
    </row>
    <row r="581" customFormat="false" ht="30" hidden="false" customHeight="true" outlineLevel="0" collapsed="false">
      <c r="B581" s="1"/>
      <c r="C581" s="53" t="s">
        <v>80</v>
      </c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4" t="s">
        <v>81</v>
      </c>
      <c r="AC581" s="54"/>
      <c r="AD581" s="54"/>
      <c r="AE581" s="54"/>
      <c r="AF581" s="54"/>
      <c r="AG581" s="54"/>
      <c r="AH581" s="54"/>
      <c r="AI581" s="54"/>
      <c r="AJ581" s="54"/>
      <c r="AK581" s="54"/>
      <c r="AL581" s="1"/>
      <c r="AM581" s="1"/>
    </row>
    <row r="582" customFormat="false" ht="15.75" hidden="false" customHeight="true" outlineLevel="0" collapsed="false">
      <c r="B582" s="1"/>
      <c r="C582" s="55" t="s">
        <v>82</v>
      </c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</row>
    <row r="583" customFormat="false" ht="9.75" hidden="false" customHeight="true" outlineLevel="0" collapsed="false"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</row>
    <row r="584" customFormat="false" ht="3.75" hidden="false" customHeight="true" outlineLevel="0" collapsed="false"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</row>
    <row r="585" customFormat="false" ht="7.5" hidden="false" customHeight="true" outlineLevel="0" collapsed="false"/>
    <row r="586" customFormat="false" ht="13.5" hidden="false" customHeight="true" outlineLevel="0" collapsed="false">
      <c r="B586" s="56" t="s">
        <v>83</v>
      </c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P586" s="56" t="s">
        <v>84</v>
      </c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C586" s="56" t="s">
        <v>85</v>
      </c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</row>
    <row r="587" customFormat="false" ht="21.75" hidden="false" customHeight="true" outlineLevel="0" collapsed="false">
      <c r="B587" s="57" t="str">
        <f aca="false">Dashboard!$C$6</f>
        <v>Bindhya TB</v>
      </c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P587" s="57" t="str">
        <f aca="false">Dashboard!$C$7</f>
        <v>Tourism &amp; Business</v>
      </c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C587" s="58" t="n">
        <f aca="false">Cal!A19</f>
        <v>46313</v>
      </c>
      <c r="AD587" s="58"/>
      <c r="AE587" s="58"/>
      <c r="AF587" s="58"/>
      <c r="AG587" s="58"/>
      <c r="AH587" s="58"/>
      <c r="AI587" s="58"/>
      <c r="AJ587" s="58"/>
      <c r="AK587" s="58"/>
      <c r="AL587" s="58"/>
      <c r="AM587" s="58"/>
    </row>
    <row r="588" customFormat="false" ht="9.75" hidden="false" customHeight="true" outlineLevel="0" collapsed="false"/>
    <row r="589" customFormat="false" ht="21.75" hidden="false" customHeight="true" outlineLevel="0" collapsed="false">
      <c r="B589" s="6"/>
      <c r="C589" s="19" t="s">
        <v>86</v>
      </c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59" t="s">
        <v>87</v>
      </c>
      <c r="Q589" s="59"/>
      <c r="R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  <c r="AF589" s="59"/>
      <c r="AG589" s="59"/>
      <c r="AH589" s="59"/>
      <c r="AI589" s="59"/>
      <c r="AJ589" s="59"/>
      <c r="AK589" s="59"/>
      <c r="AL589" s="59"/>
      <c r="AM589" s="59"/>
    </row>
    <row r="590" customFormat="false" ht="19.5" hidden="false" customHeight="true" outlineLevel="0" collapsed="false">
      <c r="B590" s="60"/>
      <c r="C590" s="61" t="n">
        <v>1</v>
      </c>
      <c r="D590" s="62" t="s">
        <v>88</v>
      </c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V590" s="60"/>
      <c r="W590" s="61" t="n">
        <v>2</v>
      </c>
      <c r="X590" s="62" t="s">
        <v>89</v>
      </c>
      <c r="Y590" s="62"/>
      <c r="Z590" s="62"/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  <c r="AK590" s="62"/>
      <c r="AL590" s="62"/>
      <c r="AM590" s="62"/>
    </row>
    <row r="591" customFormat="false" ht="49.5" hidden="false" customHeight="true" outlineLevel="0" collapsed="false">
      <c r="B591" s="63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5"/>
      <c r="V591" s="63"/>
      <c r="W591" s="77"/>
      <c r="X591" s="77"/>
      <c r="Y591" s="77"/>
      <c r="Z591" s="77"/>
      <c r="AA591" s="77"/>
      <c r="AB591" s="77"/>
      <c r="AC591" s="77"/>
      <c r="AD591" s="77"/>
      <c r="AE591" s="77"/>
      <c r="AF591" s="77"/>
      <c r="AG591" s="77"/>
      <c r="AH591" s="77"/>
      <c r="AI591" s="77"/>
      <c r="AJ591" s="77"/>
      <c r="AK591" s="77"/>
      <c r="AL591" s="77"/>
      <c r="AM591" s="65"/>
    </row>
    <row r="592" customFormat="false" ht="6" hidden="false" customHeight="true" outlineLevel="0" collapsed="false">
      <c r="B592" s="67"/>
      <c r="C592" s="68"/>
      <c r="D592" s="68"/>
      <c r="E592" s="68"/>
      <c r="F592" s="68"/>
      <c r="G592" s="68"/>
      <c r="H592" s="68"/>
      <c r="I592" s="68"/>
      <c r="J592" s="68"/>
      <c r="K592" s="68"/>
      <c r="L592" s="68"/>
      <c r="M592" s="68"/>
      <c r="N592" s="68"/>
      <c r="O592" s="68"/>
      <c r="P592" s="68"/>
      <c r="Q592" s="68"/>
      <c r="R592" s="68"/>
      <c r="S592" s="68"/>
      <c r="T592" s="69"/>
      <c r="V592" s="67"/>
      <c r="W592" s="68"/>
      <c r="X592" s="68"/>
      <c r="Y592" s="68"/>
      <c r="Z592" s="68"/>
      <c r="AA592" s="68"/>
      <c r="AB592" s="68"/>
      <c r="AC592" s="68"/>
      <c r="AD592" s="68"/>
      <c r="AE592" s="68"/>
      <c r="AF592" s="68"/>
      <c r="AG592" s="68"/>
      <c r="AH592" s="68"/>
      <c r="AI592" s="68"/>
      <c r="AJ592" s="68"/>
      <c r="AK592" s="68"/>
      <c r="AL592" s="68"/>
      <c r="AM592" s="69"/>
    </row>
    <row r="593" customFormat="false" ht="9.75" hidden="false" customHeight="true" outlineLevel="0" collapsed="false"/>
    <row r="594" customFormat="false" ht="21.75" hidden="false" customHeight="true" outlineLevel="0" collapsed="false">
      <c r="B594" s="6"/>
      <c r="C594" s="19" t="s">
        <v>91</v>
      </c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59" t="s">
        <v>92</v>
      </c>
      <c r="W594" s="59"/>
      <c r="X594" s="59"/>
      <c r="Y594" s="59"/>
      <c r="Z594" s="59"/>
      <c r="AA594" s="59"/>
      <c r="AB594" s="59"/>
      <c r="AC594" s="59"/>
      <c r="AD594" s="59"/>
      <c r="AE594" s="59"/>
      <c r="AF594" s="59"/>
      <c r="AG594" s="59"/>
      <c r="AH594" s="59"/>
      <c r="AI594" s="59"/>
      <c r="AJ594" s="59"/>
      <c r="AK594" s="59"/>
      <c r="AL594" s="59"/>
      <c r="AM594" s="59"/>
    </row>
    <row r="595" customFormat="false" ht="27.75" hidden="false" customHeight="true" outlineLevel="0" collapsed="false">
      <c r="B595" s="60"/>
      <c r="C595" s="61" t="n">
        <v>3</v>
      </c>
      <c r="D595" s="62" t="s">
        <v>93</v>
      </c>
      <c r="E595" s="62"/>
      <c r="F595" s="62"/>
      <c r="G595" s="62"/>
      <c r="H595" s="62"/>
      <c r="I595" s="62"/>
      <c r="J595" s="62"/>
      <c r="L595" s="60"/>
      <c r="M595" s="61" t="n">
        <v>4</v>
      </c>
      <c r="N595" s="62" t="s">
        <v>94</v>
      </c>
      <c r="O595" s="62"/>
      <c r="P595" s="62"/>
      <c r="Q595" s="62"/>
      <c r="R595" s="62"/>
      <c r="S595" s="62"/>
      <c r="T595" s="62"/>
      <c r="V595" s="60"/>
      <c r="W595" s="61" t="n">
        <v>5</v>
      </c>
      <c r="X595" s="62" t="s">
        <v>95</v>
      </c>
      <c r="Y595" s="62"/>
      <c r="Z595" s="62"/>
      <c r="AA595" s="62"/>
      <c r="AB595" s="62"/>
      <c r="AC595" s="62"/>
      <c r="AD595" s="62"/>
      <c r="AF595" s="60"/>
      <c r="AG595" s="61" t="n">
        <v>6</v>
      </c>
      <c r="AH595" s="62" t="s">
        <v>96</v>
      </c>
      <c r="AI595" s="62"/>
      <c r="AJ595" s="62"/>
      <c r="AK595" s="62"/>
      <c r="AL595" s="62"/>
      <c r="AM595" s="62"/>
    </row>
    <row r="596" customFormat="false" ht="25.5" hidden="false" customHeight="true" outlineLevel="0" collapsed="false">
      <c r="B596" s="63"/>
      <c r="C596" s="64"/>
      <c r="D596" s="64"/>
      <c r="E596" s="64"/>
      <c r="F596" s="64"/>
      <c r="G596" s="64"/>
      <c r="H596" s="64"/>
      <c r="I596" s="64"/>
      <c r="J596" s="65"/>
      <c r="L596" s="63"/>
      <c r="M596" s="64"/>
      <c r="N596" s="64"/>
      <c r="O596" s="64"/>
      <c r="P596" s="64"/>
      <c r="Q596" s="64"/>
      <c r="R596" s="64"/>
      <c r="S596" s="64"/>
      <c r="T596" s="65"/>
      <c r="V596" s="63"/>
      <c r="W596" s="70"/>
      <c r="X596" s="70"/>
      <c r="Y596" s="70"/>
      <c r="Z596" s="70"/>
      <c r="AA596" s="70"/>
      <c r="AB596" s="70"/>
      <c r="AC596" s="70"/>
      <c r="AD596" s="65"/>
      <c r="AF596" s="63"/>
      <c r="AG596" s="64"/>
      <c r="AH596" s="64"/>
      <c r="AI596" s="64"/>
      <c r="AJ596" s="64"/>
      <c r="AK596" s="64"/>
      <c r="AL596" s="64"/>
      <c r="AM596" s="65"/>
    </row>
    <row r="597" customFormat="false" ht="6" hidden="false" customHeight="true" outlineLevel="0" collapsed="false">
      <c r="B597" s="67"/>
      <c r="C597" s="68"/>
      <c r="D597" s="68"/>
      <c r="E597" s="68"/>
      <c r="F597" s="68"/>
      <c r="G597" s="68"/>
      <c r="H597" s="68"/>
      <c r="I597" s="68"/>
      <c r="J597" s="69"/>
      <c r="L597" s="67"/>
      <c r="M597" s="68"/>
      <c r="N597" s="68"/>
      <c r="O597" s="68"/>
      <c r="P597" s="68"/>
      <c r="Q597" s="68"/>
      <c r="R597" s="68"/>
      <c r="S597" s="68"/>
      <c r="T597" s="69"/>
      <c r="V597" s="67"/>
      <c r="W597" s="68"/>
      <c r="X597" s="68"/>
      <c r="Y597" s="68"/>
      <c r="Z597" s="68"/>
      <c r="AA597" s="68"/>
      <c r="AB597" s="68"/>
      <c r="AC597" s="68"/>
      <c r="AD597" s="69"/>
      <c r="AF597" s="67"/>
      <c r="AG597" s="68"/>
      <c r="AH597" s="68"/>
      <c r="AI597" s="68"/>
      <c r="AJ597" s="68"/>
      <c r="AK597" s="68"/>
      <c r="AL597" s="68"/>
      <c r="AM597" s="69"/>
    </row>
    <row r="598" customFormat="false" ht="9.75" hidden="false" customHeight="true" outlineLevel="0" collapsed="false"/>
    <row r="599" customFormat="false" ht="21.75" hidden="false" customHeight="true" outlineLevel="0" collapsed="false">
      <c r="B599" s="6"/>
      <c r="C599" s="19" t="s">
        <v>98</v>
      </c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59" t="s">
        <v>99</v>
      </c>
      <c r="W599" s="59"/>
      <c r="X599" s="59"/>
      <c r="Y599" s="59"/>
      <c r="Z599" s="59"/>
      <c r="AA599" s="59"/>
      <c r="AB599" s="59"/>
      <c r="AC599" s="59"/>
      <c r="AD599" s="59"/>
      <c r="AE599" s="59"/>
      <c r="AF599" s="59"/>
      <c r="AG599" s="59"/>
      <c r="AH599" s="59"/>
      <c r="AI599" s="59"/>
      <c r="AJ599" s="59"/>
      <c r="AK599" s="59"/>
      <c r="AL599" s="59"/>
      <c r="AM599" s="59"/>
    </row>
    <row r="600" customFormat="false" ht="27.75" hidden="false" customHeight="true" outlineLevel="0" collapsed="false">
      <c r="B600" s="60"/>
      <c r="C600" s="61" t="n">
        <v>7</v>
      </c>
      <c r="D600" s="62" t="s">
        <v>100</v>
      </c>
      <c r="E600" s="62"/>
      <c r="F600" s="62"/>
      <c r="G600" s="62"/>
      <c r="H600" s="62"/>
      <c r="J600" s="60"/>
      <c r="K600" s="61" t="n">
        <v>8</v>
      </c>
      <c r="L600" s="62" t="s">
        <v>101</v>
      </c>
      <c r="M600" s="62"/>
      <c r="N600" s="62"/>
      <c r="O600" s="62"/>
      <c r="P600" s="62"/>
      <c r="R600" s="60"/>
      <c r="S600" s="61" t="n">
        <v>9</v>
      </c>
      <c r="T600" s="62" t="s">
        <v>102</v>
      </c>
      <c r="U600" s="62"/>
      <c r="V600" s="62"/>
      <c r="W600" s="62"/>
      <c r="X600" s="62"/>
      <c r="Z600" s="60"/>
      <c r="AA600" s="61" t="n">
        <v>10</v>
      </c>
      <c r="AB600" s="62" t="s">
        <v>103</v>
      </c>
      <c r="AC600" s="62"/>
      <c r="AD600" s="62"/>
      <c r="AE600" s="62"/>
      <c r="AF600" s="62"/>
      <c r="AH600" s="60"/>
      <c r="AI600" s="61" t="n">
        <v>11</v>
      </c>
      <c r="AJ600" s="62" t="s">
        <v>104</v>
      </c>
      <c r="AK600" s="62"/>
      <c r="AL600" s="62"/>
      <c r="AM600" s="62"/>
    </row>
    <row r="601" customFormat="false" ht="25.5" hidden="false" customHeight="true" outlineLevel="0" collapsed="false">
      <c r="B601" s="63"/>
      <c r="C601" s="64"/>
      <c r="D601" s="64"/>
      <c r="E601" s="64"/>
      <c r="F601" s="64"/>
      <c r="G601" s="64"/>
      <c r="H601" s="65"/>
      <c r="J601" s="63"/>
      <c r="K601" s="64"/>
      <c r="L601" s="64"/>
      <c r="M601" s="64"/>
      <c r="N601" s="64"/>
      <c r="O601" s="64"/>
      <c r="P601" s="65"/>
      <c r="R601" s="63"/>
      <c r="S601" s="64"/>
      <c r="T601" s="64"/>
      <c r="U601" s="64"/>
      <c r="V601" s="64"/>
      <c r="W601" s="64"/>
      <c r="X601" s="65"/>
      <c r="Z601" s="63"/>
      <c r="AA601" s="64"/>
      <c r="AB601" s="64"/>
      <c r="AC601" s="64"/>
      <c r="AD601" s="64"/>
      <c r="AE601" s="64"/>
      <c r="AF601" s="65"/>
      <c r="AH601" s="63"/>
      <c r="AI601" s="64"/>
      <c r="AJ601" s="64"/>
      <c r="AK601" s="64"/>
      <c r="AL601" s="64"/>
      <c r="AM601" s="65"/>
    </row>
    <row r="602" customFormat="false" ht="6" hidden="false" customHeight="true" outlineLevel="0" collapsed="false">
      <c r="B602" s="67"/>
      <c r="C602" s="68"/>
      <c r="D602" s="68"/>
      <c r="E602" s="68"/>
      <c r="F602" s="68"/>
      <c r="G602" s="68"/>
      <c r="H602" s="69"/>
      <c r="J602" s="67"/>
      <c r="K602" s="68"/>
      <c r="L602" s="68"/>
      <c r="M602" s="68"/>
      <c r="N602" s="68"/>
      <c r="O602" s="68"/>
      <c r="P602" s="69"/>
      <c r="R602" s="67"/>
      <c r="S602" s="68"/>
      <c r="T602" s="68"/>
      <c r="U602" s="68"/>
      <c r="V602" s="68"/>
      <c r="W602" s="68"/>
      <c r="X602" s="69"/>
      <c r="Z602" s="67"/>
      <c r="AA602" s="68"/>
      <c r="AB602" s="68"/>
      <c r="AC602" s="68"/>
      <c r="AD602" s="68"/>
      <c r="AE602" s="68"/>
      <c r="AF602" s="69"/>
      <c r="AH602" s="67"/>
      <c r="AI602" s="68"/>
      <c r="AJ602" s="68"/>
      <c r="AK602" s="68"/>
      <c r="AL602" s="68"/>
      <c r="AM602" s="69"/>
    </row>
    <row r="603" customFormat="false" ht="9.75" hidden="false" customHeight="true" outlineLevel="0" collapsed="false"/>
    <row r="604" customFormat="false" ht="21.75" hidden="false" customHeight="true" outlineLevel="0" collapsed="false">
      <c r="B604" s="6"/>
      <c r="C604" s="19" t="s">
        <v>105</v>
      </c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59" t="s">
        <v>106</v>
      </c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  <c r="AF604" s="59"/>
      <c r="AG604" s="59"/>
      <c r="AH604" s="59"/>
      <c r="AI604" s="59"/>
      <c r="AJ604" s="59"/>
      <c r="AK604" s="59"/>
      <c r="AL604" s="59"/>
      <c r="AM604" s="59"/>
    </row>
    <row r="605" customFormat="false" ht="24" hidden="false" customHeight="true" outlineLevel="0" collapsed="false"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  <c r="AA605" s="72"/>
      <c r="AB605" s="72"/>
      <c r="AC605" s="72"/>
      <c r="AD605" s="72"/>
      <c r="AE605" s="72"/>
      <c r="AF605" s="72"/>
      <c r="AG605" s="72"/>
      <c r="AH605" s="72"/>
      <c r="AI605" s="72"/>
      <c r="AJ605" s="72"/>
      <c r="AK605" s="72"/>
      <c r="AL605" s="72"/>
      <c r="AM605" s="72"/>
    </row>
    <row r="606" customFormat="false" ht="24" hidden="false" customHeight="true" outlineLevel="0" collapsed="false"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  <c r="AA606" s="72"/>
      <c r="AB606" s="72"/>
      <c r="AC606" s="72"/>
      <c r="AD606" s="72"/>
      <c r="AE606" s="72"/>
      <c r="AF606" s="72"/>
      <c r="AG606" s="72"/>
      <c r="AH606" s="72"/>
      <c r="AI606" s="72"/>
      <c r="AJ606" s="72"/>
      <c r="AK606" s="72"/>
      <c r="AL606" s="72"/>
      <c r="AM606" s="72"/>
    </row>
    <row r="607" customFormat="false" ht="24" hidden="false" customHeight="true" outlineLevel="0" collapsed="false"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  <c r="AA607" s="72"/>
      <c r="AB607" s="72"/>
      <c r="AC607" s="72"/>
      <c r="AD607" s="72"/>
      <c r="AE607" s="72"/>
      <c r="AF607" s="72"/>
      <c r="AG607" s="72"/>
      <c r="AH607" s="72"/>
      <c r="AI607" s="72"/>
      <c r="AJ607" s="72"/>
      <c r="AK607" s="72"/>
      <c r="AL607" s="72"/>
      <c r="AM607" s="72"/>
    </row>
    <row r="608" customFormat="false" ht="295.5" hidden="false" customHeight="true" outlineLevel="0" collapsed="false"/>
    <row r="609" customFormat="false" ht="6" hidden="false" customHeight="true" outlineLevel="0" collapsed="false"/>
    <row r="610" customFormat="false" ht="19.5" hidden="false" customHeight="true" outlineLevel="0" collapsed="false">
      <c r="B610" s="73" t="s">
        <v>107</v>
      </c>
      <c r="C610" s="73"/>
      <c r="D610" s="73"/>
      <c r="E610" s="73"/>
      <c r="F610" s="73"/>
      <c r="G610" s="73"/>
      <c r="H610" s="73"/>
      <c r="I610" s="73"/>
      <c r="J610" s="73"/>
      <c r="K610" s="73"/>
      <c r="L610" s="74" t="s">
        <v>108</v>
      </c>
      <c r="M610" s="74"/>
      <c r="N610" s="74"/>
      <c r="O610" s="74"/>
      <c r="P610" s="74"/>
      <c r="Q610" s="74"/>
      <c r="R610" s="74"/>
      <c r="S610" s="74"/>
      <c r="U610" s="73" t="s">
        <v>109</v>
      </c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4" t="s">
        <v>108</v>
      </c>
      <c r="AG610" s="74"/>
      <c r="AH610" s="74"/>
      <c r="AI610" s="74"/>
      <c r="AJ610" s="74"/>
      <c r="AK610" s="74"/>
      <c r="AL610" s="74"/>
      <c r="AM610" s="74"/>
    </row>
    <row r="611" customFormat="false" ht="9.75" hidden="false" customHeight="true" outlineLevel="0" collapsed="false"/>
    <row r="612" customFormat="false" ht="18" hidden="false" customHeight="true" outlineLevel="0" collapsed="false">
      <c r="B612" s="75" t="s">
        <v>110</v>
      </c>
      <c r="C612" s="75"/>
      <c r="D612" s="75"/>
      <c r="E612" s="75"/>
      <c r="F612" s="75"/>
      <c r="G612" s="75"/>
      <c r="H612" s="75"/>
      <c r="I612" s="75"/>
      <c r="J612" s="75"/>
      <c r="K612" s="75"/>
      <c r="L612" s="75"/>
      <c r="M612" s="75"/>
      <c r="N612" s="75"/>
      <c r="O612" s="75"/>
      <c r="P612" s="75"/>
      <c r="Q612" s="75"/>
      <c r="R612" s="75"/>
      <c r="S612" s="75"/>
      <c r="T612" s="76" t="s">
        <v>111</v>
      </c>
      <c r="U612" s="76"/>
      <c r="V612" s="76"/>
      <c r="W612" s="76"/>
      <c r="X612" s="76"/>
      <c r="Y612" s="76"/>
      <c r="Z612" s="76"/>
      <c r="AA612" s="76"/>
      <c r="AB612" s="76"/>
      <c r="AC612" s="76"/>
      <c r="AD612" s="76"/>
      <c r="AE612" s="76"/>
      <c r="AF612" s="76"/>
      <c r="AG612" s="76"/>
      <c r="AH612" s="76"/>
      <c r="AI612" s="76"/>
      <c r="AJ612" s="76"/>
      <c r="AK612" s="76"/>
      <c r="AL612" s="76"/>
      <c r="AM612" s="76"/>
    </row>
    <row r="613" customFormat="false" ht="7.5" hidden="false" customHeight="true" outlineLevel="0" collapsed="false"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</row>
    <row r="614" customFormat="false" ht="19.5" hidden="false" customHeight="true" outlineLevel="0" collapsed="false">
      <c r="B614" s="1"/>
      <c r="C614" s="51" t="s">
        <v>78</v>
      </c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  <c r="AA614" s="51"/>
      <c r="AB614" s="1"/>
      <c r="AC614" s="1"/>
      <c r="AD614" s="1"/>
      <c r="AE614" s="52" t="s">
        <v>79</v>
      </c>
      <c r="AF614" s="52"/>
      <c r="AG614" s="52"/>
      <c r="AH614" s="52"/>
      <c r="AI614" s="52"/>
      <c r="AJ614" s="52"/>
      <c r="AK614" s="52"/>
      <c r="AL614" s="1"/>
      <c r="AM614" s="1"/>
    </row>
    <row r="615" customFormat="false" ht="30" hidden="false" customHeight="true" outlineLevel="0" collapsed="false">
      <c r="B615" s="1"/>
      <c r="C615" s="53" t="s">
        <v>80</v>
      </c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4" t="s">
        <v>81</v>
      </c>
      <c r="AC615" s="54"/>
      <c r="AD615" s="54"/>
      <c r="AE615" s="54"/>
      <c r="AF615" s="54"/>
      <c r="AG615" s="54"/>
      <c r="AH615" s="54"/>
      <c r="AI615" s="54"/>
      <c r="AJ615" s="54"/>
      <c r="AK615" s="54"/>
      <c r="AL615" s="1"/>
      <c r="AM615" s="1"/>
    </row>
    <row r="616" customFormat="false" ht="15.75" hidden="false" customHeight="true" outlineLevel="0" collapsed="false">
      <c r="B616" s="1"/>
      <c r="C616" s="55" t="s">
        <v>82</v>
      </c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</row>
    <row r="617" customFormat="false" ht="9.75" hidden="false" customHeight="true" outlineLevel="0" collapsed="false"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</row>
    <row r="618" customFormat="false" ht="3.75" hidden="false" customHeight="true" outlineLevel="0" collapsed="false"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</row>
    <row r="619" customFormat="false" ht="7.5" hidden="false" customHeight="true" outlineLevel="0" collapsed="false"/>
    <row r="620" customFormat="false" ht="13.5" hidden="false" customHeight="true" outlineLevel="0" collapsed="false">
      <c r="B620" s="56" t="s">
        <v>83</v>
      </c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P620" s="56" t="s">
        <v>84</v>
      </c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C620" s="56" t="s">
        <v>85</v>
      </c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</row>
    <row r="621" customFormat="false" ht="21.75" hidden="false" customHeight="true" outlineLevel="0" collapsed="false">
      <c r="B621" s="57" t="str">
        <f aca="false">Dashboard!$C$6</f>
        <v>Bindhya TB</v>
      </c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P621" s="57" t="str">
        <f aca="false">Dashboard!$C$7</f>
        <v>Tourism &amp; Business</v>
      </c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C621" s="58" t="n">
        <f aca="false">Cal!A20</f>
        <v>46314</v>
      </c>
      <c r="AD621" s="58"/>
      <c r="AE621" s="58"/>
      <c r="AF621" s="58"/>
      <c r="AG621" s="58"/>
      <c r="AH621" s="58"/>
      <c r="AI621" s="58"/>
      <c r="AJ621" s="58"/>
      <c r="AK621" s="58"/>
      <c r="AL621" s="58"/>
      <c r="AM621" s="58"/>
    </row>
    <row r="622" customFormat="false" ht="9.75" hidden="false" customHeight="true" outlineLevel="0" collapsed="false"/>
    <row r="623" customFormat="false" ht="21.75" hidden="false" customHeight="true" outlineLevel="0" collapsed="false">
      <c r="B623" s="6"/>
      <c r="C623" s="19" t="s">
        <v>86</v>
      </c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59" t="s">
        <v>87</v>
      </c>
      <c r="Q623" s="59"/>
      <c r="R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  <c r="AF623" s="59"/>
      <c r="AG623" s="59"/>
      <c r="AH623" s="59"/>
      <c r="AI623" s="59"/>
      <c r="AJ623" s="59"/>
      <c r="AK623" s="59"/>
      <c r="AL623" s="59"/>
      <c r="AM623" s="59"/>
    </row>
    <row r="624" customFormat="false" ht="19.5" hidden="false" customHeight="true" outlineLevel="0" collapsed="false">
      <c r="B624" s="60"/>
      <c r="C624" s="61" t="n">
        <v>1</v>
      </c>
      <c r="D624" s="62" t="s">
        <v>88</v>
      </c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V624" s="60"/>
      <c r="W624" s="61" t="n">
        <v>2</v>
      </c>
      <c r="X624" s="62" t="s">
        <v>89</v>
      </c>
      <c r="Y624" s="62"/>
      <c r="Z624" s="62"/>
      <c r="AA624" s="62"/>
      <c r="AB624" s="62"/>
      <c r="AC624" s="62"/>
      <c r="AD624" s="62"/>
      <c r="AE624" s="62"/>
      <c r="AF624" s="62"/>
      <c r="AG624" s="62"/>
      <c r="AH624" s="62"/>
      <c r="AI624" s="62"/>
      <c r="AJ624" s="62"/>
      <c r="AK624" s="62"/>
      <c r="AL624" s="62"/>
      <c r="AM624" s="62"/>
    </row>
    <row r="625" customFormat="false" ht="49.5" hidden="false" customHeight="true" outlineLevel="0" collapsed="false">
      <c r="B625" s="63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5"/>
      <c r="V625" s="63"/>
      <c r="W625" s="77"/>
      <c r="X625" s="77"/>
      <c r="Y625" s="77"/>
      <c r="Z625" s="77"/>
      <c r="AA625" s="77"/>
      <c r="AB625" s="77"/>
      <c r="AC625" s="77"/>
      <c r="AD625" s="77"/>
      <c r="AE625" s="77"/>
      <c r="AF625" s="77"/>
      <c r="AG625" s="77"/>
      <c r="AH625" s="77"/>
      <c r="AI625" s="77"/>
      <c r="AJ625" s="77"/>
      <c r="AK625" s="77"/>
      <c r="AL625" s="77"/>
      <c r="AM625" s="65"/>
    </row>
    <row r="626" customFormat="false" ht="6" hidden="false" customHeight="true" outlineLevel="0" collapsed="false">
      <c r="B626" s="67"/>
      <c r="C626" s="68"/>
      <c r="D626" s="68"/>
      <c r="E626" s="68"/>
      <c r="F626" s="68"/>
      <c r="G626" s="68"/>
      <c r="H626" s="68"/>
      <c r="I626" s="68"/>
      <c r="J626" s="68"/>
      <c r="K626" s="68"/>
      <c r="L626" s="68"/>
      <c r="M626" s="68"/>
      <c r="N626" s="68"/>
      <c r="O626" s="68"/>
      <c r="P626" s="68"/>
      <c r="Q626" s="68"/>
      <c r="R626" s="68"/>
      <c r="S626" s="68"/>
      <c r="T626" s="69"/>
      <c r="V626" s="67"/>
      <c r="W626" s="68"/>
      <c r="X626" s="68"/>
      <c r="Y626" s="68"/>
      <c r="Z626" s="68"/>
      <c r="AA626" s="68"/>
      <c r="AB626" s="68"/>
      <c r="AC626" s="68"/>
      <c r="AD626" s="68"/>
      <c r="AE626" s="68"/>
      <c r="AF626" s="68"/>
      <c r="AG626" s="68"/>
      <c r="AH626" s="68"/>
      <c r="AI626" s="68"/>
      <c r="AJ626" s="68"/>
      <c r="AK626" s="68"/>
      <c r="AL626" s="68"/>
      <c r="AM626" s="69"/>
    </row>
    <row r="627" customFormat="false" ht="9.75" hidden="false" customHeight="true" outlineLevel="0" collapsed="false"/>
    <row r="628" customFormat="false" ht="21.75" hidden="false" customHeight="true" outlineLevel="0" collapsed="false">
      <c r="B628" s="6"/>
      <c r="C628" s="19" t="s">
        <v>91</v>
      </c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59" t="s">
        <v>92</v>
      </c>
      <c r="W628" s="59"/>
      <c r="X628" s="59"/>
      <c r="Y628" s="59"/>
      <c r="Z628" s="59"/>
      <c r="AA628" s="59"/>
      <c r="AB628" s="59"/>
      <c r="AC628" s="59"/>
      <c r="AD628" s="59"/>
      <c r="AE628" s="59"/>
      <c r="AF628" s="59"/>
      <c r="AG628" s="59"/>
      <c r="AH628" s="59"/>
      <c r="AI628" s="59"/>
      <c r="AJ628" s="59"/>
      <c r="AK628" s="59"/>
      <c r="AL628" s="59"/>
      <c r="AM628" s="59"/>
    </row>
    <row r="629" customFormat="false" ht="27.75" hidden="false" customHeight="true" outlineLevel="0" collapsed="false">
      <c r="B629" s="60"/>
      <c r="C629" s="61" t="n">
        <v>3</v>
      </c>
      <c r="D629" s="62" t="s">
        <v>93</v>
      </c>
      <c r="E629" s="62"/>
      <c r="F629" s="62"/>
      <c r="G629" s="62"/>
      <c r="H629" s="62"/>
      <c r="I629" s="62"/>
      <c r="J629" s="62"/>
      <c r="L629" s="60"/>
      <c r="M629" s="61" t="n">
        <v>4</v>
      </c>
      <c r="N629" s="62" t="s">
        <v>94</v>
      </c>
      <c r="O629" s="62"/>
      <c r="P629" s="62"/>
      <c r="Q629" s="62"/>
      <c r="R629" s="62"/>
      <c r="S629" s="62"/>
      <c r="T629" s="62"/>
      <c r="V629" s="60"/>
      <c r="W629" s="61" t="n">
        <v>5</v>
      </c>
      <c r="X629" s="62" t="s">
        <v>95</v>
      </c>
      <c r="Y629" s="62"/>
      <c r="Z629" s="62"/>
      <c r="AA629" s="62"/>
      <c r="AB629" s="62"/>
      <c r="AC629" s="62"/>
      <c r="AD629" s="62"/>
      <c r="AF629" s="60"/>
      <c r="AG629" s="61" t="n">
        <v>6</v>
      </c>
      <c r="AH629" s="62" t="s">
        <v>96</v>
      </c>
      <c r="AI629" s="62"/>
      <c r="AJ629" s="62"/>
      <c r="AK629" s="62"/>
      <c r="AL629" s="62"/>
      <c r="AM629" s="62"/>
    </row>
    <row r="630" customFormat="false" ht="25.5" hidden="false" customHeight="true" outlineLevel="0" collapsed="false">
      <c r="B630" s="63"/>
      <c r="C630" s="64"/>
      <c r="D630" s="64"/>
      <c r="E630" s="64"/>
      <c r="F630" s="64"/>
      <c r="G630" s="64"/>
      <c r="H630" s="64"/>
      <c r="I630" s="64"/>
      <c r="J630" s="65"/>
      <c r="L630" s="63"/>
      <c r="M630" s="64"/>
      <c r="N630" s="64"/>
      <c r="O630" s="64"/>
      <c r="P630" s="64"/>
      <c r="Q630" s="64"/>
      <c r="R630" s="64"/>
      <c r="S630" s="64"/>
      <c r="T630" s="65"/>
      <c r="V630" s="63"/>
      <c r="W630" s="70"/>
      <c r="X630" s="70"/>
      <c r="Y630" s="70"/>
      <c r="Z630" s="70"/>
      <c r="AA630" s="70"/>
      <c r="AB630" s="70"/>
      <c r="AC630" s="70"/>
      <c r="AD630" s="65"/>
      <c r="AF630" s="63"/>
      <c r="AG630" s="64"/>
      <c r="AH630" s="64"/>
      <c r="AI630" s="64"/>
      <c r="AJ630" s="64"/>
      <c r="AK630" s="64"/>
      <c r="AL630" s="64"/>
      <c r="AM630" s="65"/>
    </row>
    <row r="631" customFormat="false" ht="6" hidden="false" customHeight="true" outlineLevel="0" collapsed="false">
      <c r="B631" s="67"/>
      <c r="C631" s="68"/>
      <c r="D631" s="68"/>
      <c r="E631" s="68"/>
      <c r="F631" s="68"/>
      <c r="G631" s="68"/>
      <c r="H631" s="68"/>
      <c r="I631" s="68"/>
      <c r="J631" s="69"/>
      <c r="L631" s="67"/>
      <c r="M631" s="68"/>
      <c r="N631" s="68"/>
      <c r="O631" s="68"/>
      <c r="P631" s="68"/>
      <c r="Q631" s="68"/>
      <c r="R631" s="68"/>
      <c r="S631" s="68"/>
      <c r="T631" s="69"/>
      <c r="V631" s="67"/>
      <c r="W631" s="68"/>
      <c r="X631" s="68"/>
      <c r="Y631" s="68"/>
      <c r="Z631" s="68"/>
      <c r="AA631" s="68"/>
      <c r="AB631" s="68"/>
      <c r="AC631" s="68"/>
      <c r="AD631" s="69"/>
      <c r="AF631" s="67"/>
      <c r="AG631" s="68"/>
      <c r="AH631" s="68"/>
      <c r="AI631" s="68"/>
      <c r="AJ631" s="68"/>
      <c r="AK631" s="68"/>
      <c r="AL631" s="68"/>
      <c r="AM631" s="69"/>
    </row>
    <row r="632" customFormat="false" ht="9.75" hidden="false" customHeight="true" outlineLevel="0" collapsed="false"/>
    <row r="633" customFormat="false" ht="21.75" hidden="false" customHeight="true" outlineLevel="0" collapsed="false">
      <c r="B633" s="6"/>
      <c r="C633" s="19" t="s">
        <v>98</v>
      </c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59" t="s">
        <v>99</v>
      </c>
      <c r="W633" s="59"/>
      <c r="X633" s="59"/>
      <c r="Y633" s="59"/>
      <c r="Z633" s="59"/>
      <c r="AA633" s="59"/>
      <c r="AB633" s="59"/>
      <c r="AC633" s="59"/>
      <c r="AD633" s="59"/>
      <c r="AE633" s="59"/>
      <c r="AF633" s="59"/>
      <c r="AG633" s="59"/>
      <c r="AH633" s="59"/>
      <c r="AI633" s="59"/>
      <c r="AJ633" s="59"/>
      <c r="AK633" s="59"/>
      <c r="AL633" s="59"/>
      <c r="AM633" s="59"/>
    </row>
    <row r="634" customFormat="false" ht="27.75" hidden="false" customHeight="true" outlineLevel="0" collapsed="false">
      <c r="B634" s="60"/>
      <c r="C634" s="61" t="n">
        <v>7</v>
      </c>
      <c r="D634" s="62" t="s">
        <v>100</v>
      </c>
      <c r="E634" s="62"/>
      <c r="F634" s="62"/>
      <c r="G634" s="62"/>
      <c r="H634" s="62"/>
      <c r="J634" s="60"/>
      <c r="K634" s="61" t="n">
        <v>8</v>
      </c>
      <c r="L634" s="62" t="s">
        <v>101</v>
      </c>
      <c r="M634" s="62"/>
      <c r="N634" s="62"/>
      <c r="O634" s="62"/>
      <c r="P634" s="62"/>
      <c r="R634" s="60"/>
      <c r="S634" s="61" t="n">
        <v>9</v>
      </c>
      <c r="T634" s="62" t="s">
        <v>102</v>
      </c>
      <c r="U634" s="62"/>
      <c r="V634" s="62"/>
      <c r="W634" s="62"/>
      <c r="X634" s="62"/>
      <c r="Z634" s="60"/>
      <c r="AA634" s="61" t="n">
        <v>10</v>
      </c>
      <c r="AB634" s="62" t="s">
        <v>103</v>
      </c>
      <c r="AC634" s="62"/>
      <c r="AD634" s="62"/>
      <c r="AE634" s="62"/>
      <c r="AF634" s="62"/>
      <c r="AH634" s="60"/>
      <c r="AI634" s="61" t="n">
        <v>11</v>
      </c>
      <c r="AJ634" s="62" t="s">
        <v>104</v>
      </c>
      <c r="AK634" s="62"/>
      <c r="AL634" s="62"/>
      <c r="AM634" s="62"/>
    </row>
    <row r="635" customFormat="false" ht="25.5" hidden="false" customHeight="true" outlineLevel="0" collapsed="false">
      <c r="B635" s="63"/>
      <c r="C635" s="64"/>
      <c r="D635" s="64"/>
      <c r="E635" s="64"/>
      <c r="F635" s="64"/>
      <c r="G635" s="64"/>
      <c r="H635" s="65"/>
      <c r="J635" s="63"/>
      <c r="K635" s="64"/>
      <c r="L635" s="64"/>
      <c r="M635" s="64"/>
      <c r="N635" s="64"/>
      <c r="O635" s="64"/>
      <c r="P635" s="65"/>
      <c r="R635" s="63"/>
      <c r="S635" s="64"/>
      <c r="T635" s="64"/>
      <c r="U635" s="64"/>
      <c r="V635" s="64"/>
      <c r="W635" s="64"/>
      <c r="X635" s="65"/>
      <c r="Z635" s="63"/>
      <c r="AA635" s="64"/>
      <c r="AB635" s="64"/>
      <c r="AC635" s="64"/>
      <c r="AD635" s="64"/>
      <c r="AE635" s="64"/>
      <c r="AF635" s="65"/>
      <c r="AH635" s="63"/>
      <c r="AI635" s="64"/>
      <c r="AJ635" s="64"/>
      <c r="AK635" s="64"/>
      <c r="AL635" s="64"/>
      <c r="AM635" s="65"/>
    </row>
    <row r="636" customFormat="false" ht="6" hidden="false" customHeight="true" outlineLevel="0" collapsed="false">
      <c r="B636" s="67"/>
      <c r="C636" s="68"/>
      <c r="D636" s="68"/>
      <c r="E636" s="68"/>
      <c r="F636" s="68"/>
      <c r="G636" s="68"/>
      <c r="H636" s="69"/>
      <c r="J636" s="67"/>
      <c r="K636" s="68"/>
      <c r="L636" s="68"/>
      <c r="M636" s="68"/>
      <c r="N636" s="68"/>
      <c r="O636" s="68"/>
      <c r="P636" s="69"/>
      <c r="R636" s="67"/>
      <c r="S636" s="68"/>
      <c r="T636" s="68"/>
      <c r="U636" s="68"/>
      <c r="V636" s="68"/>
      <c r="W636" s="68"/>
      <c r="X636" s="69"/>
      <c r="Z636" s="67"/>
      <c r="AA636" s="68"/>
      <c r="AB636" s="68"/>
      <c r="AC636" s="68"/>
      <c r="AD636" s="68"/>
      <c r="AE636" s="68"/>
      <c r="AF636" s="69"/>
      <c r="AH636" s="67"/>
      <c r="AI636" s="68"/>
      <c r="AJ636" s="68"/>
      <c r="AK636" s="68"/>
      <c r="AL636" s="68"/>
      <c r="AM636" s="69"/>
    </row>
    <row r="637" customFormat="false" ht="9.75" hidden="false" customHeight="true" outlineLevel="0" collapsed="false"/>
    <row r="638" customFormat="false" ht="21.75" hidden="false" customHeight="true" outlineLevel="0" collapsed="false">
      <c r="B638" s="6"/>
      <c r="C638" s="19" t="s">
        <v>105</v>
      </c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59" t="s">
        <v>106</v>
      </c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  <c r="AF638" s="59"/>
      <c r="AG638" s="59"/>
      <c r="AH638" s="59"/>
      <c r="AI638" s="59"/>
      <c r="AJ638" s="59"/>
      <c r="AK638" s="59"/>
      <c r="AL638" s="59"/>
      <c r="AM638" s="59"/>
    </row>
    <row r="639" customFormat="false" ht="24" hidden="false" customHeight="true" outlineLevel="0" collapsed="false"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  <c r="AA639" s="72"/>
      <c r="AB639" s="72"/>
      <c r="AC639" s="72"/>
      <c r="AD639" s="72"/>
      <c r="AE639" s="72"/>
      <c r="AF639" s="72"/>
      <c r="AG639" s="72"/>
      <c r="AH639" s="72"/>
      <c r="AI639" s="72"/>
      <c r="AJ639" s="72"/>
      <c r="AK639" s="72"/>
      <c r="AL639" s="72"/>
      <c r="AM639" s="72"/>
    </row>
    <row r="640" customFormat="false" ht="24" hidden="false" customHeight="true" outlineLevel="0" collapsed="false"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  <c r="AA640" s="72"/>
      <c r="AB640" s="72"/>
      <c r="AC640" s="72"/>
      <c r="AD640" s="72"/>
      <c r="AE640" s="72"/>
      <c r="AF640" s="72"/>
      <c r="AG640" s="72"/>
      <c r="AH640" s="72"/>
      <c r="AI640" s="72"/>
      <c r="AJ640" s="72"/>
      <c r="AK640" s="72"/>
      <c r="AL640" s="72"/>
      <c r="AM640" s="72"/>
    </row>
    <row r="641" customFormat="false" ht="24" hidden="false" customHeight="true" outlineLevel="0" collapsed="false"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  <c r="AA641" s="72"/>
      <c r="AB641" s="72"/>
      <c r="AC641" s="72"/>
      <c r="AD641" s="72"/>
      <c r="AE641" s="72"/>
      <c r="AF641" s="72"/>
      <c r="AG641" s="72"/>
      <c r="AH641" s="72"/>
      <c r="AI641" s="72"/>
      <c r="AJ641" s="72"/>
      <c r="AK641" s="72"/>
      <c r="AL641" s="72"/>
      <c r="AM641" s="72"/>
    </row>
    <row r="642" customFormat="false" ht="295.5" hidden="false" customHeight="true" outlineLevel="0" collapsed="false"/>
    <row r="643" customFormat="false" ht="6" hidden="false" customHeight="true" outlineLevel="0" collapsed="false"/>
    <row r="644" customFormat="false" ht="19.5" hidden="false" customHeight="true" outlineLevel="0" collapsed="false">
      <c r="B644" s="73" t="s">
        <v>107</v>
      </c>
      <c r="C644" s="73"/>
      <c r="D644" s="73"/>
      <c r="E644" s="73"/>
      <c r="F644" s="73"/>
      <c r="G644" s="73"/>
      <c r="H644" s="73"/>
      <c r="I644" s="73"/>
      <c r="J644" s="73"/>
      <c r="K644" s="73"/>
      <c r="L644" s="74" t="s">
        <v>108</v>
      </c>
      <c r="M644" s="74"/>
      <c r="N644" s="74"/>
      <c r="O644" s="74"/>
      <c r="P644" s="74"/>
      <c r="Q644" s="74"/>
      <c r="R644" s="74"/>
      <c r="S644" s="74"/>
      <c r="U644" s="73" t="s">
        <v>109</v>
      </c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4" t="s">
        <v>108</v>
      </c>
      <c r="AG644" s="74"/>
      <c r="AH644" s="74"/>
      <c r="AI644" s="74"/>
      <c r="AJ644" s="74"/>
      <c r="AK644" s="74"/>
      <c r="AL644" s="74"/>
      <c r="AM644" s="74"/>
    </row>
    <row r="645" customFormat="false" ht="9.75" hidden="false" customHeight="true" outlineLevel="0" collapsed="false"/>
    <row r="646" customFormat="false" ht="18" hidden="false" customHeight="true" outlineLevel="0" collapsed="false">
      <c r="B646" s="75" t="s">
        <v>110</v>
      </c>
      <c r="C646" s="75"/>
      <c r="D646" s="75"/>
      <c r="E646" s="75"/>
      <c r="F646" s="75"/>
      <c r="G646" s="75"/>
      <c r="H646" s="75"/>
      <c r="I646" s="75"/>
      <c r="J646" s="75"/>
      <c r="K646" s="75"/>
      <c r="L646" s="75"/>
      <c r="M646" s="75"/>
      <c r="N646" s="75"/>
      <c r="O646" s="75"/>
      <c r="P646" s="75"/>
      <c r="Q646" s="75"/>
      <c r="R646" s="75"/>
      <c r="S646" s="75"/>
      <c r="T646" s="76" t="s">
        <v>111</v>
      </c>
      <c r="U646" s="76"/>
      <c r="V646" s="76"/>
      <c r="W646" s="76"/>
      <c r="X646" s="76"/>
      <c r="Y646" s="76"/>
      <c r="Z646" s="76"/>
      <c r="AA646" s="76"/>
      <c r="AB646" s="76"/>
      <c r="AC646" s="76"/>
      <c r="AD646" s="76"/>
      <c r="AE646" s="76"/>
      <c r="AF646" s="76"/>
      <c r="AG646" s="76"/>
      <c r="AH646" s="76"/>
      <c r="AI646" s="76"/>
      <c r="AJ646" s="76"/>
      <c r="AK646" s="76"/>
      <c r="AL646" s="76"/>
      <c r="AM646" s="76"/>
    </row>
    <row r="647" customFormat="false" ht="7.5" hidden="false" customHeight="true" outlineLevel="0" collapsed="false"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</row>
    <row r="648" customFormat="false" ht="19.5" hidden="false" customHeight="true" outlineLevel="0" collapsed="false">
      <c r="B648" s="1"/>
      <c r="C648" s="51" t="s">
        <v>78</v>
      </c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  <c r="AA648" s="51"/>
      <c r="AB648" s="1"/>
      <c r="AC648" s="1"/>
      <c r="AD648" s="1"/>
      <c r="AE648" s="52" t="s">
        <v>79</v>
      </c>
      <c r="AF648" s="52"/>
      <c r="AG648" s="52"/>
      <c r="AH648" s="52"/>
      <c r="AI648" s="52"/>
      <c r="AJ648" s="52"/>
      <c r="AK648" s="52"/>
      <c r="AL648" s="1"/>
      <c r="AM648" s="1"/>
    </row>
    <row r="649" customFormat="false" ht="30" hidden="false" customHeight="true" outlineLevel="0" collapsed="false">
      <c r="B649" s="1"/>
      <c r="C649" s="53" t="s">
        <v>80</v>
      </c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4" t="s">
        <v>81</v>
      </c>
      <c r="AC649" s="54"/>
      <c r="AD649" s="54"/>
      <c r="AE649" s="54"/>
      <c r="AF649" s="54"/>
      <c r="AG649" s="54"/>
      <c r="AH649" s="54"/>
      <c r="AI649" s="54"/>
      <c r="AJ649" s="54"/>
      <c r="AK649" s="54"/>
      <c r="AL649" s="1"/>
      <c r="AM649" s="1"/>
    </row>
    <row r="650" customFormat="false" ht="15.75" hidden="false" customHeight="true" outlineLevel="0" collapsed="false">
      <c r="B650" s="1"/>
      <c r="C650" s="55" t="s">
        <v>82</v>
      </c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</row>
    <row r="651" customFormat="false" ht="9.75" hidden="false" customHeight="true" outlineLevel="0" collapsed="false"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</row>
    <row r="652" customFormat="false" ht="3.75" hidden="false" customHeight="true" outlineLevel="0" collapsed="false"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</row>
    <row r="653" customFormat="false" ht="7.5" hidden="false" customHeight="true" outlineLevel="0" collapsed="false"/>
    <row r="654" customFormat="false" ht="13.5" hidden="false" customHeight="true" outlineLevel="0" collapsed="false">
      <c r="B654" s="56" t="s">
        <v>83</v>
      </c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P654" s="56" t="s">
        <v>84</v>
      </c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C654" s="56" t="s">
        <v>85</v>
      </c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</row>
    <row r="655" customFormat="false" ht="21.75" hidden="false" customHeight="true" outlineLevel="0" collapsed="false">
      <c r="B655" s="57" t="str">
        <f aca="false">Dashboard!$C$6</f>
        <v>Bindhya TB</v>
      </c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P655" s="57" t="str">
        <f aca="false">Dashboard!$C$7</f>
        <v>Tourism &amp; Business</v>
      </c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C655" s="58" t="n">
        <f aca="false">Cal!A21</f>
        <v>46315</v>
      </c>
      <c r="AD655" s="58"/>
      <c r="AE655" s="58"/>
      <c r="AF655" s="58"/>
      <c r="AG655" s="58"/>
      <c r="AH655" s="58"/>
      <c r="AI655" s="58"/>
      <c r="AJ655" s="58"/>
      <c r="AK655" s="58"/>
      <c r="AL655" s="58"/>
      <c r="AM655" s="58"/>
    </row>
    <row r="656" customFormat="false" ht="9.75" hidden="false" customHeight="true" outlineLevel="0" collapsed="false"/>
    <row r="657" customFormat="false" ht="21.75" hidden="false" customHeight="true" outlineLevel="0" collapsed="false">
      <c r="B657" s="6"/>
      <c r="C657" s="19" t="s">
        <v>86</v>
      </c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59" t="s">
        <v>87</v>
      </c>
      <c r="Q657" s="59"/>
      <c r="R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  <c r="AF657" s="59"/>
      <c r="AG657" s="59"/>
      <c r="AH657" s="59"/>
      <c r="AI657" s="59"/>
      <c r="AJ657" s="59"/>
      <c r="AK657" s="59"/>
      <c r="AL657" s="59"/>
      <c r="AM657" s="59"/>
    </row>
    <row r="658" customFormat="false" ht="19.5" hidden="false" customHeight="true" outlineLevel="0" collapsed="false">
      <c r="B658" s="60"/>
      <c r="C658" s="61" t="n">
        <v>1</v>
      </c>
      <c r="D658" s="62" t="s">
        <v>88</v>
      </c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V658" s="60"/>
      <c r="W658" s="61" t="n">
        <v>2</v>
      </c>
      <c r="X658" s="62" t="s">
        <v>89</v>
      </c>
      <c r="Y658" s="62"/>
      <c r="Z658" s="62"/>
      <c r="AA658" s="62"/>
      <c r="AB658" s="62"/>
      <c r="AC658" s="62"/>
      <c r="AD658" s="62"/>
      <c r="AE658" s="62"/>
      <c r="AF658" s="62"/>
      <c r="AG658" s="62"/>
      <c r="AH658" s="62"/>
      <c r="AI658" s="62"/>
      <c r="AJ658" s="62"/>
      <c r="AK658" s="62"/>
      <c r="AL658" s="62"/>
      <c r="AM658" s="62"/>
    </row>
    <row r="659" customFormat="false" ht="49.5" hidden="false" customHeight="true" outlineLevel="0" collapsed="false">
      <c r="B659" s="63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5"/>
      <c r="V659" s="63"/>
      <c r="W659" s="77"/>
      <c r="X659" s="77"/>
      <c r="Y659" s="77"/>
      <c r="Z659" s="77"/>
      <c r="AA659" s="77"/>
      <c r="AB659" s="77"/>
      <c r="AC659" s="77"/>
      <c r="AD659" s="77"/>
      <c r="AE659" s="77"/>
      <c r="AF659" s="77"/>
      <c r="AG659" s="77"/>
      <c r="AH659" s="77"/>
      <c r="AI659" s="77"/>
      <c r="AJ659" s="77"/>
      <c r="AK659" s="77"/>
      <c r="AL659" s="77"/>
      <c r="AM659" s="65"/>
    </row>
    <row r="660" customFormat="false" ht="6" hidden="false" customHeight="true" outlineLevel="0" collapsed="false">
      <c r="B660" s="67"/>
      <c r="C660" s="68"/>
      <c r="D660" s="68"/>
      <c r="E660" s="68"/>
      <c r="F660" s="68"/>
      <c r="G660" s="68"/>
      <c r="H660" s="68"/>
      <c r="I660" s="68"/>
      <c r="J660" s="68"/>
      <c r="K660" s="68"/>
      <c r="L660" s="68"/>
      <c r="M660" s="68"/>
      <c r="N660" s="68"/>
      <c r="O660" s="68"/>
      <c r="P660" s="68"/>
      <c r="Q660" s="68"/>
      <c r="R660" s="68"/>
      <c r="S660" s="68"/>
      <c r="T660" s="69"/>
      <c r="V660" s="67"/>
      <c r="W660" s="68"/>
      <c r="X660" s="68"/>
      <c r="Y660" s="68"/>
      <c r="Z660" s="68"/>
      <c r="AA660" s="68"/>
      <c r="AB660" s="68"/>
      <c r="AC660" s="68"/>
      <c r="AD660" s="68"/>
      <c r="AE660" s="68"/>
      <c r="AF660" s="68"/>
      <c r="AG660" s="68"/>
      <c r="AH660" s="68"/>
      <c r="AI660" s="68"/>
      <c r="AJ660" s="68"/>
      <c r="AK660" s="68"/>
      <c r="AL660" s="68"/>
      <c r="AM660" s="69"/>
    </row>
    <row r="661" customFormat="false" ht="9.75" hidden="false" customHeight="true" outlineLevel="0" collapsed="false"/>
    <row r="662" customFormat="false" ht="21.75" hidden="false" customHeight="true" outlineLevel="0" collapsed="false">
      <c r="B662" s="6"/>
      <c r="C662" s="19" t="s">
        <v>91</v>
      </c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59" t="s">
        <v>92</v>
      </c>
      <c r="W662" s="59"/>
      <c r="X662" s="59"/>
      <c r="Y662" s="59"/>
      <c r="Z662" s="59"/>
      <c r="AA662" s="59"/>
      <c r="AB662" s="59"/>
      <c r="AC662" s="59"/>
      <c r="AD662" s="59"/>
      <c r="AE662" s="59"/>
      <c r="AF662" s="59"/>
      <c r="AG662" s="59"/>
      <c r="AH662" s="59"/>
      <c r="AI662" s="59"/>
      <c r="AJ662" s="59"/>
      <c r="AK662" s="59"/>
      <c r="AL662" s="59"/>
      <c r="AM662" s="59"/>
    </row>
    <row r="663" customFormat="false" ht="27.75" hidden="false" customHeight="true" outlineLevel="0" collapsed="false">
      <c r="B663" s="60"/>
      <c r="C663" s="61" t="n">
        <v>3</v>
      </c>
      <c r="D663" s="62" t="s">
        <v>93</v>
      </c>
      <c r="E663" s="62"/>
      <c r="F663" s="62"/>
      <c r="G663" s="62"/>
      <c r="H663" s="62"/>
      <c r="I663" s="62"/>
      <c r="J663" s="62"/>
      <c r="L663" s="60"/>
      <c r="M663" s="61" t="n">
        <v>4</v>
      </c>
      <c r="N663" s="62" t="s">
        <v>94</v>
      </c>
      <c r="O663" s="62"/>
      <c r="P663" s="62"/>
      <c r="Q663" s="62"/>
      <c r="R663" s="62"/>
      <c r="S663" s="62"/>
      <c r="T663" s="62"/>
      <c r="V663" s="60"/>
      <c r="W663" s="61" t="n">
        <v>5</v>
      </c>
      <c r="X663" s="62" t="s">
        <v>95</v>
      </c>
      <c r="Y663" s="62"/>
      <c r="Z663" s="62"/>
      <c r="AA663" s="62"/>
      <c r="AB663" s="62"/>
      <c r="AC663" s="62"/>
      <c r="AD663" s="62"/>
      <c r="AF663" s="60"/>
      <c r="AG663" s="61" t="n">
        <v>6</v>
      </c>
      <c r="AH663" s="62" t="s">
        <v>96</v>
      </c>
      <c r="AI663" s="62"/>
      <c r="AJ663" s="62"/>
      <c r="AK663" s="62"/>
      <c r="AL663" s="62"/>
      <c r="AM663" s="62"/>
    </row>
    <row r="664" customFormat="false" ht="25.5" hidden="false" customHeight="true" outlineLevel="0" collapsed="false">
      <c r="B664" s="63"/>
      <c r="C664" s="64"/>
      <c r="D664" s="64"/>
      <c r="E664" s="64"/>
      <c r="F664" s="64"/>
      <c r="G664" s="64"/>
      <c r="H664" s="64"/>
      <c r="I664" s="64"/>
      <c r="J664" s="65"/>
      <c r="L664" s="63"/>
      <c r="M664" s="64"/>
      <c r="N664" s="64"/>
      <c r="O664" s="64"/>
      <c r="P664" s="64"/>
      <c r="Q664" s="64"/>
      <c r="R664" s="64"/>
      <c r="S664" s="64"/>
      <c r="T664" s="65"/>
      <c r="V664" s="63"/>
      <c r="W664" s="70"/>
      <c r="X664" s="70"/>
      <c r="Y664" s="70"/>
      <c r="Z664" s="70"/>
      <c r="AA664" s="70"/>
      <c r="AB664" s="70"/>
      <c r="AC664" s="70"/>
      <c r="AD664" s="65"/>
      <c r="AF664" s="63"/>
      <c r="AG664" s="64"/>
      <c r="AH664" s="64"/>
      <c r="AI664" s="64"/>
      <c r="AJ664" s="64"/>
      <c r="AK664" s="64"/>
      <c r="AL664" s="64"/>
      <c r="AM664" s="65"/>
    </row>
    <row r="665" customFormat="false" ht="6" hidden="false" customHeight="true" outlineLevel="0" collapsed="false">
      <c r="B665" s="67"/>
      <c r="C665" s="68"/>
      <c r="D665" s="68"/>
      <c r="E665" s="68"/>
      <c r="F665" s="68"/>
      <c r="G665" s="68"/>
      <c r="H665" s="68"/>
      <c r="I665" s="68"/>
      <c r="J665" s="69"/>
      <c r="L665" s="67"/>
      <c r="M665" s="68"/>
      <c r="N665" s="68"/>
      <c r="O665" s="68"/>
      <c r="P665" s="68"/>
      <c r="Q665" s="68"/>
      <c r="R665" s="68"/>
      <c r="S665" s="68"/>
      <c r="T665" s="69"/>
      <c r="V665" s="67"/>
      <c r="W665" s="68"/>
      <c r="X665" s="68"/>
      <c r="Y665" s="68"/>
      <c r="Z665" s="68"/>
      <c r="AA665" s="68"/>
      <c r="AB665" s="68"/>
      <c r="AC665" s="68"/>
      <c r="AD665" s="69"/>
      <c r="AF665" s="67"/>
      <c r="AG665" s="68"/>
      <c r="AH665" s="68"/>
      <c r="AI665" s="68"/>
      <c r="AJ665" s="68"/>
      <c r="AK665" s="68"/>
      <c r="AL665" s="68"/>
      <c r="AM665" s="69"/>
    </row>
    <row r="666" customFormat="false" ht="9.75" hidden="false" customHeight="true" outlineLevel="0" collapsed="false"/>
    <row r="667" customFormat="false" ht="21.75" hidden="false" customHeight="true" outlineLevel="0" collapsed="false">
      <c r="B667" s="6"/>
      <c r="C667" s="19" t="s">
        <v>98</v>
      </c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59" t="s">
        <v>99</v>
      </c>
      <c r="W667" s="59"/>
      <c r="X667" s="59"/>
      <c r="Y667" s="59"/>
      <c r="Z667" s="59"/>
      <c r="AA667" s="59"/>
      <c r="AB667" s="59"/>
      <c r="AC667" s="59"/>
      <c r="AD667" s="59"/>
      <c r="AE667" s="59"/>
      <c r="AF667" s="59"/>
      <c r="AG667" s="59"/>
      <c r="AH667" s="59"/>
      <c r="AI667" s="59"/>
      <c r="AJ667" s="59"/>
      <c r="AK667" s="59"/>
      <c r="AL667" s="59"/>
      <c r="AM667" s="59"/>
    </row>
    <row r="668" customFormat="false" ht="27.75" hidden="false" customHeight="true" outlineLevel="0" collapsed="false">
      <c r="B668" s="60"/>
      <c r="C668" s="61" t="n">
        <v>7</v>
      </c>
      <c r="D668" s="62" t="s">
        <v>100</v>
      </c>
      <c r="E668" s="62"/>
      <c r="F668" s="62"/>
      <c r="G668" s="62"/>
      <c r="H668" s="62"/>
      <c r="J668" s="60"/>
      <c r="K668" s="61" t="n">
        <v>8</v>
      </c>
      <c r="L668" s="62" t="s">
        <v>101</v>
      </c>
      <c r="M668" s="62"/>
      <c r="N668" s="62"/>
      <c r="O668" s="62"/>
      <c r="P668" s="62"/>
      <c r="R668" s="60"/>
      <c r="S668" s="61" t="n">
        <v>9</v>
      </c>
      <c r="T668" s="62" t="s">
        <v>102</v>
      </c>
      <c r="U668" s="62"/>
      <c r="V668" s="62"/>
      <c r="W668" s="62"/>
      <c r="X668" s="62"/>
      <c r="Z668" s="60"/>
      <c r="AA668" s="61" t="n">
        <v>10</v>
      </c>
      <c r="AB668" s="62" t="s">
        <v>103</v>
      </c>
      <c r="AC668" s="62"/>
      <c r="AD668" s="62"/>
      <c r="AE668" s="62"/>
      <c r="AF668" s="62"/>
      <c r="AH668" s="60"/>
      <c r="AI668" s="61" t="n">
        <v>11</v>
      </c>
      <c r="AJ668" s="62" t="s">
        <v>104</v>
      </c>
      <c r="AK668" s="62"/>
      <c r="AL668" s="62"/>
      <c r="AM668" s="62"/>
    </row>
    <row r="669" customFormat="false" ht="25.5" hidden="false" customHeight="true" outlineLevel="0" collapsed="false">
      <c r="B669" s="63"/>
      <c r="C669" s="64"/>
      <c r="D669" s="64"/>
      <c r="E669" s="64"/>
      <c r="F669" s="64"/>
      <c r="G669" s="64"/>
      <c r="H669" s="65"/>
      <c r="J669" s="63"/>
      <c r="K669" s="64"/>
      <c r="L669" s="64"/>
      <c r="M669" s="64"/>
      <c r="N669" s="64"/>
      <c r="O669" s="64"/>
      <c r="P669" s="65"/>
      <c r="R669" s="63"/>
      <c r="S669" s="64"/>
      <c r="T669" s="64"/>
      <c r="U669" s="64"/>
      <c r="V669" s="64"/>
      <c r="W669" s="64"/>
      <c r="X669" s="65"/>
      <c r="Z669" s="63"/>
      <c r="AA669" s="64"/>
      <c r="AB669" s="64"/>
      <c r="AC669" s="64"/>
      <c r="AD669" s="64"/>
      <c r="AE669" s="64"/>
      <c r="AF669" s="65"/>
      <c r="AH669" s="63"/>
      <c r="AI669" s="64"/>
      <c r="AJ669" s="64"/>
      <c r="AK669" s="64"/>
      <c r="AL669" s="64"/>
      <c r="AM669" s="65"/>
    </row>
    <row r="670" customFormat="false" ht="6" hidden="false" customHeight="true" outlineLevel="0" collapsed="false">
      <c r="B670" s="67"/>
      <c r="C670" s="68"/>
      <c r="D670" s="68"/>
      <c r="E670" s="68"/>
      <c r="F670" s="68"/>
      <c r="G670" s="68"/>
      <c r="H670" s="69"/>
      <c r="J670" s="67"/>
      <c r="K670" s="68"/>
      <c r="L670" s="68"/>
      <c r="M670" s="68"/>
      <c r="N670" s="68"/>
      <c r="O670" s="68"/>
      <c r="P670" s="69"/>
      <c r="R670" s="67"/>
      <c r="S670" s="68"/>
      <c r="T670" s="68"/>
      <c r="U670" s="68"/>
      <c r="V670" s="68"/>
      <c r="W670" s="68"/>
      <c r="X670" s="69"/>
      <c r="Z670" s="67"/>
      <c r="AA670" s="68"/>
      <c r="AB670" s="68"/>
      <c r="AC670" s="68"/>
      <c r="AD670" s="68"/>
      <c r="AE670" s="68"/>
      <c r="AF670" s="69"/>
      <c r="AH670" s="67"/>
      <c r="AI670" s="68"/>
      <c r="AJ670" s="68"/>
      <c r="AK670" s="68"/>
      <c r="AL670" s="68"/>
      <c r="AM670" s="69"/>
    </row>
    <row r="671" customFormat="false" ht="9.75" hidden="false" customHeight="true" outlineLevel="0" collapsed="false"/>
    <row r="672" customFormat="false" ht="21.75" hidden="false" customHeight="true" outlineLevel="0" collapsed="false">
      <c r="B672" s="6"/>
      <c r="C672" s="19" t="s">
        <v>105</v>
      </c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59" t="s">
        <v>106</v>
      </c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  <c r="AF672" s="59"/>
      <c r="AG672" s="59"/>
      <c r="AH672" s="59"/>
      <c r="AI672" s="59"/>
      <c r="AJ672" s="59"/>
      <c r="AK672" s="59"/>
      <c r="AL672" s="59"/>
      <c r="AM672" s="59"/>
    </row>
    <row r="673" customFormat="false" ht="24" hidden="false" customHeight="true" outlineLevel="0" collapsed="false"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  <c r="AA673" s="72"/>
      <c r="AB673" s="72"/>
      <c r="AC673" s="72"/>
      <c r="AD673" s="72"/>
      <c r="AE673" s="72"/>
      <c r="AF673" s="72"/>
      <c r="AG673" s="72"/>
      <c r="AH673" s="72"/>
      <c r="AI673" s="72"/>
      <c r="AJ673" s="72"/>
      <c r="AK673" s="72"/>
      <c r="AL673" s="72"/>
      <c r="AM673" s="72"/>
    </row>
    <row r="674" customFormat="false" ht="24" hidden="false" customHeight="true" outlineLevel="0" collapsed="false"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  <c r="AA674" s="72"/>
      <c r="AB674" s="72"/>
      <c r="AC674" s="72"/>
      <c r="AD674" s="72"/>
      <c r="AE674" s="72"/>
      <c r="AF674" s="72"/>
      <c r="AG674" s="72"/>
      <c r="AH674" s="72"/>
      <c r="AI674" s="72"/>
      <c r="AJ674" s="72"/>
      <c r="AK674" s="72"/>
      <c r="AL674" s="72"/>
      <c r="AM674" s="72"/>
    </row>
    <row r="675" customFormat="false" ht="24" hidden="false" customHeight="true" outlineLevel="0" collapsed="false"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  <c r="AA675" s="72"/>
      <c r="AB675" s="72"/>
      <c r="AC675" s="72"/>
      <c r="AD675" s="72"/>
      <c r="AE675" s="72"/>
      <c r="AF675" s="72"/>
      <c r="AG675" s="72"/>
      <c r="AH675" s="72"/>
      <c r="AI675" s="72"/>
      <c r="AJ675" s="72"/>
      <c r="AK675" s="72"/>
      <c r="AL675" s="72"/>
      <c r="AM675" s="72"/>
    </row>
    <row r="676" customFormat="false" ht="295.5" hidden="false" customHeight="true" outlineLevel="0" collapsed="false"/>
    <row r="677" customFormat="false" ht="6" hidden="false" customHeight="true" outlineLevel="0" collapsed="false"/>
    <row r="678" customFormat="false" ht="19.5" hidden="false" customHeight="true" outlineLevel="0" collapsed="false">
      <c r="B678" s="73" t="s">
        <v>107</v>
      </c>
      <c r="C678" s="73"/>
      <c r="D678" s="73"/>
      <c r="E678" s="73"/>
      <c r="F678" s="73"/>
      <c r="G678" s="73"/>
      <c r="H678" s="73"/>
      <c r="I678" s="73"/>
      <c r="J678" s="73"/>
      <c r="K678" s="73"/>
      <c r="L678" s="74" t="s">
        <v>108</v>
      </c>
      <c r="M678" s="74"/>
      <c r="N678" s="74"/>
      <c r="O678" s="74"/>
      <c r="P678" s="74"/>
      <c r="Q678" s="74"/>
      <c r="R678" s="74"/>
      <c r="S678" s="74"/>
      <c r="U678" s="73" t="s">
        <v>109</v>
      </c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4" t="s">
        <v>108</v>
      </c>
      <c r="AG678" s="74"/>
      <c r="AH678" s="74"/>
      <c r="AI678" s="74"/>
      <c r="AJ678" s="74"/>
      <c r="AK678" s="74"/>
      <c r="AL678" s="74"/>
      <c r="AM678" s="74"/>
    </row>
    <row r="679" customFormat="false" ht="9.75" hidden="false" customHeight="true" outlineLevel="0" collapsed="false"/>
    <row r="680" customFormat="false" ht="18" hidden="false" customHeight="true" outlineLevel="0" collapsed="false">
      <c r="B680" s="75" t="s">
        <v>110</v>
      </c>
      <c r="C680" s="75"/>
      <c r="D680" s="75"/>
      <c r="E680" s="75"/>
      <c r="F680" s="75"/>
      <c r="G680" s="75"/>
      <c r="H680" s="75"/>
      <c r="I680" s="75"/>
      <c r="J680" s="75"/>
      <c r="K680" s="75"/>
      <c r="L680" s="75"/>
      <c r="M680" s="75"/>
      <c r="N680" s="75"/>
      <c r="O680" s="75"/>
      <c r="P680" s="75"/>
      <c r="Q680" s="75"/>
      <c r="R680" s="75"/>
      <c r="S680" s="75"/>
      <c r="T680" s="76" t="s">
        <v>111</v>
      </c>
      <c r="U680" s="76"/>
      <c r="V680" s="76"/>
      <c r="W680" s="76"/>
      <c r="X680" s="76"/>
      <c r="Y680" s="76"/>
      <c r="Z680" s="76"/>
      <c r="AA680" s="76"/>
      <c r="AB680" s="76"/>
      <c r="AC680" s="76"/>
      <c r="AD680" s="76"/>
      <c r="AE680" s="76"/>
      <c r="AF680" s="76"/>
      <c r="AG680" s="76"/>
      <c r="AH680" s="76"/>
      <c r="AI680" s="76"/>
      <c r="AJ680" s="76"/>
      <c r="AK680" s="76"/>
      <c r="AL680" s="76"/>
      <c r="AM680" s="76"/>
    </row>
    <row r="681" customFormat="false" ht="7.5" hidden="false" customHeight="true" outlineLevel="0" collapsed="false"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</row>
    <row r="682" customFormat="false" ht="19.5" hidden="false" customHeight="true" outlineLevel="0" collapsed="false">
      <c r="B682" s="1"/>
      <c r="C682" s="51" t="s">
        <v>78</v>
      </c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  <c r="AA682" s="51"/>
      <c r="AB682" s="1"/>
      <c r="AC682" s="1"/>
      <c r="AD682" s="1"/>
      <c r="AE682" s="52" t="s">
        <v>79</v>
      </c>
      <c r="AF682" s="52"/>
      <c r="AG682" s="52"/>
      <c r="AH682" s="52"/>
      <c r="AI682" s="52"/>
      <c r="AJ682" s="52"/>
      <c r="AK682" s="52"/>
      <c r="AL682" s="1"/>
      <c r="AM682" s="1"/>
    </row>
    <row r="683" customFormat="false" ht="30" hidden="false" customHeight="true" outlineLevel="0" collapsed="false">
      <c r="B683" s="1"/>
      <c r="C683" s="53" t="s">
        <v>80</v>
      </c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4" t="s">
        <v>81</v>
      </c>
      <c r="AC683" s="54"/>
      <c r="AD683" s="54"/>
      <c r="AE683" s="54"/>
      <c r="AF683" s="54"/>
      <c r="AG683" s="54"/>
      <c r="AH683" s="54"/>
      <c r="AI683" s="54"/>
      <c r="AJ683" s="54"/>
      <c r="AK683" s="54"/>
      <c r="AL683" s="1"/>
      <c r="AM683" s="1"/>
    </row>
    <row r="684" customFormat="false" ht="15.75" hidden="false" customHeight="true" outlineLevel="0" collapsed="false">
      <c r="B684" s="1"/>
      <c r="C684" s="55" t="s">
        <v>82</v>
      </c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</row>
    <row r="685" customFormat="false" ht="9.75" hidden="false" customHeight="true" outlineLevel="0" collapsed="false"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</row>
    <row r="686" customFormat="false" ht="3.75" hidden="false" customHeight="true" outlineLevel="0" collapsed="false"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</row>
    <row r="687" customFormat="false" ht="7.5" hidden="false" customHeight="true" outlineLevel="0" collapsed="false"/>
    <row r="688" customFormat="false" ht="13.5" hidden="false" customHeight="true" outlineLevel="0" collapsed="false">
      <c r="B688" s="56" t="s">
        <v>83</v>
      </c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P688" s="56" t="s">
        <v>84</v>
      </c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C688" s="56" t="s">
        <v>85</v>
      </c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</row>
    <row r="689" customFormat="false" ht="21.75" hidden="false" customHeight="true" outlineLevel="0" collapsed="false">
      <c r="B689" s="57" t="str">
        <f aca="false">Dashboard!$C$6</f>
        <v>Bindhya TB</v>
      </c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P689" s="57" t="str">
        <f aca="false">Dashboard!$C$7</f>
        <v>Tourism &amp; Business</v>
      </c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C689" s="58" t="n">
        <f aca="false">Cal!A22</f>
        <v>46316</v>
      </c>
      <c r="AD689" s="58"/>
      <c r="AE689" s="58"/>
      <c r="AF689" s="58"/>
      <c r="AG689" s="58"/>
      <c r="AH689" s="58"/>
      <c r="AI689" s="58"/>
      <c r="AJ689" s="58"/>
      <c r="AK689" s="58"/>
      <c r="AL689" s="58"/>
      <c r="AM689" s="58"/>
    </row>
    <row r="690" customFormat="false" ht="9.75" hidden="false" customHeight="true" outlineLevel="0" collapsed="false"/>
    <row r="691" customFormat="false" ht="21.75" hidden="false" customHeight="true" outlineLevel="0" collapsed="false">
      <c r="B691" s="6"/>
      <c r="C691" s="19" t="s">
        <v>86</v>
      </c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59" t="s">
        <v>87</v>
      </c>
      <c r="Q691" s="59"/>
      <c r="R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  <c r="AF691" s="59"/>
      <c r="AG691" s="59"/>
      <c r="AH691" s="59"/>
      <c r="AI691" s="59"/>
      <c r="AJ691" s="59"/>
      <c r="AK691" s="59"/>
      <c r="AL691" s="59"/>
      <c r="AM691" s="59"/>
    </row>
    <row r="692" customFormat="false" ht="19.5" hidden="false" customHeight="true" outlineLevel="0" collapsed="false">
      <c r="B692" s="60"/>
      <c r="C692" s="61" t="n">
        <v>1</v>
      </c>
      <c r="D692" s="62" t="s">
        <v>88</v>
      </c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V692" s="60"/>
      <c r="W692" s="61" t="n">
        <v>2</v>
      </c>
      <c r="X692" s="62" t="s">
        <v>89</v>
      </c>
      <c r="Y692" s="62"/>
      <c r="Z692" s="62"/>
      <c r="AA692" s="62"/>
      <c r="AB692" s="62"/>
      <c r="AC692" s="62"/>
      <c r="AD692" s="62"/>
      <c r="AE692" s="62"/>
      <c r="AF692" s="62"/>
      <c r="AG692" s="62"/>
      <c r="AH692" s="62"/>
      <c r="AI692" s="62"/>
      <c r="AJ692" s="62"/>
      <c r="AK692" s="62"/>
      <c r="AL692" s="62"/>
      <c r="AM692" s="62"/>
    </row>
    <row r="693" customFormat="false" ht="49.5" hidden="false" customHeight="true" outlineLevel="0" collapsed="false">
      <c r="B693" s="63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5"/>
      <c r="V693" s="63"/>
      <c r="W693" s="77"/>
      <c r="X693" s="77"/>
      <c r="Y693" s="77"/>
      <c r="Z693" s="77"/>
      <c r="AA693" s="77"/>
      <c r="AB693" s="77"/>
      <c r="AC693" s="77"/>
      <c r="AD693" s="77"/>
      <c r="AE693" s="77"/>
      <c r="AF693" s="77"/>
      <c r="AG693" s="77"/>
      <c r="AH693" s="77"/>
      <c r="AI693" s="77"/>
      <c r="AJ693" s="77"/>
      <c r="AK693" s="77"/>
      <c r="AL693" s="77"/>
      <c r="AM693" s="65"/>
    </row>
    <row r="694" customFormat="false" ht="6" hidden="false" customHeight="true" outlineLevel="0" collapsed="false">
      <c r="B694" s="67"/>
      <c r="C694" s="68"/>
      <c r="D694" s="68"/>
      <c r="E694" s="68"/>
      <c r="F694" s="68"/>
      <c r="G694" s="68"/>
      <c r="H694" s="68"/>
      <c r="I694" s="68"/>
      <c r="J694" s="68"/>
      <c r="K694" s="68"/>
      <c r="L694" s="68"/>
      <c r="M694" s="68"/>
      <c r="N694" s="68"/>
      <c r="O694" s="68"/>
      <c r="P694" s="68"/>
      <c r="Q694" s="68"/>
      <c r="R694" s="68"/>
      <c r="S694" s="68"/>
      <c r="T694" s="69"/>
      <c r="V694" s="67"/>
      <c r="W694" s="68"/>
      <c r="X694" s="68"/>
      <c r="Y694" s="68"/>
      <c r="Z694" s="68"/>
      <c r="AA694" s="68"/>
      <c r="AB694" s="68"/>
      <c r="AC694" s="68"/>
      <c r="AD694" s="68"/>
      <c r="AE694" s="68"/>
      <c r="AF694" s="68"/>
      <c r="AG694" s="68"/>
      <c r="AH694" s="68"/>
      <c r="AI694" s="68"/>
      <c r="AJ694" s="68"/>
      <c r="AK694" s="68"/>
      <c r="AL694" s="68"/>
      <c r="AM694" s="69"/>
    </row>
    <row r="695" customFormat="false" ht="9.75" hidden="false" customHeight="true" outlineLevel="0" collapsed="false"/>
    <row r="696" customFormat="false" ht="21.75" hidden="false" customHeight="true" outlineLevel="0" collapsed="false">
      <c r="B696" s="6"/>
      <c r="C696" s="19" t="s">
        <v>91</v>
      </c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59" t="s">
        <v>92</v>
      </c>
      <c r="W696" s="59"/>
      <c r="X696" s="59"/>
      <c r="Y696" s="59"/>
      <c r="Z696" s="59"/>
      <c r="AA696" s="59"/>
      <c r="AB696" s="59"/>
      <c r="AC696" s="59"/>
      <c r="AD696" s="59"/>
      <c r="AE696" s="59"/>
      <c r="AF696" s="59"/>
      <c r="AG696" s="59"/>
      <c r="AH696" s="59"/>
      <c r="AI696" s="59"/>
      <c r="AJ696" s="59"/>
      <c r="AK696" s="59"/>
      <c r="AL696" s="59"/>
      <c r="AM696" s="59"/>
    </row>
    <row r="697" customFormat="false" ht="27.75" hidden="false" customHeight="true" outlineLevel="0" collapsed="false">
      <c r="B697" s="60"/>
      <c r="C697" s="61" t="n">
        <v>3</v>
      </c>
      <c r="D697" s="62" t="s">
        <v>93</v>
      </c>
      <c r="E697" s="62"/>
      <c r="F697" s="62"/>
      <c r="G697" s="62"/>
      <c r="H697" s="62"/>
      <c r="I697" s="62"/>
      <c r="J697" s="62"/>
      <c r="L697" s="60"/>
      <c r="M697" s="61" t="n">
        <v>4</v>
      </c>
      <c r="N697" s="62" t="s">
        <v>94</v>
      </c>
      <c r="O697" s="62"/>
      <c r="P697" s="62"/>
      <c r="Q697" s="62"/>
      <c r="R697" s="62"/>
      <c r="S697" s="62"/>
      <c r="T697" s="62"/>
      <c r="V697" s="60"/>
      <c r="W697" s="61" t="n">
        <v>5</v>
      </c>
      <c r="X697" s="62" t="s">
        <v>95</v>
      </c>
      <c r="Y697" s="62"/>
      <c r="Z697" s="62"/>
      <c r="AA697" s="62"/>
      <c r="AB697" s="62"/>
      <c r="AC697" s="62"/>
      <c r="AD697" s="62"/>
      <c r="AF697" s="60"/>
      <c r="AG697" s="61" t="n">
        <v>6</v>
      </c>
      <c r="AH697" s="62" t="s">
        <v>96</v>
      </c>
      <c r="AI697" s="62"/>
      <c r="AJ697" s="62"/>
      <c r="AK697" s="62"/>
      <c r="AL697" s="62"/>
      <c r="AM697" s="62"/>
    </row>
    <row r="698" customFormat="false" ht="25.5" hidden="false" customHeight="true" outlineLevel="0" collapsed="false">
      <c r="B698" s="63"/>
      <c r="C698" s="64"/>
      <c r="D698" s="64"/>
      <c r="E698" s="64"/>
      <c r="F698" s="64"/>
      <c r="G698" s="64"/>
      <c r="H698" s="64"/>
      <c r="I698" s="64"/>
      <c r="J698" s="65"/>
      <c r="L698" s="63"/>
      <c r="M698" s="64"/>
      <c r="N698" s="64"/>
      <c r="O698" s="64"/>
      <c r="P698" s="64"/>
      <c r="Q698" s="64"/>
      <c r="R698" s="64"/>
      <c r="S698" s="64"/>
      <c r="T698" s="65"/>
      <c r="V698" s="63"/>
      <c r="W698" s="70"/>
      <c r="X698" s="70"/>
      <c r="Y698" s="70"/>
      <c r="Z698" s="70"/>
      <c r="AA698" s="70"/>
      <c r="AB698" s="70"/>
      <c r="AC698" s="70"/>
      <c r="AD698" s="65"/>
      <c r="AF698" s="63"/>
      <c r="AG698" s="64"/>
      <c r="AH698" s="64"/>
      <c r="AI698" s="64"/>
      <c r="AJ698" s="64"/>
      <c r="AK698" s="64"/>
      <c r="AL698" s="64"/>
      <c r="AM698" s="65"/>
    </row>
    <row r="699" customFormat="false" ht="6" hidden="false" customHeight="true" outlineLevel="0" collapsed="false">
      <c r="B699" s="67"/>
      <c r="C699" s="68"/>
      <c r="D699" s="68"/>
      <c r="E699" s="68"/>
      <c r="F699" s="68"/>
      <c r="G699" s="68"/>
      <c r="H699" s="68"/>
      <c r="I699" s="68"/>
      <c r="J699" s="69"/>
      <c r="L699" s="67"/>
      <c r="M699" s="68"/>
      <c r="N699" s="68"/>
      <c r="O699" s="68"/>
      <c r="P699" s="68"/>
      <c r="Q699" s="68"/>
      <c r="R699" s="68"/>
      <c r="S699" s="68"/>
      <c r="T699" s="69"/>
      <c r="V699" s="67"/>
      <c r="W699" s="68"/>
      <c r="X699" s="68"/>
      <c r="Y699" s="68"/>
      <c r="Z699" s="68"/>
      <c r="AA699" s="68"/>
      <c r="AB699" s="68"/>
      <c r="AC699" s="68"/>
      <c r="AD699" s="69"/>
      <c r="AF699" s="67"/>
      <c r="AG699" s="68"/>
      <c r="AH699" s="68"/>
      <c r="AI699" s="68"/>
      <c r="AJ699" s="68"/>
      <c r="AK699" s="68"/>
      <c r="AL699" s="68"/>
      <c r="AM699" s="69"/>
    </row>
    <row r="700" customFormat="false" ht="9.75" hidden="false" customHeight="true" outlineLevel="0" collapsed="false"/>
    <row r="701" customFormat="false" ht="21.75" hidden="false" customHeight="true" outlineLevel="0" collapsed="false">
      <c r="B701" s="6"/>
      <c r="C701" s="19" t="s">
        <v>98</v>
      </c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59" t="s">
        <v>99</v>
      </c>
      <c r="W701" s="59"/>
      <c r="X701" s="59"/>
      <c r="Y701" s="59"/>
      <c r="Z701" s="59"/>
      <c r="AA701" s="59"/>
      <c r="AB701" s="59"/>
      <c r="AC701" s="59"/>
      <c r="AD701" s="59"/>
      <c r="AE701" s="59"/>
      <c r="AF701" s="59"/>
      <c r="AG701" s="59"/>
      <c r="AH701" s="59"/>
      <c r="AI701" s="59"/>
      <c r="AJ701" s="59"/>
      <c r="AK701" s="59"/>
      <c r="AL701" s="59"/>
      <c r="AM701" s="59"/>
    </row>
    <row r="702" customFormat="false" ht="27.75" hidden="false" customHeight="true" outlineLevel="0" collapsed="false">
      <c r="B702" s="60"/>
      <c r="C702" s="61" t="n">
        <v>7</v>
      </c>
      <c r="D702" s="62" t="s">
        <v>100</v>
      </c>
      <c r="E702" s="62"/>
      <c r="F702" s="62"/>
      <c r="G702" s="62"/>
      <c r="H702" s="62"/>
      <c r="J702" s="60"/>
      <c r="K702" s="61" t="n">
        <v>8</v>
      </c>
      <c r="L702" s="62" t="s">
        <v>101</v>
      </c>
      <c r="M702" s="62"/>
      <c r="N702" s="62"/>
      <c r="O702" s="62"/>
      <c r="P702" s="62"/>
      <c r="R702" s="60"/>
      <c r="S702" s="61" t="n">
        <v>9</v>
      </c>
      <c r="T702" s="62" t="s">
        <v>102</v>
      </c>
      <c r="U702" s="62"/>
      <c r="V702" s="62"/>
      <c r="W702" s="62"/>
      <c r="X702" s="62"/>
      <c r="Z702" s="60"/>
      <c r="AA702" s="61" t="n">
        <v>10</v>
      </c>
      <c r="AB702" s="62" t="s">
        <v>103</v>
      </c>
      <c r="AC702" s="62"/>
      <c r="AD702" s="62"/>
      <c r="AE702" s="62"/>
      <c r="AF702" s="62"/>
      <c r="AH702" s="60"/>
      <c r="AI702" s="61" t="n">
        <v>11</v>
      </c>
      <c r="AJ702" s="62" t="s">
        <v>104</v>
      </c>
      <c r="AK702" s="62"/>
      <c r="AL702" s="62"/>
      <c r="AM702" s="62"/>
    </row>
    <row r="703" customFormat="false" ht="25.5" hidden="false" customHeight="true" outlineLevel="0" collapsed="false">
      <c r="B703" s="63"/>
      <c r="C703" s="64"/>
      <c r="D703" s="64"/>
      <c r="E703" s="64"/>
      <c r="F703" s="64"/>
      <c r="G703" s="64"/>
      <c r="H703" s="65"/>
      <c r="J703" s="63"/>
      <c r="K703" s="64"/>
      <c r="L703" s="64"/>
      <c r="M703" s="64"/>
      <c r="N703" s="64"/>
      <c r="O703" s="64"/>
      <c r="P703" s="65"/>
      <c r="R703" s="63"/>
      <c r="S703" s="64"/>
      <c r="T703" s="64"/>
      <c r="U703" s="64"/>
      <c r="V703" s="64"/>
      <c r="W703" s="64"/>
      <c r="X703" s="65"/>
      <c r="Z703" s="63"/>
      <c r="AA703" s="64"/>
      <c r="AB703" s="64"/>
      <c r="AC703" s="64"/>
      <c r="AD703" s="64"/>
      <c r="AE703" s="64"/>
      <c r="AF703" s="65"/>
      <c r="AH703" s="63"/>
      <c r="AI703" s="64"/>
      <c r="AJ703" s="64"/>
      <c r="AK703" s="64"/>
      <c r="AL703" s="64"/>
      <c r="AM703" s="65"/>
    </row>
    <row r="704" customFormat="false" ht="6" hidden="false" customHeight="true" outlineLevel="0" collapsed="false">
      <c r="B704" s="67"/>
      <c r="C704" s="68"/>
      <c r="D704" s="68"/>
      <c r="E704" s="68"/>
      <c r="F704" s="68"/>
      <c r="G704" s="68"/>
      <c r="H704" s="69"/>
      <c r="J704" s="67"/>
      <c r="K704" s="68"/>
      <c r="L704" s="68"/>
      <c r="M704" s="68"/>
      <c r="N704" s="68"/>
      <c r="O704" s="68"/>
      <c r="P704" s="69"/>
      <c r="R704" s="67"/>
      <c r="S704" s="68"/>
      <c r="T704" s="68"/>
      <c r="U704" s="68"/>
      <c r="V704" s="68"/>
      <c r="W704" s="68"/>
      <c r="X704" s="69"/>
      <c r="Z704" s="67"/>
      <c r="AA704" s="68"/>
      <c r="AB704" s="68"/>
      <c r="AC704" s="68"/>
      <c r="AD704" s="68"/>
      <c r="AE704" s="68"/>
      <c r="AF704" s="69"/>
      <c r="AH704" s="67"/>
      <c r="AI704" s="68"/>
      <c r="AJ704" s="68"/>
      <c r="AK704" s="68"/>
      <c r="AL704" s="68"/>
      <c r="AM704" s="69"/>
    </row>
    <row r="705" customFormat="false" ht="9.75" hidden="false" customHeight="true" outlineLevel="0" collapsed="false"/>
    <row r="706" customFormat="false" ht="21.75" hidden="false" customHeight="true" outlineLevel="0" collapsed="false">
      <c r="B706" s="6"/>
      <c r="C706" s="19" t="s">
        <v>105</v>
      </c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59" t="s">
        <v>106</v>
      </c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  <c r="AF706" s="59"/>
      <c r="AG706" s="59"/>
      <c r="AH706" s="59"/>
      <c r="AI706" s="59"/>
      <c r="AJ706" s="59"/>
      <c r="AK706" s="59"/>
      <c r="AL706" s="59"/>
      <c r="AM706" s="59"/>
    </row>
    <row r="707" customFormat="false" ht="24" hidden="false" customHeight="true" outlineLevel="0" collapsed="false"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  <c r="AA707" s="72"/>
      <c r="AB707" s="72"/>
      <c r="AC707" s="72"/>
      <c r="AD707" s="72"/>
      <c r="AE707" s="72"/>
      <c r="AF707" s="72"/>
      <c r="AG707" s="72"/>
      <c r="AH707" s="72"/>
      <c r="AI707" s="72"/>
      <c r="AJ707" s="72"/>
      <c r="AK707" s="72"/>
      <c r="AL707" s="72"/>
      <c r="AM707" s="72"/>
    </row>
    <row r="708" customFormat="false" ht="24" hidden="false" customHeight="true" outlineLevel="0" collapsed="false"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  <c r="AA708" s="72"/>
      <c r="AB708" s="72"/>
      <c r="AC708" s="72"/>
      <c r="AD708" s="72"/>
      <c r="AE708" s="72"/>
      <c r="AF708" s="72"/>
      <c r="AG708" s="72"/>
      <c r="AH708" s="72"/>
      <c r="AI708" s="72"/>
      <c r="AJ708" s="72"/>
      <c r="AK708" s="72"/>
      <c r="AL708" s="72"/>
      <c r="AM708" s="72"/>
    </row>
    <row r="709" customFormat="false" ht="24" hidden="false" customHeight="true" outlineLevel="0" collapsed="false"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  <c r="AA709" s="72"/>
      <c r="AB709" s="72"/>
      <c r="AC709" s="72"/>
      <c r="AD709" s="72"/>
      <c r="AE709" s="72"/>
      <c r="AF709" s="72"/>
      <c r="AG709" s="72"/>
      <c r="AH709" s="72"/>
      <c r="AI709" s="72"/>
      <c r="AJ709" s="72"/>
      <c r="AK709" s="72"/>
      <c r="AL709" s="72"/>
      <c r="AM709" s="72"/>
    </row>
    <row r="710" customFormat="false" ht="295.5" hidden="false" customHeight="true" outlineLevel="0" collapsed="false"/>
    <row r="711" customFormat="false" ht="6" hidden="false" customHeight="true" outlineLevel="0" collapsed="false"/>
    <row r="712" customFormat="false" ht="19.5" hidden="false" customHeight="true" outlineLevel="0" collapsed="false">
      <c r="B712" s="73" t="s">
        <v>107</v>
      </c>
      <c r="C712" s="73"/>
      <c r="D712" s="73"/>
      <c r="E712" s="73"/>
      <c r="F712" s="73"/>
      <c r="G712" s="73"/>
      <c r="H712" s="73"/>
      <c r="I712" s="73"/>
      <c r="J712" s="73"/>
      <c r="K712" s="73"/>
      <c r="L712" s="74" t="s">
        <v>108</v>
      </c>
      <c r="M712" s="74"/>
      <c r="N712" s="74"/>
      <c r="O712" s="74"/>
      <c r="P712" s="74"/>
      <c r="Q712" s="74"/>
      <c r="R712" s="74"/>
      <c r="S712" s="74"/>
      <c r="U712" s="73" t="s">
        <v>109</v>
      </c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4" t="s">
        <v>108</v>
      </c>
      <c r="AG712" s="74"/>
      <c r="AH712" s="74"/>
      <c r="AI712" s="74"/>
      <c r="AJ712" s="74"/>
      <c r="AK712" s="74"/>
      <c r="AL712" s="74"/>
      <c r="AM712" s="74"/>
    </row>
    <row r="713" customFormat="false" ht="9.75" hidden="false" customHeight="true" outlineLevel="0" collapsed="false"/>
    <row r="714" customFormat="false" ht="18" hidden="false" customHeight="true" outlineLevel="0" collapsed="false">
      <c r="B714" s="75" t="s">
        <v>110</v>
      </c>
      <c r="C714" s="75"/>
      <c r="D714" s="75"/>
      <c r="E714" s="75"/>
      <c r="F714" s="75"/>
      <c r="G714" s="75"/>
      <c r="H714" s="75"/>
      <c r="I714" s="75"/>
      <c r="J714" s="75"/>
      <c r="K714" s="75"/>
      <c r="L714" s="75"/>
      <c r="M714" s="75"/>
      <c r="N714" s="75"/>
      <c r="O714" s="75"/>
      <c r="P714" s="75"/>
      <c r="Q714" s="75"/>
      <c r="R714" s="75"/>
      <c r="S714" s="75"/>
      <c r="T714" s="76" t="s">
        <v>111</v>
      </c>
      <c r="U714" s="76"/>
      <c r="V714" s="76"/>
      <c r="W714" s="76"/>
      <c r="X714" s="76"/>
      <c r="Y714" s="76"/>
      <c r="Z714" s="76"/>
      <c r="AA714" s="76"/>
      <c r="AB714" s="76"/>
      <c r="AC714" s="76"/>
      <c r="AD714" s="76"/>
      <c r="AE714" s="76"/>
      <c r="AF714" s="76"/>
      <c r="AG714" s="76"/>
      <c r="AH714" s="76"/>
      <c r="AI714" s="76"/>
      <c r="AJ714" s="76"/>
      <c r="AK714" s="76"/>
      <c r="AL714" s="76"/>
      <c r="AM714" s="76"/>
    </row>
    <row r="715" customFormat="false" ht="7.5" hidden="false" customHeight="true" outlineLevel="0" collapsed="false"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</row>
    <row r="716" customFormat="false" ht="19.5" hidden="false" customHeight="true" outlineLevel="0" collapsed="false">
      <c r="B716" s="1"/>
      <c r="C716" s="51" t="s">
        <v>78</v>
      </c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  <c r="AA716" s="51"/>
      <c r="AB716" s="1"/>
      <c r="AC716" s="1"/>
      <c r="AD716" s="1"/>
      <c r="AE716" s="52" t="s">
        <v>79</v>
      </c>
      <c r="AF716" s="52"/>
      <c r="AG716" s="52"/>
      <c r="AH716" s="52"/>
      <c r="AI716" s="52"/>
      <c r="AJ716" s="52"/>
      <c r="AK716" s="52"/>
      <c r="AL716" s="1"/>
      <c r="AM716" s="1"/>
    </row>
    <row r="717" customFormat="false" ht="30" hidden="false" customHeight="true" outlineLevel="0" collapsed="false">
      <c r="B717" s="1"/>
      <c r="C717" s="53" t="s">
        <v>80</v>
      </c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4" t="s">
        <v>81</v>
      </c>
      <c r="AC717" s="54"/>
      <c r="AD717" s="54"/>
      <c r="AE717" s="54"/>
      <c r="AF717" s="54"/>
      <c r="AG717" s="54"/>
      <c r="AH717" s="54"/>
      <c r="AI717" s="54"/>
      <c r="AJ717" s="54"/>
      <c r="AK717" s="54"/>
      <c r="AL717" s="1"/>
      <c r="AM717" s="1"/>
    </row>
    <row r="718" customFormat="false" ht="15.75" hidden="false" customHeight="true" outlineLevel="0" collapsed="false">
      <c r="B718" s="1"/>
      <c r="C718" s="55" t="s">
        <v>82</v>
      </c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</row>
    <row r="719" customFormat="false" ht="9.75" hidden="false" customHeight="true" outlineLevel="0" collapsed="false"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</row>
    <row r="720" customFormat="false" ht="3.75" hidden="false" customHeight="true" outlineLevel="0" collapsed="false"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</row>
    <row r="721" customFormat="false" ht="7.5" hidden="false" customHeight="true" outlineLevel="0" collapsed="false"/>
    <row r="722" customFormat="false" ht="13.5" hidden="false" customHeight="true" outlineLevel="0" collapsed="false">
      <c r="B722" s="56" t="s">
        <v>83</v>
      </c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P722" s="56" t="s">
        <v>84</v>
      </c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C722" s="56" t="s">
        <v>85</v>
      </c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</row>
    <row r="723" customFormat="false" ht="21.75" hidden="false" customHeight="true" outlineLevel="0" collapsed="false">
      <c r="B723" s="57" t="str">
        <f aca="false">Dashboard!$C$6</f>
        <v>Bindhya TB</v>
      </c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P723" s="57" t="str">
        <f aca="false">Dashboard!$C$7</f>
        <v>Tourism &amp; Business</v>
      </c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C723" s="58" t="n">
        <f aca="false">Cal!A23</f>
        <v>46317</v>
      </c>
      <c r="AD723" s="58"/>
      <c r="AE723" s="58"/>
      <c r="AF723" s="58"/>
      <c r="AG723" s="58"/>
      <c r="AH723" s="58"/>
      <c r="AI723" s="58"/>
      <c r="AJ723" s="58"/>
      <c r="AK723" s="58"/>
      <c r="AL723" s="58"/>
      <c r="AM723" s="58"/>
    </row>
    <row r="724" customFormat="false" ht="9.75" hidden="false" customHeight="true" outlineLevel="0" collapsed="false"/>
    <row r="725" customFormat="false" ht="21.75" hidden="false" customHeight="true" outlineLevel="0" collapsed="false">
      <c r="B725" s="6"/>
      <c r="C725" s="19" t="s">
        <v>86</v>
      </c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59" t="s">
        <v>87</v>
      </c>
      <c r="Q725" s="59"/>
      <c r="R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  <c r="AF725" s="59"/>
      <c r="AG725" s="59"/>
      <c r="AH725" s="59"/>
      <c r="AI725" s="59"/>
      <c r="AJ725" s="59"/>
      <c r="AK725" s="59"/>
      <c r="AL725" s="59"/>
      <c r="AM725" s="59"/>
    </row>
    <row r="726" customFormat="false" ht="19.5" hidden="false" customHeight="true" outlineLevel="0" collapsed="false">
      <c r="B726" s="60"/>
      <c r="C726" s="61" t="n">
        <v>1</v>
      </c>
      <c r="D726" s="62" t="s">
        <v>88</v>
      </c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V726" s="60"/>
      <c r="W726" s="61" t="n">
        <v>2</v>
      </c>
      <c r="X726" s="62" t="s">
        <v>89</v>
      </c>
      <c r="Y726" s="62"/>
      <c r="Z726" s="62"/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  <c r="AK726" s="62"/>
      <c r="AL726" s="62"/>
      <c r="AM726" s="62"/>
    </row>
    <row r="727" customFormat="false" ht="49.5" hidden="false" customHeight="true" outlineLevel="0" collapsed="false">
      <c r="B727" s="63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5"/>
      <c r="V727" s="63"/>
      <c r="W727" s="77"/>
      <c r="X727" s="77"/>
      <c r="Y727" s="77"/>
      <c r="Z727" s="77"/>
      <c r="AA727" s="77"/>
      <c r="AB727" s="77"/>
      <c r="AC727" s="77"/>
      <c r="AD727" s="77"/>
      <c r="AE727" s="77"/>
      <c r="AF727" s="77"/>
      <c r="AG727" s="77"/>
      <c r="AH727" s="77"/>
      <c r="AI727" s="77"/>
      <c r="AJ727" s="77"/>
      <c r="AK727" s="77"/>
      <c r="AL727" s="77"/>
      <c r="AM727" s="65"/>
    </row>
    <row r="728" customFormat="false" ht="6" hidden="false" customHeight="true" outlineLevel="0" collapsed="false">
      <c r="B728" s="67"/>
      <c r="C728" s="68"/>
      <c r="D728" s="68"/>
      <c r="E728" s="68"/>
      <c r="F728" s="68"/>
      <c r="G728" s="68"/>
      <c r="H728" s="68"/>
      <c r="I728" s="68"/>
      <c r="J728" s="68"/>
      <c r="K728" s="68"/>
      <c r="L728" s="68"/>
      <c r="M728" s="68"/>
      <c r="N728" s="68"/>
      <c r="O728" s="68"/>
      <c r="P728" s="68"/>
      <c r="Q728" s="68"/>
      <c r="R728" s="68"/>
      <c r="S728" s="68"/>
      <c r="T728" s="69"/>
      <c r="V728" s="67"/>
      <c r="W728" s="68"/>
      <c r="X728" s="68"/>
      <c r="Y728" s="68"/>
      <c r="Z728" s="68"/>
      <c r="AA728" s="68"/>
      <c r="AB728" s="68"/>
      <c r="AC728" s="68"/>
      <c r="AD728" s="68"/>
      <c r="AE728" s="68"/>
      <c r="AF728" s="68"/>
      <c r="AG728" s="68"/>
      <c r="AH728" s="68"/>
      <c r="AI728" s="68"/>
      <c r="AJ728" s="68"/>
      <c r="AK728" s="68"/>
      <c r="AL728" s="68"/>
      <c r="AM728" s="69"/>
    </row>
    <row r="729" customFormat="false" ht="9.75" hidden="false" customHeight="true" outlineLevel="0" collapsed="false"/>
    <row r="730" customFormat="false" ht="21.75" hidden="false" customHeight="true" outlineLevel="0" collapsed="false">
      <c r="B730" s="6"/>
      <c r="C730" s="19" t="s">
        <v>91</v>
      </c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59" t="s">
        <v>92</v>
      </c>
      <c r="W730" s="59"/>
      <c r="X730" s="59"/>
      <c r="Y730" s="59"/>
      <c r="Z730" s="59"/>
      <c r="AA730" s="59"/>
      <c r="AB730" s="59"/>
      <c r="AC730" s="59"/>
      <c r="AD730" s="59"/>
      <c r="AE730" s="59"/>
      <c r="AF730" s="59"/>
      <c r="AG730" s="59"/>
      <c r="AH730" s="59"/>
      <c r="AI730" s="59"/>
      <c r="AJ730" s="59"/>
      <c r="AK730" s="59"/>
      <c r="AL730" s="59"/>
      <c r="AM730" s="59"/>
    </row>
    <row r="731" customFormat="false" ht="27.75" hidden="false" customHeight="true" outlineLevel="0" collapsed="false">
      <c r="B731" s="60"/>
      <c r="C731" s="61" t="n">
        <v>3</v>
      </c>
      <c r="D731" s="62" t="s">
        <v>93</v>
      </c>
      <c r="E731" s="62"/>
      <c r="F731" s="62"/>
      <c r="G731" s="62"/>
      <c r="H731" s="62"/>
      <c r="I731" s="62"/>
      <c r="J731" s="62"/>
      <c r="L731" s="60"/>
      <c r="M731" s="61" t="n">
        <v>4</v>
      </c>
      <c r="N731" s="62" t="s">
        <v>94</v>
      </c>
      <c r="O731" s="62"/>
      <c r="P731" s="62"/>
      <c r="Q731" s="62"/>
      <c r="R731" s="62"/>
      <c r="S731" s="62"/>
      <c r="T731" s="62"/>
      <c r="V731" s="60"/>
      <c r="W731" s="61" t="n">
        <v>5</v>
      </c>
      <c r="X731" s="62" t="s">
        <v>95</v>
      </c>
      <c r="Y731" s="62"/>
      <c r="Z731" s="62"/>
      <c r="AA731" s="62"/>
      <c r="AB731" s="62"/>
      <c r="AC731" s="62"/>
      <c r="AD731" s="62"/>
      <c r="AF731" s="60"/>
      <c r="AG731" s="61" t="n">
        <v>6</v>
      </c>
      <c r="AH731" s="62" t="s">
        <v>96</v>
      </c>
      <c r="AI731" s="62"/>
      <c r="AJ731" s="62"/>
      <c r="AK731" s="62"/>
      <c r="AL731" s="62"/>
      <c r="AM731" s="62"/>
    </row>
    <row r="732" customFormat="false" ht="25.5" hidden="false" customHeight="true" outlineLevel="0" collapsed="false">
      <c r="B732" s="63"/>
      <c r="C732" s="64"/>
      <c r="D732" s="64"/>
      <c r="E732" s="64"/>
      <c r="F732" s="64"/>
      <c r="G732" s="64"/>
      <c r="H732" s="64"/>
      <c r="I732" s="64"/>
      <c r="J732" s="65"/>
      <c r="L732" s="63"/>
      <c r="M732" s="64"/>
      <c r="N732" s="64"/>
      <c r="O732" s="64"/>
      <c r="P732" s="64"/>
      <c r="Q732" s="64"/>
      <c r="R732" s="64"/>
      <c r="S732" s="64"/>
      <c r="T732" s="65"/>
      <c r="V732" s="63"/>
      <c r="W732" s="70"/>
      <c r="X732" s="70"/>
      <c r="Y732" s="70"/>
      <c r="Z732" s="70"/>
      <c r="AA732" s="70"/>
      <c r="AB732" s="70"/>
      <c r="AC732" s="70"/>
      <c r="AD732" s="65"/>
      <c r="AF732" s="63"/>
      <c r="AG732" s="64"/>
      <c r="AH732" s="64"/>
      <c r="AI732" s="64"/>
      <c r="AJ732" s="64"/>
      <c r="AK732" s="64"/>
      <c r="AL732" s="64"/>
      <c r="AM732" s="65"/>
    </row>
    <row r="733" customFormat="false" ht="6" hidden="false" customHeight="true" outlineLevel="0" collapsed="false">
      <c r="B733" s="67"/>
      <c r="C733" s="68"/>
      <c r="D733" s="68"/>
      <c r="E733" s="68"/>
      <c r="F733" s="68"/>
      <c r="G733" s="68"/>
      <c r="H733" s="68"/>
      <c r="I733" s="68"/>
      <c r="J733" s="69"/>
      <c r="L733" s="67"/>
      <c r="M733" s="68"/>
      <c r="N733" s="68"/>
      <c r="O733" s="68"/>
      <c r="P733" s="68"/>
      <c r="Q733" s="68"/>
      <c r="R733" s="68"/>
      <c r="S733" s="68"/>
      <c r="T733" s="69"/>
      <c r="V733" s="67"/>
      <c r="W733" s="68"/>
      <c r="X733" s="68"/>
      <c r="Y733" s="68"/>
      <c r="Z733" s="68"/>
      <c r="AA733" s="68"/>
      <c r="AB733" s="68"/>
      <c r="AC733" s="68"/>
      <c r="AD733" s="69"/>
      <c r="AF733" s="67"/>
      <c r="AG733" s="68"/>
      <c r="AH733" s="68"/>
      <c r="AI733" s="68"/>
      <c r="AJ733" s="68"/>
      <c r="AK733" s="68"/>
      <c r="AL733" s="68"/>
      <c r="AM733" s="69"/>
    </row>
    <row r="734" customFormat="false" ht="9.75" hidden="false" customHeight="true" outlineLevel="0" collapsed="false"/>
    <row r="735" customFormat="false" ht="21.75" hidden="false" customHeight="true" outlineLevel="0" collapsed="false">
      <c r="B735" s="6"/>
      <c r="C735" s="19" t="s">
        <v>98</v>
      </c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59" t="s">
        <v>99</v>
      </c>
      <c r="W735" s="59"/>
      <c r="X735" s="59"/>
      <c r="Y735" s="59"/>
      <c r="Z735" s="59"/>
      <c r="AA735" s="59"/>
      <c r="AB735" s="59"/>
      <c r="AC735" s="59"/>
      <c r="AD735" s="59"/>
      <c r="AE735" s="59"/>
      <c r="AF735" s="59"/>
      <c r="AG735" s="59"/>
      <c r="AH735" s="59"/>
      <c r="AI735" s="59"/>
      <c r="AJ735" s="59"/>
      <c r="AK735" s="59"/>
      <c r="AL735" s="59"/>
      <c r="AM735" s="59"/>
    </row>
    <row r="736" customFormat="false" ht="27.75" hidden="false" customHeight="true" outlineLevel="0" collapsed="false">
      <c r="B736" s="60"/>
      <c r="C736" s="61" t="n">
        <v>7</v>
      </c>
      <c r="D736" s="62" t="s">
        <v>100</v>
      </c>
      <c r="E736" s="62"/>
      <c r="F736" s="62"/>
      <c r="G736" s="62"/>
      <c r="H736" s="62"/>
      <c r="J736" s="60"/>
      <c r="K736" s="61" t="n">
        <v>8</v>
      </c>
      <c r="L736" s="62" t="s">
        <v>101</v>
      </c>
      <c r="M736" s="62"/>
      <c r="N736" s="62"/>
      <c r="O736" s="62"/>
      <c r="P736" s="62"/>
      <c r="R736" s="60"/>
      <c r="S736" s="61" t="n">
        <v>9</v>
      </c>
      <c r="T736" s="62" t="s">
        <v>102</v>
      </c>
      <c r="U736" s="62"/>
      <c r="V736" s="62"/>
      <c r="W736" s="62"/>
      <c r="X736" s="62"/>
      <c r="Z736" s="60"/>
      <c r="AA736" s="61" t="n">
        <v>10</v>
      </c>
      <c r="AB736" s="62" t="s">
        <v>103</v>
      </c>
      <c r="AC736" s="62"/>
      <c r="AD736" s="62"/>
      <c r="AE736" s="62"/>
      <c r="AF736" s="62"/>
      <c r="AH736" s="60"/>
      <c r="AI736" s="61" t="n">
        <v>11</v>
      </c>
      <c r="AJ736" s="62" t="s">
        <v>104</v>
      </c>
      <c r="AK736" s="62"/>
      <c r="AL736" s="62"/>
      <c r="AM736" s="62"/>
    </row>
    <row r="737" customFormat="false" ht="25.5" hidden="false" customHeight="true" outlineLevel="0" collapsed="false">
      <c r="B737" s="63"/>
      <c r="C737" s="64"/>
      <c r="D737" s="64"/>
      <c r="E737" s="64"/>
      <c r="F737" s="64"/>
      <c r="G737" s="64"/>
      <c r="H737" s="65"/>
      <c r="J737" s="63"/>
      <c r="K737" s="64"/>
      <c r="L737" s="64"/>
      <c r="M737" s="64"/>
      <c r="N737" s="64"/>
      <c r="O737" s="64"/>
      <c r="P737" s="65"/>
      <c r="R737" s="63"/>
      <c r="S737" s="64"/>
      <c r="T737" s="64"/>
      <c r="U737" s="64"/>
      <c r="V737" s="64"/>
      <c r="W737" s="64"/>
      <c r="X737" s="65"/>
      <c r="Z737" s="63"/>
      <c r="AA737" s="64"/>
      <c r="AB737" s="64"/>
      <c r="AC737" s="64"/>
      <c r="AD737" s="64"/>
      <c r="AE737" s="64"/>
      <c r="AF737" s="65"/>
      <c r="AH737" s="63"/>
      <c r="AI737" s="64"/>
      <c r="AJ737" s="64"/>
      <c r="AK737" s="64"/>
      <c r="AL737" s="64"/>
      <c r="AM737" s="65"/>
    </row>
    <row r="738" customFormat="false" ht="6" hidden="false" customHeight="true" outlineLevel="0" collapsed="false">
      <c r="B738" s="67"/>
      <c r="C738" s="68"/>
      <c r="D738" s="68"/>
      <c r="E738" s="68"/>
      <c r="F738" s="68"/>
      <c r="G738" s="68"/>
      <c r="H738" s="69"/>
      <c r="J738" s="67"/>
      <c r="K738" s="68"/>
      <c r="L738" s="68"/>
      <c r="M738" s="68"/>
      <c r="N738" s="68"/>
      <c r="O738" s="68"/>
      <c r="P738" s="69"/>
      <c r="R738" s="67"/>
      <c r="S738" s="68"/>
      <c r="T738" s="68"/>
      <c r="U738" s="68"/>
      <c r="V738" s="68"/>
      <c r="W738" s="68"/>
      <c r="X738" s="69"/>
      <c r="Z738" s="67"/>
      <c r="AA738" s="68"/>
      <c r="AB738" s="68"/>
      <c r="AC738" s="68"/>
      <c r="AD738" s="68"/>
      <c r="AE738" s="68"/>
      <c r="AF738" s="69"/>
      <c r="AH738" s="67"/>
      <c r="AI738" s="68"/>
      <c r="AJ738" s="68"/>
      <c r="AK738" s="68"/>
      <c r="AL738" s="68"/>
      <c r="AM738" s="69"/>
    </row>
    <row r="739" customFormat="false" ht="9.75" hidden="false" customHeight="true" outlineLevel="0" collapsed="false"/>
    <row r="740" customFormat="false" ht="21.75" hidden="false" customHeight="true" outlineLevel="0" collapsed="false">
      <c r="B740" s="6"/>
      <c r="C740" s="19" t="s">
        <v>105</v>
      </c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59" t="s">
        <v>106</v>
      </c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  <c r="AF740" s="59"/>
      <c r="AG740" s="59"/>
      <c r="AH740" s="59"/>
      <c r="AI740" s="59"/>
      <c r="AJ740" s="59"/>
      <c r="AK740" s="59"/>
      <c r="AL740" s="59"/>
      <c r="AM740" s="59"/>
    </row>
    <row r="741" customFormat="false" ht="24" hidden="false" customHeight="true" outlineLevel="0" collapsed="false"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  <c r="AA741" s="72"/>
      <c r="AB741" s="72"/>
      <c r="AC741" s="72"/>
      <c r="AD741" s="72"/>
      <c r="AE741" s="72"/>
      <c r="AF741" s="72"/>
      <c r="AG741" s="72"/>
      <c r="AH741" s="72"/>
      <c r="AI741" s="72"/>
      <c r="AJ741" s="72"/>
      <c r="AK741" s="72"/>
      <c r="AL741" s="72"/>
      <c r="AM741" s="72"/>
    </row>
    <row r="742" customFormat="false" ht="24" hidden="false" customHeight="true" outlineLevel="0" collapsed="false"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  <c r="AA742" s="72"/>
      <c r="AB742" s="72"/>
      <c r="AC742" s="72"/>
      <c r="AD742" s="72"/>
      <c r="AE742" s="72"/>
      <c r="AF742" s="72"/>
      <c r="AG742" s="72"/>
      <c r="AH742" s="72"/>
      <c r="AI742" s="72"/>
      <c r="AJ742" s="72"/>
      <c r="AK742" s="72"/>
      <c r="AL742" s="72"/>
      <c r="AM742" s="72"/>
    </row>
    <row r="743" customFormat="false" ht="24" hidden="false" customHeight="true" outlineLevel="0" collapsed="false"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  <c r="AA743" s="72"/>
      <c r="AB743" s="72"/>
      <c r="AC743" s="72"/>
      <c r="AD743" s="72"/>
      <c r="AE743" s="72"/>
      <c r="AF743" s="72"/>
      <c r="AG743" s="72"/>
      <c r="AH743" s="72"/>
      <c r="AI743" s="72"/>
      <c r="AJ743" s="72"/>
      <c r="AK743" s="72"/>
      <c r="AL743" s="72"/>
      <c r="AM743" s="72"/>
    </row>
    <row r="744" customFormat="false" ht="295.5" hidden="false" customHeight="true" outlineLevel="0" collapsed="false"/>
    <row r="745" customFormat="false" ht="6" hidden="false" customHeight="true" outlineLevel="0" collapsed="false"/>
    <row r="746" customFormat="false" ht="19.5" hidden="false" customHeight="true" outlineLevel="0" collapsed="false">
      <c r="B746" s="73" t="s">
        <v>107</v>
      </c>
      <c r="C746" s="73"/>
      <c r="D746" s="73"/>
      <c r="E746" s="73"/>
      <c r="F746" s="73"/>
      <c r="G746" s="73"/>
      <c r="H746" s="73"/>
      <c r="I746" s="73"/>
      <c r="J746" s="73"/>
      <c r="K746" s="73"/>
      <c r="L746" s="74" t="s">
        <v>108</v>
      </c>
      <c r="M746" s="74"/>
      <c r="N746" s="74"/>
      <c r="O746" s="74"/>
      <c r="P746" s="74"/>
      <c r="Q746" s="74"/>
      <c r="R746" s="74"/>
      <c r="S746" s="74"/>
      <c r="U746" s="73" t="s">
        <v>109</v>
      </c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4" t="s">
        <v>108</v>
      </c>
      <c r="AG746" s="74"/>
      <c r="AH746" s="74"/>
      <c r="AI746" s="74"/>
      <c r="AJ746" s="74"/>
      <c r="AK746" s="74"/>
      <c r="AL746" s="74"/>
      <c r="AM746" s="74"/>
    </row>
    <row r="747" customFormat="false" ht="9.75" hidden="false" customHeight="true" outlineLevel="0" collapsed="false"/>
    <row r="748" customFormat="false" ht="18" hidden="false" customHeight="true" outlineLevel="0" collapsed="false">
      <c r="B748" s="75" t="s">
        <v>110</v>
      </c>
      <c r="C748" s="75"/>
      <c r="D748" s="75"/>
      <c r="E748" s="75"/>
      <c r="F748" s="75"/>
      <c r="G748" s="75"/>
      <c r="H748" s="75"/>
      <c r="I748" s="75"/>
      <c r="J748" s="75"/>
      <c r="K748" s="75"/>
      <c r="L748" s="75"/>
      <c r="M748" s="75"/>
      <c r="N748" s="75"/>
      <c r="O748" s="75"/>
      <c r="P748" s="75"/>
      <c r="Q748" s="75"/>
      <c r="R748" s="75"/>
      <c r="S748" s="75"/>
      <c r="T748" s="76" t="s">
        <v>111</v>
      </c>
      <c r="U748" s="76"/>
      <c r="V748" s="76"/>
      <c r="W748" s="76"/>
      <c r="X748" s="76"/>
      <c r="Y748" s="76"/>
      <c r="Z748" s="76"/>
      <c r="AA748" s="76"/>
      <c r="AB748" s="76"/>
      <c r="AC748" s="76"/>
      <c r="AD748" s="76"/>
      <c r="AE748" s="76"/>
      <c r="AF748" s="76"/>
      <c r="AG748" s="76"/>
      <c r="AH748" s="76"/>
      <c r="AI748" s="76"/>
      <c r="AJ748" s="76"/>
      <c r="AK748" s="76"/>
      <c r="AL748" s="76"/>
      <c r="AM748" s="76"/>
    </row>
    <row r="749" customFormat="false" ht="7.5" hidden="false" customHeight="true" outlineLevel="0" collapsed="false"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</row>
    <row r="750" customFormat="false" ht="19.5" hidden="false" customHeight="true" outlineLevel="0" collapsed="false">
      <c r="B750" s="1"/>
      <c r="C750" s="51" t="s">
        <v>78</v>
      </c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  <c r="AA750" s="51"/>
      <c r="AB750" s="1"/>
      <c r="AC750" s="1"/>
      <c r="AD750" s="1"/>
      <c r="AE750" s="52" t="s">
        <v>79</v>
      </c>
      <c r="AF750" s="52"/>
      <c r="AG750" s="52"/>
      <c r="AH750" s="52"/>
      <c r="AI750" s="52"/>
      <c r="AJ750" s="52"/>
      <c r="AK750" s="52"/>
      <c r="AL750" s="1"/>
      <c r="AM750" s="1"/>
    </row>
    <row r="751" customFormat="false" ht="30" hidden="false" customHeight="true" outlineLevel="0" collapsed="false">
      <c r="B751" s="1"/>
      <c r="C751" s="53" t="s">
        <v>80</v>
      </c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4" t="s">
        <v>81</v>
      </c>
      <c r="AC751" s="54"/>
      <c r="AD751" s="54"/>
      <c r="AE751" s="54"/>
      <c r="AF751" s="54"/>
      <c r="AG751" s="54"/>
      <c r="AH751" s="54"/>
      <c r="AI751" s="54"/>
      <c r="AJ751" s="54"/>
      <c r="AK751" s="54"/>
      <c r="AL751" s="1"/>
      <c r="AM751" s="1"/>
    </row>
    <row r="752" customFormat="false" ht="15.75" hidden="false" customHeight="true" outlineLevel="0" collapsed="false">
      <c r="B752" s="1"/>
      <c r="C752" s="55" t="s">
        <v>82</v>
      </c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</row>
    <row r="753" customFormat="false" ht="9.75" hidden="false" customHeight="true" outlineLevel="0" collapsed="false"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</row>
    <row r="754" customFormat="false" ht="3.75" hidden="false" customHeight="true" outlineLevel="0" collapsed="false"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</row>
    <row r="755" customFormat="false" ht="7.5" hidden="false" customHeight="true" outlineLevel="0" collapsed="false"/>
    <row r="756" customFormat="false" ht="13.5" hidden="false" customHeight="true" outlineLevel="0" collapsed="false">
      <c r="B756" s="56" t="s">
        <v>83</v>
      </c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P756" s="56" t="s">
        <v>84</v>
      </c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C756" s="56" t="s">
        <v>85</v>
      </c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</row>
    <row r="757" customFormat="false" ht="21.75" hidden="false" customHeight="true" outlineLevel="0" collapsed="false">
      <c r="B757" s="57" t="str">
        <f aca="false">Dashboard!$C$6</f>
        <v>Bindhya TB</v>
      </c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P757" s="57" t="str">
        <f aca="false">Dashboard!$C$7</f>
        <v>Tourism &amp; Business</v>
      </c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C757" s="58" t="n">
        <f aca="false">Cal!A24</f>
        <v>46318</v>
      </c>
      <c r="AD757" s="58"/>
      <c r="AE757" s="58"/>
      <c r="AF757" s="58"/>
      <c r="AG757" s="58"/>
      <c r="AH757" s="58"/>
      <c r="AI757" s="58"/>
      <c r="AJ757" s="58"/>
      <c r="AK757" s="58"/>
      <c r="AL757" s="58"/>
      <c r="AM757" s="58"/>
    </row>
    <row r="758" customFormat="false" ht="9.75" hidden="false" customHeight="true" outlineLevel="0" collapsed="false"/>
    <row r="759" customFormat="false" ht="21.75" hidden="false" customHeight="true" outlineLevel="0" collapsed="false">
      <c r="B759" s="6"/>
      <c r="C759" s="19" t="s">
        <v>86</v>
      </c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59" t="s">
        <v>87</v>
      </c>
      <c r="Q759" s="59"/>
      <c r="R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  <c r="AF759" s="59"/>
      <c r="AG759" s="59"/>
      <c r="AH759" s="59"/>
      <c r="AI759" s="59"/>
      <c r="AJ759" s="59"/>
      <c r="AK759" s="59"/>
      <c r="AL759" s="59"/>
      <c r="AM759" s="59"/>
    </row>
    <row r="760" customFormat="false" ht="19.5" hidden="false" customHeight="true" outlineLevel="0" collapsed="false">
      <c r="B760" s="60"/>
      <c r="C760" s="61" t="n">
        <v>1</v>
      </c>
      <c r="D760" s="62" t="s">
        <v>88</v>
      </c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V760" s="60"/>
      <c r="W760" s="61" t="n">
        <v>2</v>
      </c>
      <c r="X760" s="62" t="s">
        <v>89</v>
      </c>
      <c r="Y760" s="62"/>
      <c r="Z760" s="62"/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  <c r="AL760" s="62"/>
      <c r="AM760" s="62"/>
    </row>
    <row r="761" customFormat="false" ht="49.5" hidden="false" customHeight="true" outlineLevel="0" collapsed="false">
      <c r="B761" s="63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5"/>
      <c r="V761" s="63"/>
      <c r="W761" s="77"/>
      <c r="X761" s="77"/>
      <c r="Y761" s="77"/>
      <c r="Z761" s="77"/>
      <c r="AA761" s="77"/>
      <c r="AB761" s="77"/>
      <c r="AC761" s="77"/>
      <c r="AD761" s="77"/>
      <c r="AE761" s="77"/>
      <c r="AF761" s="77"/>
      <c r="AG761" s="77"/>
      <c r="AH761" s="77"/>
      <c r="AI761" s="77"/>
      <c r="AJ761" s="77"/>
      <c r="AK761" s="77"/>
      <c r="AL761" s="77"/>
      <c r="AM761" s="65"/>
    </row>
    <row r="762" customFormat="false" ht="6" hidden="false" customHeight="true" outlineLevel="0" collapsed="false">
      <c r="B762" s="67"/>
      <c r="C762" s="68"/>
      <c r="D762" s="68"/>
      <c r="E762" s="68"/>
      <c r="F762" s="68"/>
      <c r="G762" s="68"/>
      <c r="H762" s="68"/>
      <c r="I762" s="68"/>
      <c r="J762" s="68"/>
      <c r="K762" s="68"/>
      <c r="L762" s="68"/>
      <c r="M762" s="68"/>
      <c r="N762" s="68"/>
      <c r="O762" s="68"/>
      <c r="P762" s="68"/>
      <c r="Q762" s="68"/>
      <c r="R762" s="68"/>
      <c r="S762" s="68"/>
      <c r="T762" s="69"/>
      <c r="V762" s="67"/>
      <c r="W762" s="68"/>
      <c r="X762" s="68"/>
      <c r="Y762" s="68"/>
      <c r="Z762" s="68"/>
      <c r="AA762" s="68"/>
      <c r="AB762" s="68"/>
      <c r="AC762" s="68"/>
      <c r="AD762" s="68"/>
      <c r="AE762" s="68"/>
      <c r="AF762" s="68"/>
      <c r="AG762" s="68"/>
      <c r="AH762" s="68"/>
      <c r="AI762" s="68"/>
      <c r="AJ762" s="68"/>
      <c r="AK762" s="68"/>
      <c r="AL762" s="68"/>
      <c r="AM762" s="69"/>
    </row>
    <row r="763" customFormat="false" ht="9.75" hidden="false" customHeight="true" outlineLevel="0" collapsed="false"/>
    <row r="764" customFormat="false" ht="21.75" hidden="false" customHeight="true" outlineLevel="0" collapsed="false">
      <c r="B764" s="6"/>
      <c r="C764" s="19" t="s">
        <v>91</v>
      </c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59" t="s">
        <v>92</v>
      </c>
      <c r="W764" s="59"/>
      <c r="X764" s="59"/>
      <c r="Y764" s="59"/>
      <c r="Z764" s="59"/>
      <c r="AA764" s="59"/>
      <c r="AB764" s="59"/>
      <c r="AC764" s="59"/>
      <c r="AD764" s="59"/>
      <c r="AE764" s="59"/>
      <c r="AF764" s="59"/>
      <c r="AG764" s="59"/>
      <c r="AH764" s="59"/>
      <c r="AI764" s="59"/>
      <c r="AJ764" s="59"/>
      <c r="AK764" s="59"/>
      <c r="AL764" s="59"/>
      <c r="AM764" s="59"/>
    </row>
    <row r="765" customFormat="false" ht="27.75" hidden="false" customHeight="true" outlineLevel="0" collapsed="false">
      <c r="B765" s="60"/>
      <c r="C765" s="61" t="n">
        <v>3</v>
      </c>
      <c r="D765" s="62" t="s">
        <v>93</v>
      </c>
      <c r="E765" s="62"/>
      <c r="F765" s="62"/>
      <c r="G765" s="62"/>
      <c r="H765" s="62"/>
      <c r="I765" s="62"/>
      <c r="J765" s="62"/>
      <c r="L765" s="60"/>
      <c r="M765" s="61" t="n">
        <v>4</v>
      </c>
      <c r="N765" s="62" t="s">
        <v>94</v>
      </c>
      <c r="O765" s="62"/>
      <c r="P765" s="62"/>
      <c r="Q765" s="62"/>
      <c r="R765" s="62"/>
      <c r="S765" s="62"/>
      <c r="T765" s="62"/>
      <c r="V765" s="60"/>
      <c r="W765" s="61" t="n">
        <v>5</v>
      </c>
      <c r="X765" s="62" t="s">
        <v>95</v>
      </c>
      <c r="Y765" s="62"/>
      <c r="Z765" s="62"/>
      <c r="AA765" s="62"/>
      <c r="AB765" s="62"/>
      <c r="AC765" s="62"/>
      <c r="AD765" s="62"/>
      <c r="AF765" s="60"/>
      <c r="AG765" s="61" t="n">
        <v>6</v>
      </c>
      <c r="AH765" s="62" t="s">
        <v>96</v>
      </c>
      <c r="AI765" s="62"/>
      <c r="AJ765" s="62"/>
      <c r="AK765" s="62"/>
      <c r="AL765" s="62"/>
      <c r="AM765" s="62"/>
    </row>
    <row r="766" customFormat="false" ht="25.5" hidden="false" customHeight="true" outlineLevel="0" collapsed="false">
      <c r="B766" s="63"/>
      <c r="C766" s="64"/>
      <c r="D766" s="64"/>
      <c r="E766" s="64"/>
      <c r="F766" s="64"/>
      <c r="G766" s="64"/>
      <c r="H766" s="64"/>
      <c r="I766" s="64"/>
      <c r="J766" s="65"/>
      <c r="L766" s="63"/>
      <c r="M766" s="64"/>
      <c r="N766" s="64"/>
      <c r="O766" s="64"/>
      <c r="P766" s="64"/>
      <c r="Q766" s="64"/>
      <c r="R766" s="64"/>
      <c r="S766" s="64"/>
      <c r="T766" s="65"/>
      <c r="V766" s="63"/>
      <c r="W766" s="70"/>
      <c r="X766" s="70"/>
      <c r="Y766" s="70"/>
      <c r="Z766" s="70"/>
      <c r="AA766" s="70"/>
      <c r="AB766" s="70"/>
      <c r="AC766" s="70"/>
      <c r="AD766" s="65"/>
      <c r="AF766" s="63"/>
      <c r="AG766" s="64"/>
      <c r="AH766" s="64"/>
      <c r="AI766" s="64"/>
      <c r="AJ766" s="64"/>
      <c r="AK766" s="64"/>
      <c r="AL766" s="64"/>
      <c r="AM766" s="65"/>
    </row>
    <row r="767" customFormat="false" ht="6" hidden="false" customHeight="true" outlineLevel="0" collapsed="false">
      <c r="B767" s="67"/>
      <c r="C767" s="68"/>
      <c r="D767" s="68"/>
      <c r="E767" s="68"/>
      <c r="F767" s="68"/>
      <c r="G767" s="68"/>
      <c r="H767" s="68"/>
      <c r="I767" s="68"/>
      <c r="J767" s="69"/>
      <c r="L767" s="67"/>
      <c r="M767" s="68"/>
      <c r="N767" s="68"/>
      <c r="O767" s="68"/>
      <c r="P767" s="68"/>
      <c r="Q767" s="68"/>
      <c r="R767" s="68"/>
      <c r="S767" s="68"/>
      <c r="T767" s="69"/>
      <c r="V767" s="67"/>
      <c r="W767" s="68"/>
      <c r="X767" s="68"/>
      <c r="Y767" s="68"/>
      <c r="Z767" s="68"/>
      <c r="AA767" s="68"/>
      <c r="AB767" s="68"/>
      <c r="AC767" s="68"/>
      <c r="AD767" s="69"/>
      <c r="AF767" s="67"/>
      <c r="AG767" s="68"/>
      <c r="AH767" s="68"/>
      <c r="AI767" s="68"/>
      <c r="AJ767" s="68"/>
      <c r="AK767" s="68"/>
      <c r="AL767" s="68"/>
      <c r="AM767" s="69"/>
    </row>
    <row r="768" customFormat="false" ht="9.75" hidden="false" customHeight="true" outlineLevel="0" collapsed="false"/>
    <row r="769" customFormat="false" ht="21.75" hidden="false" customHeight="true" outlineLevel="0" collapsed="false">
      <c r="B769" s="6"/>
      <c r="C769" s="19" t="s">
        <v>98</v>
      </c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59" t="s">
        <v>99</v>
      </c>
      <c r="W769" s="59"/>
      <c r="X769" s="59"/>
      <c r="Y769" s="59"/>
      <c r="Z769" s="59"/>
      <c r="AA769" s="59"/>
      <c r="AB769" s="59"/>
      <c r="AC769" s="59"/>
      <c r="AD769" s="59"/>
      <c r="AE769" s="59"/>
      <c r="AF769" s="59"/>
      <c r="AG769" s="59"/>
      <c r="AH769" s="59"/>
      <c r="AI769" s="59"/>
      <c r="AJ769" s="59"/>
      <c r="AK769" s="59"/>
      <c r="AL769" s="59"/>
      <c r="AM769" s="59"/>
    </row>
    <row r="770" customFormat="false" ht="27.75" hidden="false" customHeight="true" outlineLevel="0" collapsed="false">
      <c r="B770" s="60"/>
      <c r="C770" s="61" t="n">
        <v>7</v>
      </c>
      <c r="D770" s="62" t="s">
        <v>100</v>
      </c>
      <c r="E770" s="62"/>
      <c r="F770" s="62"/>
      <c r="G770" s="62"/>
      <c r="H770" s="62"/>
      <c r="J770" s="60"/>
      <c r="K770" s="61" t="n">
        <v>8</v>
      </c>
      <c r="L770" s="62" t="s">
        <v>101</v>
      </c>
      <c r="M770" s="62"/>
      <c r="N770" s="62"/>
      <c r="O770" s="62"/>
      <c r="P770" s="62"/>
      <c r="R770" s="60"/>
      <c r="S770" s="61" t="n">
        <v>9</v>
      </c>
      <c r="T770" s="62" t="s">
        <v>102</v>
      </c>
      <c r="U770" s="62"/>
      <c r="V770" s="62"/>
      <c r="W770" s="62"/>
      <c r="X770" s="62"/>
      <c r="Z770" s="60"/>
      <c r="AA770" s="61" t="n">
        <v>10</v>
      </c>
      <c r="AB770" s="62" t="s">
        <v>103</v>
      </c>
      <c r="AC770" s="62"/>
      <c r="AD770" s="62"/>
      <c r="AE770" s="62"/>
      <c r="AF770" s="62"/>
      <c r="AH770" s="60"/>
      <c r="AI770" s="61" t="n">
        <v>11</v>
      </c>
      <c r="AJ770" s="62" t="s">
        <v>104</v>
      </c>
      <c r="AK770" s="62"/>
      <c r="AL770" s="62"/>
      <c r="AM770" s="62"/>
    </row>
    <row r="771" customFormat="false" ht="25.5" hidden="false" customHeight="true" outlineLevel="0" collapsed="false">
      <c r="B771" s="63"/>
      <c r="C771" s="64"/>
      <c r="D771" s="64"/>
      <c r="E771" s="64"/>
      <c r="F771" s="64"/>
      <c r="G771" s="64"/>
      <c r="H771" s="65"/>
      <c r="J771" s="63"/>
      <c r="K771" s="64"/>
      <c r="L771" s="64"/>
      <c r="M771" s="64"/>
      <c r="N771" s="64"/>
      <c r="O771" s="64"/>
      <c r="P771" s="65"/>
      <c r="R771" s="63"/>
      <c r="S771" s="64"/>
      <c r="T771" s="64"/>
      <c r="U771" s="64"/>
      <c r="V771" s="64"/>
      <c r="W771" s="64"/>
      <c r="X771" s="65"/>
      <c r="Z771" s="63"/>
      <c r="AA771" s="64"/>
      <c r="AB771" s="64"/>
      <c r="AC771" s="64"/>
      <c r="AD771" s="64"/>
      <c r="AE771" s="64"/>
      <c r="AF771" s="65"/>
      <c r="AH771" s="63"/>
      <c r="AI771" s="64"/>
      <c r="AJ771" s="64"/>
      <c r="AK771" s="64"/>
      <c r="AL771" s="64"/>
      <c r="AM771" s="65"/>
    </row>
    <row r="772" customFormat="false" ht="6" hidden="false" customHeight="true" outlineLevel="0" collapsed="false">
      <c r="B772" s="67"/>
      <c r="C772" s="68"/>
      <c r="D772" s="68"/>
      <c r="E772" s="68"/>
      <c r="F772" s="68"/>
      <c r="G772" s="68"/>
      <c r="H772" s="69"/>
      <c r="J772" s="67"/>
      <c r="K772" s="68"/>
      <c r="L772" s="68"/>
      <c r="M772" s="68"/>
      <c r="N772" s="68"/>
      <c r="O772" s="68"/>
      <c r="P772" s="69"/>
      <c r="R772" s="67"/>
      <c r="S772" s="68"/>
      <c r="T772" s="68"/>
      <c r="U772" s="68"/>
      <c r="V772" s="68"/>
      <c r="W772" s="68"/>
      <c r="X772" s="69"/>
      <c r="Z772" s="67"/>
      <c r="AA772" s="68"/>
      <c r="AB772" s="68"/>
      <c r="AC772" s="68"/>
      <c r="AD772" s="68"/>
      <c r="AE772" s="68"/>
      <c r="AF772" s="69"/>
      <c r="AH772" s="67"/>
      <c r="AI772" s="68"/>
      <c r="AJ772" s="68"/>
      <c r="AK772" s="68"/>
      <c r="AL772" s="68"/>
      <c r="AM772" s="69"/>
    </row>
    <row r="773" customFormat="false" ht="9.75" hidden="false" customHeight="true" outlineLevel="0" collapsed="false"/>
    <row r="774" customFormat="false" ht="21.75" hidden="false" customHeight="true" outlineLevel="0" collapsed="false">
      <c r="B774" s="6"/>
      <c r="C774" s="19" t="s">
        <v>105</v>
      </c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59" t="s">
        <v>106</v>
      </c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  <c r="AF774" s="59"/>
      <c r="AG774" s="59"/>
      <c r="AH774" s="59"/>
      <c r="AI774" s="59"/>
      <c r="AJ774" s="59"/>
      <c r="AK774" s="59"/>
      <c r="AL774" s="59"/>
      <c r="AM774" s="59"/>
    </row>
    <row r="775" customFormat="false" ht="24" hidden="false" customHeight="true" outlineLevel="0" collapsed="false"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  <c r="AA775" s="72"/>
      <c r="AB775" s="72"/>
      <c r="AC775" s="72"/>
      <c r="AD775" s="72"/>
      <c r="AE775" s="72"/>
      <c r="AF775" s="72"/>
      <c r="AG775" s="72"/>
      <c r="AH775" s="72"/>
      <c r="AI775" s="72"/>
      <c r="AJ775" s="72"/>
      <c r="AK775" s="72"/>
      <c r="AL775" s="72"/>
      <c r="AM775" s="72"/>
    </row>
    <row r="776" customFormat="false" ht="24" hidden="false" customHeight="true" outlineLevel="0" collapsed="false"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  <c r="AA776" s="72"/>
      <c r="AB776" s="72"/>
      <c r="AC776" s="72"/>
      <c r="AD776" s="72"/>
      <c r="AE776" s="72"/>
      <c r="AF776" s="72"/>
      <c r="AG776" s="72"/>
      <c r="AH776" s="72"/>
      <c r="AI776" s="72"/>
      <c r="AJ776" s="72"/>
      <c r="AK776" s="72"/>
      <c r="AL776" s="72"/>
      <c r="AM776" s="72"/>
    </row>
    <row r="777" customFormat="false" ht="24" hidden="false" customHeight="true" outlineLevel="0" collapsed="false"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  <c r="AA777" s="72"/>
      <c r="AB777" s="72"/>
      <c r="AC777" s="72"/>
      <c r="AD777" s="72"/>
      <c r="AE777" s="72"/>
      <c r="AF777" s="72"/>
      <c r="AG777" s="72"/>
      <c r="AH777" s="72"/>
      <c r="AI777" s="72"/>
      <c r="AJ777" s="72"/>
      <c r="AK777" s="72"/>
      <c r="AL777" s="72"/>
      <c r="AM777" s="72"/>
    </row>
    <row r="778" customFormat="false" ht="295.5" hidden="false" customHeight="true" outlineLevel="0" collapsed="false"/>
    <row r="779" customFormat="false" ht="6" hidden="false" customHeight="true" outlineLevel="0" collapsed="false"/>
    <row r="780" customFormat="false" ht="19.5" hidden="false" customHeight="true" outlineLevel="0" collapsed="false">
      <c r="B780" s="73" t="s">
        <v>107</v>
      </c>
      <c r="C780" s="73"/>
      <c r="D780" s="73"/>
      <c r="E780" s="73"/>
      <c r="F780" s="73"/>
      <c r="G780" s="73"/>
      <c r="H780" s="73"/>
      <c r="I780" s="73"/>
      <c r="J780" s="73"/>
      <c r="K780" s="73"/>
      <c r="L780" s="74" t="s">
        <v>108</v>
      </c>
      <c r="M780" s="74"/>
      <c r="N780" s="74"/>
      <c r="O780" s="74"/>
      <c r="P780" s="74"/>
      <c r="Q780" s="74"/>
      <c r="R780" s="74"/>
      <c r="S780" s="74"/>
      <c r="U780" s="73" t="s">
        <v>109</v>
      </c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4" t="s">
        <v>108</v>
      </c>
      <c r="AG780" s="74"/>
      <c r="AH780" s="74"/>
      <c r="AI780" s="74"/>
      <c r="AJ780" s="74"/>
      <c r="AK780" s="74"/>
      <c r="AL780" s="74"/>
      <c r="AM780" s="74"/>
    </row>
    <row r="781" customFormat="false" ht="9.75" hidden="false" customHeight="true" outlineLevel="0" collapsed="false"/>
    <row r="782" customFormat="false" ht="18" hidden="false" customHeight="true" outlineLevel="0" collapsed="false">
      <c r="B782" s="75" t="s">
        <v>110</v>
      </c>
      <c r="C782" s="75"/>
      <c r="D782" s="75"/>
      <c r="E782" s="75"/>
      <c r="F782" s="75"/>
      <c r="G782" s="75"/>
      <c r="H782" s="75"/>
      <c r="I782" s="75"/>
      <c r="J782" s="75"/>
      <c r="K782" s="75"/>
      <c r="L782" s="75"/>
      <c r="M782" s="75"/>
      <c r="N782" s="75"/>
      <c r="O782" s="75"/>
      <c r="P782" s="75"/>
      <c r="Q782" s="75"/>
      <c r="R782" s="75"/>
      <c r="S782" s="75"/>
      <c r="T782" s="76" t="s">
        <v>111</v>
      </c>
      <c r="U782" s="76"/>
      <c r="V782" s="76"/>
      <c r="W782" s="76"/>
      <c r="X782" s="76"/>
      <c r="Y782" s="76"/>
      <c r="Z782" s="76"/>
      <c r="AA782" s="76"/>
      <c r="AB782" s="76"/>
      <c r="AC782" s="76"/>
      <c r="AD782" s="76"/>
      <c r="AE782" s="76"/>
      <c r="AF782" s="76"/>
      <c r="AG782" s="76"/>
      <c r="AH782" s="76"/>
      <c r="AI782" s="76"/>
      <c r="AJ782" s="76"/>
      <c r="AK782" s="76"/>
      <c r="AL782" s="76"/>
      <c r="AM782" s="76"/>
    </row>
    <row r="783" customFormat="false" ht="7.5" hidden="false" customHeight="true" outlineLevel="0" collapsed="false"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</row>
    <row r="784" customFormat="false" ht="19.5" hidden="false" customHeight="true" outlineLevel="0" collapsed="false">
      <c r="B784" s="1"/>
      <c r="C784" s="51" t="s">
        <v>78</v>
      </c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  <c r="AA784" s="51"/>
      <c r="AB784" s="1"/>
      <c r="AC784" s="1"/>
      <c r="AD784" s="1"/>
      <c r="AE784" s="52" t="s">
        <v>79</v>
      </c>
      <c r="AF784" s="52"/>
      <c r="AG784" s="52"/>
      <c r="AH784" s="52"/>
      <c r="AI784" s="52"/>
      <c r="AJ784" s="52"/>
      <c r="AK784" s="52"/>
      <c r="AL784" s="1"/>
      <c r="AM784" s="1"/>
    </row>
    <row r="785" customFormat="false" ht="30" hidden="false" customHeight="true" outlineLevel="0" collapsed="false">
      <c r="B785" s="1"/>
      <c r="C785" s="53" t="s">
        <v>80</v>
      </c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4" t="s">
        <v>81</v>
      </c>
      <c r="AC785" s="54"/>
      <c r="AD785" s="54"/>
      <c r="AE785" s="54"/>
      <c r="AF785" s="54"/>
      <c r="AG785" s="54"/>
      <c r="AH785" s="54"/>
      <c r="AI785" s="54"/>
      <c r="AJ785" s="54"/>
      <c r="AK785" s="54"/>
      <c r="AL785" s="1"/>
      <c r="AM785" s="1"/>
    </row>
    <row r="786" customFormat="false" ht="15.75" hidden="false" customHeight="true" outlineLevel="0" collapsed="false">
      <c r="B786" s="1"/>
      <c r="C786" s="55" t="s">
        <v>82</v>
      </c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</row>
    <row r="787" customFormat="false" ht="9.75" hidden="false" customHeight="true" outlineLevel="0" collapsed="false"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</row>
    <row r="788" customFormat="false" ht="3.75" hidden="false" customHeight="true" outlineLevel="0" collapsed="false"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</row>
    <row r="789" customFormat="false" ht="7.5" hidden="false" customHeight="true" outlineLevel="0" collapsed="false"/>
    <row r="790" customFormat="false" ht="13.5" hidden="false" customHeight="true" outlineLevel="0" collapsed="false">
      <c r="B790" s="56" t="s">
        <v>83</v>
      </c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P790" s="56" t="s">
        <v>84</v>
      </c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C790" s="56" t="s">
        <v>85</v>
      </c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</row>
    <row r="791" customFormat="false" ht="21.75" hidden="false" customHeight="true" outlineLevel="0" collapsed="false">
      <c r="B791" s="57" t="str">
        <f aca="false">Dashboard!$C$6</f>
        <v>Bindhya TB</v>
      </c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P791" s="57" t="str">
        <f aca="false">Dashboard!$C$7</f>
        <v>Tourism &amp; Business</v>
      </c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C791" s="58" t="n">
        <f aca="false">Cal!A25</f>
        <v>46319</v>
      </c>
      <c r="AD791" s="58"/>
      <c r="AE791" s="58"/>
      <c r="AF791" s="58"/>
      <c r="AG791" s="58"/>
      <c r="AH791" s="58"/>
      <c r="AI791" s="58"/>
      <c r="AJ791" s="58"/>
      <c r="AK791" s="58"/>
      <c r="AL791" s="58"/>
      <c r="AM791" s="58"/>
    </row>
    <row r="792" customFormat="false" ht="9.75" hidden="false" customHeight="true" outlineLevel="0" collapsed="false"/>
    <row r="793" customFormat="false" ht="21.75" hidden="false" customHeight="true" outlineLevel="0" collapsed="false">
      <c r="B793" s="6"/>
      <c r="C793" s="19" t="s">
        <v>86</v>
      </c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59" t="s">
        <v>87</v>
      </c>
      <c r="Q793" s="59"/>
      <c r="R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  <c r="AF793" s="59"/>
      <c r="AG793" s="59"/>
      <c r="AH793" s="59"/>
      <c r="AI793" s="59"/>
      <c r="AJ793" s="59"/>
      <c r="AK793" s="59"/>
      <c r="AL793" s="59"/>
      <c r="AM793" s="59"/>
    </row>
    <row r="794" customFormat="false" ht="19.5" hidden="false" customHeight="true" outlineLevel="0" collapsed="false">
      <c r="B794" s="60"/>
      <c r="C794" s="61" t="n">
        <v>1</v>
      </c>
      <c r="D794" s="62" t="s">
        <v>88</v>
      </c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V794" s="60"/>
      <c r="W794" s="61" t="n">
        <v>2</v>
      </c>
      <c r="X794" s="62" t="s">
        <v>89</v>
      </c>
      <c r="Y794" s="62"/>
      <c r="Z794" s="62"/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  <c r="AK794" s="62"/>
      <c r="AL794" s="62"/>
      <c r="AM794" s="62"/>
    </row>
    <row r="795" customFormat="false" ht="49.5" hidden="false" customHeight="true" outlineLevel="0" collapsed="false">
      <c r="B795" s="63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5"/>
      <c r="V795" s="63"/>
      <c r="W795" s="77"/>
      <c r="X795" s="77"/>
      <c r="Y795" s="77"/>
      <c r="Z795" s="77"/>
      <c r="AA795" s="77"/>
      <c r="AB795" s="77"/>
      <c r="AC795" s="77"/>
      <c r="AD795" s="77"/>
      <c r="AE795" s="77"/>
      <c r="AF795" s="77"/>
      <c r="AG795" s="77"/>
      <c r="AH795" s="77"/>
      <c r="AI795" s="77"/>
      <c r="AJ795" s="77"/>
      <c r="AK795" s="77"/>
      <c r="AL795" s="77"/>
      <c r="AM795" s="65"/>
    </row>
    <row r="796" customFormat="false" ht="6" hidden="false" customHeight="true" outlineLevel="0" collapsed="false">
      <c r="B796" s="67"/>
      <c r="C796" s="68"/>
      <c r="D796" s="68"/>
      <c r="E796" s="68"/>
      <c r="F796" s="68"/>
      <c r="G796" s="68"/>
      <c r="H796" s="68"/>
      <c r="I796" s="68"/>
      <c r="J796" s="68"/>
      <c r="K796" s="68"/>
      <c r="L796" s="68"/>
      <c r="M796" s="68"/>
      <c r="N796" s="68"/>
      <c r="O796" s="68"/>
      <c r="P796" s="68"/>
      <c r="Q796" s="68"/>
      <c r="R796" s="68"/>
      <c r="S796" s="68"/>
      <c r="T796" s="69"/>
      <c r="V796" s="67"/>
      <c r="W796" s="68"/>
      <c r="X796" s="68"/>
      <c r="Y796" s="68"/>
      <c r="Z796" s="68"/>
      <c r="AA796" s="68"/>
      <c r="AB796" s="68"/>
      <c r="AC796" s="68"/>
      <c r="AD796" s="68"/>
      <c r="AE796" s="68"/>
      <c r="AF796" s="68"/>
      <c r="AG796" s="68"/>
      <c r="AH796" s="68"/>
      <c r="AI796" s="68"/>
      <c r="AJ796" s="68"/>
      <c r="AK796" s="68"/>
      <c r="AL796" s="68"/>
      <c r="AM796" s="69"/>
    </row>
    <row r="797" customFormat="false" ht="9.75" hidden="false" customHeight="true" outlineLevel="0" collapsed="false"/>
    <row r="798" customFormat="false" ht="21.75" hidden="false" customHeight="true" outlineLevel="0" collapsed="false">
      <c r="B798" s="6"/>
      <c r="C798" s="19" t="s">
        <v>91</v>
      </c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59" t="s">
        <v>92</v>
      </c>
      <c r="W798" s="59"/>
      <c r="X798" s="59"/>
      <c r="Y798" s="59"/>
      <c r="Z798" s="59"/>
      <c r="AA798" s="59"/>
      <c r="AB798" s="59"/>
      <c r="AC798" s="59"/>
      <c r="AD798" s="59"/>
      <c r="AE798" s="59"/>
      <c r="AF798" s="59"/>
      <c r="AG798" s="59"/>
      <c r="AH798" s="59"/>
      <c r="AI798" s="59"/>
      <c r="AJ798" s="59"/>
      <c r="AK798" s="59"/>
      <c r="AL798" s="59"/>
      <c r="AM798" s="59"/>
    </row>
    <row r="799" customFormat="false" ht="27.75" hidden="false" customHeight="true" outlineLevel="0" collapsed="false">
      <c r="B799" s="60"/>
      <c r="C799" s="61" t="n">
        <v>3</v>
      </c>
      <c r="D799" s="62" t="s">
        <v>93</v>
      </c>
      <c r="E799" s="62"/>
      <c r="F799" s="62"/>
      <c r="G799" s="62"/>
      <c r="H799" s="62"/>
      <c r="I799" s="62"/>
      <c r="J799" s="62"/>
      <c r="L799" s="60"/>
      <c r="M799" s="61" t="n">
        <v>4</v>
      </c>
      <c r="N799" s="62" t="s">
        <v>94</v>
      </c>
      <c r="O799" s="62"/>
      <c r="P799" s="62"/>
      <c r="Q799" s="62"/>
      <c r="R799" s="62"/>
      <c r="S799" s="62"/>
      <c r="T799" s="62"/>
      <c r="V799" s="60"/>
      <c r="W799" s="61" t="n">
        <v>5</v>
      </c>
      <c r="X799" s="62" t="s">
        <v>95</v>
      </c>
      <c r="Y799" s="62"/>
      <c r="Z799" s="62"/>
      <c r="AA799" s="62"/>
      <c r="AB799" s="62"/>
      <c r="AC799" s="62"/>
      <c r="AD799" s="62"/>
      <c r="AF799" s="60"/>
      <c r="AG799" s="61" t="n">
        <v>6</v>
      </c>
      <c r="AH799" s="62" t="s">
        <v>96</v>
      </c>
      <c r="AI799" s="62"/>
      <c r="AJ799" s="62"/>
      <c r="AK799" s="62"/>
      <c r="AL799" s="62"/>
      <c r="AM799" s="62"/>
    </row>
    <row r="800" customFormat="false" ht="25.5" hidden="false" customHeight="true" outlineLevel="0" collapsed="false">
      <c r="B800" s="63"/>
      <c r="C800" s="64"/>
      <c r="D800" s="64"/>
      <c r="E800" s="64"/>
      <c r="F800" s="64"/>
      <c r="G800" s="64"/>
      <c r="H800" s="64"/>
      <c r="I800" s="64"/>
      <c r="J800" s="65"/>
      <c r="L800" s="63"/>
      <c r="M800" s="64"/>
      <c r="N800" s="64"/>
      <c r="O800" s="64"/>
      <c r="P800" s="64"/>
      <c r="Q800" s="64"/>
      <c r="R800" s="64"/>
      <c r="S800" s="64"/>
      <c r="T800" s="65"/>
      <c r="V800" s="63"/>
      <c r="W800" s="70"/>
      <c r="X800" s="70"/>
      <c r="Y800" s="70"/>
      <c r="Z800" s="70"/>
      <c r="AA800" s="70"/>
      <c r="AB800" s="70"/>
      <c r="AC800" s="70"/>
      <c r="AD800" s="65"/>
      <c r="AF800" s="63"/>
      <c r="AG800" s="64"/>
      <c r="AH800" s="64"/>
      <c r="AI800" s="64"/>
      <c r="AJ800" s="64"/>
      <c r="AK800" s="64"/>
      <c r="AL800" s="64"/>
      <c r="AM800" s="65"/>
    </row>
    <row r="801" customFormat="false" ht="6" hidden="false" customHeight="true" outlineLevel="0" collapsed="false">
      <c r="B801" s="67"/>
      <c r="C801" s="68"/>
      <c r="D801" s="68"/>
      <c r="E801" s="68"/>
      <c r="F801" s="68"/>
      <c r="G801" s="68"/>
      <c r="H801" s="68"/>
      <c r="I801" s="68"/>
      <c r="J801" s="69"/>
      <c r="L801" s="67"/>
      <c r="M801" s="68"/>
      <c r="N801" s="68"/>
      <c r="O801" s="68"/>
      <c r="P801" s="68"/>
      <c r="Q801" s="68"/>
      <c r="R801" s="68"/>
      <c r="S801" s="68"/>
      <c r="T801" s="69"/>
      <c r="V801" s="67"/>
      <c r="W801" s="68"/>
      <c r="X801" s="68"/>
      <c r="Y801" s="68"/>
      <c r="Z801" s="68"/>
      <c r="AA801" s="68"/>
      <c r="AB801" s="68"/>
      <c r="AC801" s="68"/>
      <c r="AD801" s="69"/>
      <c r="AF801" s="67"/>
      <c r="AG801" s="68"/>
      <c r="AH801" s="68"/>
      <c r="AI801" s="68"/>
      <c r="AJ801" s="68"/>
      <c r="AK801" s="68"/>
      <c r="AL801" s="68"/>
      <c r="AM801" s="69"/>
    </row>
    <row r="802" customFormat="false" ht="9.75" hidden="false" customHeight="true" outlineLevel="0" collapsed="false"/>
    <row r="803" customFormat="false" ht="21.75" hidden="false" customHeight="true" outlineLevel="0" collapsed="false">
      <c r="B803" s="6"/>
      <c r="C803" s="19" t="s">
        <v>98</v>
      </c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59" t="s">
        <v>99</v>
      </c>
      <c r="W803" s="59"/>
      <c r="X803" s="59"/>
      <c r="Y803" s="59"/>
      <c r="Z803" s="59"/>
      <c r="AA803" s="59"/>
      <c r="AB803" s="59"/>
      <c r="AC803" s="59"/>
      <c r="AD803" s="59"/>
      <c r="AE803" s="59"/>
      <c r="AF803" s="59"/>
      <c r="AG803" s="59"/>
      <c r="AH803" s="59"/>
      <c r="AI803" s="59"/>
      <c r="AJ803" s="59"/>
      <c r="AK803" s="59"/>
      <c r="AL803" s="59"/>
      <c r="AM803" s="59"/>
    </row>
    <row r="804" customFormat="false" ht="27.75" hidden="false" customHeight="true" outlineLevel="0" collapsed="false">
      <c r="B804" s="60"/>
      <c r="C804" s="61" t="n">
        <v>7</v>
      </c>
      <c r="D804" s="62" t="s">
        <v>100</v>
      </c>
      <c r="E804" s="62"/>
      <c r="F804" s="62"/>
      <c r="G804" s="62"/>
      <c r="H804" s="62"/>
      <c r="J804" s="60"/>
      <c r="K804" s="61" t="n">
        <v>8</v>
      </c>
      <c r="L804" s="62" t="s">
        <v>101</v>
      </c>
      <c r="M804" s="62"/>
      <c r="N804" s="62"/>
      <c r="O804" s="62"/>
      <c r="P804" s="62"/>
      <c r="R804" s="60"/>
      <c r="S804" s="61" t="n">
        <v>9</v>
      </c>
      <c r="T804" s="62" t="s">
        <v>102</v>
      </c>
      <c r="U804" s="62"/>
      <c r="V804" s="62"/>
      <c r="W804" s="62"/>
      <c r="X804" s="62"/>
      <c r="Z804" s="60"/>
      <c r="AA804" s="61" t="n">
        <v>10</v>
      </c>
      <c r="AB804" s="62" t="s">
        <v>103</v>
      </c>
      <c r="AC804" s="62"/>
      <c r="AD804" s="62"/>
      <c r="AE804" s="62"/>
      <c r="AF804" s="62"/>
      <c r="AH804" s="60"/>
      <c r="AI804" s="61" t="n">
        <v>11</v>
      </c>
      <c r="AJ804" s="62" t="s">
        <v>104</v>
      </c>
      <c r="AK804" s="62"/>
      <c r="AL804" s="62"/>
      <c r="AM804" s="62"/>
    </row>
    <row r="805" customFormat="false" ht="25.5" hidden="false" customHeight="true" outlineLevel="0" collapsed="false">
      <c r="B805" s="63"/>
      <c r="C805" s="64"/>
      <c r="D805" s="64"/>
      <c r="E805" s="64"/>
      <c r="F805" s="64"/>
      <c r="G805" s="64"/>
      <c r="H805" s="65"/>
      <c r="J805" s="63"/>
      <c r="K805" s="64"/>
      <c r="L805" s="64"/>
      <c r="M805" s="64"/>
      <c r="N805" s="64"/>
      <c r="O805" s="64"/>
      <c r="P805" s="65"/>
      <c r="R805" s="63"/>
      <c r="S805" s="64"/>
      <c r="T805" s="64"/>
      <c r="U805" s="64"/>
      <c r="V805" s="64"/>
      <c r="W805" s="64"/>
      <c r="X805" s="65"/>
      <c r="Z805" s="63"/>
      <c r="AA805" s="64"/>
      <c r="AB805" s="64"/>
      <c r="AC805" s="64"/>
      <c r="AD805" s="64"/>
      <c r="AE805" s="64"/>
      <c r="AF805" s="65"/>
      <c r="AH805" s="63"/>
      <c r="AI805" s="64"/>
      <c r="AJ805" s="64"/>
      <c r="AK805" s="64"/>
      <c r="AL805" s="64"/>
      <c r="AM805" s="65"/>
    </row>
    <row r="806" customFormat="false" ht="6" hidden="false" customHeight="true" outlineLevel="0" collapsed="false">
      <c r="B806" s="67"/>
      <c r="C806" s="68"/>
      <c r="D806" s="68"/>
      <c r="E806" s="68"/>
      <c r="F806" s="68"/>
      <c r="G806" s="68"/>
      <c r="H806" s="69"/>
      <c r="J806" s="67"/>
      <c r="K806" s="68"/>
      <c r="L806" s="68"/>
      <c r="M806" s="68"/>
      <c r="N806" s="68"/>
      <c r="O806" s="68"/>
      <c r="P806" s="69"/>
      <c r="R806" s="67"/>
      <c r="S806" s="68"/>
      <c r="T806" s="68"/>
      <c r="U806" s="68"/>
      <c r="V806" s="68"/>
      <c r="W806" s="68"/>
      <c r="X806" s="69"/>
      <c r="Z806" s="67"/>
      <c r="AA806" s="68"/>
      <c r="AB806" s="68"/>
      <c r="AC806" s="68"/>
      <c r="AD806" s="68"/>
      <c r="AE806" s="68"/>
      <c r="AF806" s="69"/>
      <c r="AH806" s="67"/>
      <c r="AI806" s="68"/>
      <c r="AJ806" s="68"/>
      <c r="AK806" s="68"/>
      <c r="AL806" s="68"/>
      <c r="AM806" s="69"/>
    </row>
    <row r="807" customFormat="false" ht="9.75" hidden="false" customHeight="true" outlineLevel="0" collapsed="false"/>
    <row r="808" customFormat="false" ht="21.75" hidden="false" customHeight="true" outlineLevel="0" collapsed="false">
      <c r="B808" s="6"/>
      <c r="C808" s="19" t="s">
        <v>105</v>
      </c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59" t="s">
        <v>106</v>
      </c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  <c r="AF808" s="59"/>
      <c r="AG808" s="59"/>
      <c r="AH808" s="59"/>
      <c r="AI808" s="59"/>
      <c r="AJ808" s="59"/>
      <c r="AK808" s="59"/>
      <c r="AL808" s="59"/>
      <c r="AM808" s="59"/>
    </row>
    <row r="809" customFormat="false" ht="24" hidden="false" customHeight="true" outlineLevel="0" collapsed="false"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  <c r="AA809" s="72"/>
      <c r="AB809" s="72"/>
      <c r="AC809" s="72"/>
      <c r="AD809" s="72"/>
      <c r="AE809" s="72"/>
      <c r="AF809" s="72"/>
      <c r="AG809" s="72"/>
      <c r="AH809" s="72"/>
      <c r="AI809" s="72"/>
      <c r="AJ809" s="72"/>
      <c r="AK809" s="72"/>
      <c r="AL809" s="72"/>
      <c r="AM809" s="72"/>
    </row>
    <row r="810" customFormat="false" ht="24" hidden="false" customHeight="true" outlineLevel="0" collapsed="false"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  <c r="AA810" s="72"/>
      <c r="AB810" s="72"/>
      <c r="AC810" s="72"/>
      <c r="AD810" s="72"/>
      <c r="AE810" s="72"/>
      <c r="AF810" s="72"/>
      <c r="AG810" s="72"/>
      <c r="AH810" s="72"/>
      <c r="AI810" s="72"/>
      <c r="AJ810" s="72"/>
      <c r="AK810" s="72"/>
      <c r="AL810" s="72"/>
      <c r="AM810" s="72"/>
    </row>
    <row r="811" customFormat="false" ht="24" hidden="false" customHeight="true" outlineLevel="0" collapsed="false"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  <c r="AA811" s="72"/>
      <c r="AB811" s="72"/>
      <c r="AC811" s="72"/>
      <c r="AD811" s="72"/>
      <c r="AE811" s="72"/>
      <c r="AF811" s="72"/>
      <c r="AG811" s="72"/>
      <c r="AH811" s="72"/>
      <c r="AI811" s="72"/>
      <c r="AJ811" s="72"/>
      <c r="AK811" s="72"/>
      <c r="AL811" s="72"/>
      <c r="AM811" s="72"/>
    </row>
    <row r="812" customFormat="false" ht="295.5" hidden="false" customHeight="true" outlineLevel="0" collapsed="false"/>
    <row r="813" customFormat="false" ht="6" hidden="false" customHeight="true" outlineLevel="0" collapsed="false"/>
    <row r="814" customFormat="false" ht="19.5" hidden="false" customHeight="true" outlineLevel="0" collapsed="false">
      <c r="B814" s="73" t="s">
        <v>107</v>
      </c>
      <c r="C814" s="73"/>
      <c r="D814" s="73"/>
      <c r="E814" s="73"/>
      <c r="F814" s="73"/>
      <c r="G814" s="73"/>
      <c r="H814" s="73"/>
      <c r="I814" s="73"/>
      <c r="J814" s="73"/>
      <c r="K814" s="73"/>
      <c r="L814" s="74" t="s">
        <v>108</v>
      </c>
      <c r="M814" s="74"/>
      <c r="N814" s="74"/>
      <c r="O814" s="74"/>
      <c r="P814" s="74"/>
      <c r="Q814" s="74"/>
      <c r="R814" s="74"/>
      <c r="S814" s="74"/>
      <c r="U814" s="73" t="s">
        <v>109</v>
      </c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4" t="s">
        <v>108</v>
      </c>
      <c r="AG814" s="74"/>
      <c r="AH814" s="74"/>
      <c r="AI814" s="74"/>
      <c r="AJ814" s="74"/>
      <c r="AK814" s="74"/>
      <c r="AL814" s="74"/>
      <c r="AM814" s="74"/>
    </row>
    <row r="815" customFormat="false" ht="9.75" hidden="false" customHeight="true" outlineLevel="0" collapsed="false"/>
    <row r="816" customFormat="false" ht="18" hidden="false" customHeight="true" outlineLevel="0" collapsed="false">
      <c r="B816" s="75" t="s">
        <v>110</v>
      </c>
      <c r="C816" s="75"/>
      <c r="D816" s="75"/>
      <c r="E816" s="75"/>
      <c r="F816" s="75"/>
      <c r="G816" s="75"/>
      <c r="H816" s="75"/>
      <c r="I816" s="75"/>
      <c r="J816" s="75"/>
      <c r="K816" s="75"/>
      <c r="L816" s="75"/>
      <c r="M816" s="75"/>
      <c r="N816" s="75"/>
      <c r="O816" s="75"/>
      <c r="P816" s="75"/>
      <c r="Q816" s="75"/>
      <c r="R816" s="75"/>
      <c r="S816" s="75"/>
      <c r="T816" s="76" t="s">
        <v>111</v>
      </c>
      <c r="U816" s="76"/>
      <c r="V816" s="76"/>
      <c r="W816" s="76"/>
      <c r="X816" s="76"/>
      <c r="Y816" s="76"/>
      <c r="Z816" s="76"/>
      <c r="AA816" s="76"/>
      <c r="AB816" s="76"/>
      <c r="AC816" s="76"/>
      <c r="AD816" s="76"/>
      <c r="AE816" s="76"/>
      <c r="AF816" s="76"/>
      <c r="AG816" s="76"/>
      <c r="AH816" s="76"/>
      <c r="AI816" s="76"/>
      <c r="AJ816" s="76"/>
      <c r="AK816" s="76"/>
      <c r="AL816" s="76"/>
      <c r="AM816" s="76"/>
    </row>
    <row r="817" customFormat="false" ht="7.5" hidden="false" customHeight="true" outlineLevel="0" collapsed="false"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</row>
    <row r="818" customFormat="false" ht="19.5" hidden="false" customHeight="true" outlineLevel="0" collapsed="false">
      <c r="B818" s="1"/>
      <c r="C818" s="51" t="s">
        <v>78</v>
      </c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  <c r="AA818" s="51"/>
      <c r="AB818" s="1"/>
      <c r="AC818" s="1"/>
      <c r="AD818" s="1"/>
      <c r="AE818" s="52" t="s">
        <v>79</v>
      </c>
      <c r="AF818" s="52"/>
      <c r="AG818" s="52"/>
      <c r="AH818" s="52"/>
      <c r="AI818" s="52"/>
      <c r="AJ818" s="52"/>
      <c r="AK818" s="52"/>
      <c r="AL818" s="1"/>
      <c r="AM818" s="1"/>
    </row>
    <row r="819" customFormat="false" ht="30" hidden="false" customHeight="true" outlineLevel="0" collapsed="false">
      <c r="B819" s="1"/>
      <c r="C819" s="53" t="s">
        <v>80</v>
      </c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4" t="s">
        <v>81</v>
      </c>
      <c r="AC819" s="54"/>
      <c r="AD819" s="54"/>
      <c r="AE819" s="54"/>
      <c r="AF819" s="54"/>
      <c r="AG819" s="54"/>
      <c r="AH819" s="54"/>
      <c r="AI819" s="54"/>
      <c r="AJ819" s="54"/>
      <c r="AK819" s="54"/>
      <c r="AL819" s="1"/>
      <c r="AM819" s="1"/>
    </row>
    <row r="820" customFormat="false" ht="15.75" hidden="false" customHeight="true" outlineLevel="0" collapsed="false">
      <c r="B820" s="1"/>
      <c r="C820" s="55" t="s">
        <v>82</v>
      </c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</row>
    <row r="821" customFormat="false" ht="9.75" hidden="false" customHeight="true" outlineLevel="0" collapsed="false"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</row>
    <row r="822" customFormat="false" ht="3.75" hidden="false" customHeight="true" outlineLevel="0" collapsed="false"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</row>
    <row r="823" customFormat="false" ht="7.5" hidden="false" customHeight="true" outlineLevel="0" collapsed="false"/>
    <row r="824" customFormat="false" ht="13.5" hidden="false" customHeight="true" outlineLevel="0" collapsed="false">
      <c r="B824" s="56" t="s">
        <v>83</v>
      </c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P824" s="56" t="s">
        <v>84</v>
      </c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C824" s="56" t="s">
        <v>85</v>
      </c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</row>
    <row r="825" customFormat="false" ht="21.75" hidden="false" customHeight="true" outlineLevel="0" collapsed="false">
      <c r="B825" s="57" t="str">
        <f aca="false">Dashboard!$C$6</f>
        <v>Bindhya TB</v>
      </c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P825" s="57" t="str">
        <f aca="false">Dashboard!$C$7</f>
        <v>Tourism &amp; Business</v>
      </c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C825" s="58" t="n">
        <f aca="false">Cal!A26</f>
        <v>46320</v>
      </c>
      <c r="AD825" s="58"/>
      <c r="AE825" s="58"/>
      <c r="AF825" s="58"/>
      <c r="AG825" s="58"/>
      <c r="AH825" s="58"/>
      <c r="AI825" s="58"/>
      <c r="AJ825" s="58"/>
      <c r="AK825" s="58"/>
      <c r="AL825" s="58"/>
      <c r="AM825" s="58"/>
    </row>
    <row r="826" customFormat="false" ht="9.75" hidden="false" customHeight="true" outlineLevel="0" collapsed="false"/>
    <row r="827" customFormat="false" ht="21.75" hidden="false" customHeight="true" outlineLevel="0" collapsed="false">
      <c r="B827" s="6"/>
      <c r="C827" s="19" t="s">
        <v>86</v>
      </c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59" t="s">
        <v>87</v>
      </c>
      <c r="Q827" s="59"/>
      <c r="R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  <c r="AF827" s="59"/>
      <c r="AG827" s="59"/>
      <c r="AH827" s="59"/>
      <c r="AI827" s="59"/>
      <c r="AJ827" s="59"/>
      <c r="AK827" s="59"/>
      <c r="AL827" s="59"/>
      <c r="AM827" s="59"/>
    </row>
    <row r="828" customFormat="false" ht="19.5" hidden="false" customHeight="true" outlineLevel="0" collapsed="false">
      <c r="B828" s="60"/>
      <c r="C828" s="61" t="n">
        <v>1</v>
      </c>
      <c r="D828" s="62" t="s">
        <v>88</v>
      </c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V828" s="60"/>
      <c r="W828" s="61" t="n">
        <v>2</v>
      </c>
      <c r="X828" s="62" t="s">
        <v>89</v>
      </c>
      <c r="Y828" s="62"/>
      <c r="Z828" s="62"/>
      <c r="AA828" s="62"/>
      <c r="AB828" s="62"/>
      <c r="AC828" s="62"/>
      <c r="AD828" s="62"/>
      <c r="AE828" s="62"/>
      <c r="AF828" s="62"/>
      <c r="AG828" s="62"/>
      <c r="AH828" s="62"/>
      <c r="AI828" s="62"/>
      <c r="AJ828" s="62"/>
      <c r="AK828" s="62"/>
      <c r="AL828" s="62"/>
      <c r="AM828" s="62"/>
    </row>
    <row r="829" customFormat="false" ht="49.5" hidden="false" customHeight="true" outlineLevel="0" collapsed="false">
      <c r="B829" s="63"/>
      <c r="C829" s="64"/>
      <c r="D829" s="64"/>
      <c r="E829" s="64"/>
      <c r="F829" s="64"/>
      <c r="G829" s="64"/>
      <c r="H829" s="64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5"/>
      <c r="V829" s="63"/>
      <c r="W829" s="77"/>
      <c r="X829" s="77"/>
      <c r="Y829" s="77"/>
      <c r="Z829" s="77"/>
      <c r="AA829" s="77"/>
      <c r="AB829" s="77"/>
      <c r="AC829" s="77"/>
      <c r="AD829" s="77"/>
      <c r="AE829" s="77"/>
      <c r="AF829" s="77"/>
      <c r="AG829" s="77"/>
      <c r="AH829" s="77"/>
      <c r="AI829" s="77"/>
      <c r="AJ829" s="77"/>
      <c r="AK829" s="77"/>
      <c r="AL829" s="77"/>
      <c r="AM829" s="65"/>
    </row>
    <row r="830" customFormat="false" ht="6" hidden="false" customHeight="true" outlineLevel="0" collapsed="false">
      <c r="B830" s="67"/>
      <c r="C830" s="68"/>
      <c r="D830" s="68"/>
      <c r="E830" s="68"/>
      <c r="F830" s="68"/>
      <c r="G830" s="68"/>
      <c r="H830" s="68"/>
      <c r="I830" s="68"/>
      <c r="J830" s="68"/>
      <c r="K830" s="68"/>
      <c r="L830" s="68"/>
      <c r="M830" s="68"/>
      <c r="N830" s="68"/>
      <c r="O830" s="68"/>
      <c r="P830" s="68"/>
      <c r="Q830" s="68"/>
      <c r="R830" s="68"/>
      <c r="S830" s="68"/>
      <c r="T830" s="69"/>
      <c r="V830" s="67"/>
      <c r="W830" s="68"/>
      <c r="X830" s="68"/>
      <c r="Y830" s="68"/>
      <c r="Z830" s="68"/>
      <c r="AA830" s="68"/>
      <c r="AB830" s="68"/>
      <c r="AC830" s="68"/>
      <c r="AD830" s="68"/>
      <c r="AE830" s="68"/>
      <c r="AF830" s="68"/>
      <c r="AG830" s="68"/>
      <c r="AH830" s="68"/>
      <c r="AI830" s="68"/>
      <c r="AJ830" s="68"/>
      <c r="AK830" s="68"/>
      <c r="AL830" s="68"/>
      <c r="AM830" s="69"/>
    </row>
    <row r="831" customFormat="false" ht="9.75" hidden="false" customHeight="true" outlineLevel="0" collapsed="false"/>
    <row r="832" customFormat="false" ht="21.75" hidden="false" customHeight="true" outlineLevel="0" collapsed="false">
      <c r="B832" s="6"/>
      <c r="C832" s="19" t="s">
        <v>91</v>
      </c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59" t="s">
        <v>92</v>
      </c>
      <c r="W832" s="59"/>
      <c r="X832" s="59"/>
      <c r="Y832" s="59"/>
      <c r="Z832" s="59"/>
      <c r="AA832" s="59"/>
      <c r="AB832" s="59"/>
      <c r="AC832" s="59"/>
      <c r="AD832" s="59"/>
      <c r="AE832" s="59"/>
      <c r="AF832" s="59"/>
      <c r="AG832" s="59"/>
      <c r="AH832" s="59"/>
      <c r="AI832" s="59"/>
      <c r="AJ832" s="59"/>
      <c r="AK832" s="59"/>
      <c r="AL832" s="59"/>
      <c r="AM832" s="59"/>
    </row>
    <row r="833" customFormat="false" ht="27.75" hidden="false" customHeight="true" outlineLevel="0" collapsed="false">
      <c r="B833" s="60"/>
      <c r="C833" s="61" t="n">
        <v>3</v>
      </c>
      <c r="D833" s="62" t="s">
        <v>93</v>
      </c>
      <c r="E833" s="62"/>
      <c r="F833" s="62"/>
      <c r="G833" s="62"/>
      <c r="H833" s="62"/>
      <c r="I833" s="62"/>
      <c r="J833" s="62"/>
      <c r="L833" s="60"/>
      <c r="M833" s="61" t="n">
        <v>4</v>
      </c>
      <c r="N833" s="62" t="s">
        <v>94</v>
      </c>
      <c r="O833" s="62"/>
      <c r="P833" s="62"/>
      <c r="Q833" s="62"/>
      <c r="R833" s="62"/>
      <c r="S833" s="62"/>
      <c r="T833" s="62"/>
      <c r="V833" s="60"/>
      <c r="W833" s="61" t="n">
        <v>5</v>
      </c>
      <c r="X833" s="62" t="s">
        <v>95</v>
      </c>
      <c r="Y833" s="62"/>
      <c r="Z833" s="62"/>
      <c r="AA833" s="62"/>
      <c r="AB833" s="62"/>
      <c r="AC833" s="62"/>
      <c r="AD833" s="62"/>
      <c r="AF833" s="60"/>
      <c r="AG833" s="61" t="n">
        <v>6</v>
      </c>
      <c r="AH833" s="62" t="s">
        <v>96</v>
      </c>
      <c r="AI833" s="62"/>
      <c r="AJ833" s="62"/>
      <c r="AK833" s="62"/>
      <c r="AL833" s="62"/>
      <c r="AM833" s="62"/>
    </row>
    <row r="834" customFormat="false" ht="25.5" hidden="false" customHeight="true" outlineLevel="0" collapsed="false">
      <c r="B834" s="63"/>
      <c r="C834" s="64"/>
      <c r="D834" s="64"/>
      <c r="E834" s="64"/>
      <c r="F834" s="64"/>
      <c r="G834" s="64"/>
      <c r="H834" s="64"/>
      <c r="I834" s="64"/>
      <c r="J834" s="65"/>
      <c r="L834" s="63"/>
      <c r="M834" s="64"/>
      <c r="N834" s="64"/>
      <c r="O834" s="64"/>
      <c r="P834" s="64"/>
      <c r="Q834" s="64"/>
      <c r="R834" s="64"/>
      <c r="S834" s="64"/>
      <c r="T834" s="65"/>
      <c r="V834" s="63"/>
      <c r="W834" s="70"/>
      <c r="X834" s="70"/>
      <c r="Y834" s="70"/>
      <c r="Z834" s="70"/>
      <c r="AA834" s="70"/>
      <c r="AB834" s="70"/>
      <c r="AC834" s="70"/>
      <c r="AD834" s="65"/>
      <c r="AF834" s="63"/>
      <c r="AG834" s="64"/>
      <c r="AH834" s="64"/>
      <c r="AI834" s="64"/>
      <c r="AJ834" s="64"/>
      <c r="AK834" s="64"/>
      <c r="AL834" s="64"/>
      <c r="AM834" s="65"/>
    </row>
    <row r="835" customFormat="false" ht="6" hidden="false" customHeight="true" outlineLevel="0" collapsed="false">
      <c r="B835" s="67"/>
      <c r="C835" s="68"/>
      <c r="D835" s="68"/>
      <c r="E835" s="68"/>
      <c r="F835" s="68"/>
      <c r="G835" s="68"/>
      <c r="H835" s="68"/>
      <c r="I835" s="68"/>
      <c r="J835" s="69"/>
      <c r="L835" s="67"/>
      <c r="M835" s="68"/>
      <c r="N835" s="68"/>
      <c r="O835" s="68"/>
      <c r="P835" s="68"/>
      <c r="Q835" s="68"/>
      <c r="R835" s="68"/>
      <c r="S835" s="68"/>
      <c r="T835" s="69"/>
      <c r="V835" s="67"/>
      <c r="W835" s="68"/>
      <c r="X835" s="68"/>
      <c r="Y835" s="68"/>
      <c r="Z835" s="68"/>
      <c r="AA835" s="68"/>
      <c r="AB835" s="68"/>
      <c r="AC835" s="68"/>
      <c r="AD835" s="69"/>
      <c r="AF835" s="67"/>
      <c r="AG835" s="68"/>
      <c r="AH835" s="68"/>
      <c r="AI835" s="68"/>
      <c r="AJ835" s="68"/>
      <c r="AK835" s="68"/>
      <c r="AL835" s="68"/>
      <c r="AM835" s="69"/>
    </row>
    <row r="836" customFormat="false" ht="9.75" hidden="false" customHeight="true" outlineLevel="0" collapsed="false"/>
    <row r="837" customFormat="false" ht="21.75" hidden="false" customHeight="true" outlineLevel="0" collapsed="false">
      <c r="B837" s="6"/>
      <c r="C837" s="19" t="s">
        <v>98</v>
      </c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59" t="s">
        <v>99</v>
      </c>
      <c r="W837" s="59"/>
      <c r="X837" s="59"/>
      <c r="Y837" s="59"/>
      <c r="Z837" s="59"/>
      <c r="AA837" s="59"/>
      <c r="AB837" s="59"/>
      <c r="AC837" s="59"/>
      <c r="AD837" s="59"/>
      <c r="AE837" s="59"/>
      <c r="AF837" s="59"/>
      <c r="AG837" s="59"/>
      <c r="AH837" s="59"/>
      <c r="AI837" s="59"/>
      <c r="AJ837" s="59"/>
      <c r="AK837" s="59"/>
      <c r="AL837" s="59"/>
      <c r="AM837" s="59"/>
    </row>
    <row r="838" customFormat="false" ht="27.75" hidden="false" customHeight="true" outlineLevel="0" collapsed="false">
      <c r="B838" s="60"/>
      <c r="C838" s="61" t="n">
        <v>7</v>
      </c>
      <c r="D838" s="62" t="s">
        <v>100</v>
      </c>
      <c r="E838" s="62"/>
      <c r="F838" s="62"/>
      <c r="G838" s="62"/>
      <c r="H838" s="62"/>
      <c r="J838" s="60"/>
      <c r="K838" s="61" t="n">
        <v>8</v>
      </c>
      <c r="L838" s="62" t="s">
        <v>101</v>
      </c>
      <c r="M838" s="62"/>
      <c r="N838" s="62"/>
      <c r="O838" s="62"/>
      <c r="P838" s="62"/>
      <c r="R838" s="60"/>
      <c r="S838" s="61" t="n">
        <v>9</v>
      </c>
      <c r="T838" s="62" t="s">
        <v>102</v>
      </c>
      <c r="U838" s="62"/>
      <c r="V838" s="62"/>
      <c r="W838" s="62"/>
      <c r="X838" s="62"/>
      <c r="Z838" s="60"/>
      <c r="AA838" s="61" t="n">
        <v>10</v>
      </c>
      <c r="AB838" s="62" t="s">
        <v>103</v>
      </c>
      <c r="AC838" s="62"/>
      <c r="AD838" s="62"/>
      <c r="AE838" s="62"/>
      <c r="AF838" s="62"/>
      <c r="AH838" s="60"/>
      <c r="AI838" s="61" t="n">
        <v>11</v>
      </c>
      <c r="AJ838" s="62" t="s">
        <v>104</v>
      </c>
      <c r="AK838" s="62"/>
      <c r="AL838" s="62"/>
      <c r="AM838" s="62"/>
    </row>
    <row r="839" customFormat="false" ht="25.5" hidden="false" customHeight="true" outlineLevel="0" collapsed="false">
      <c r="B839" s="63"/>
      <c r="C839" s="64"/>
      <c r="D839" s="64"/>
      <c r="E839" s="64"/>
      <c r="F839" s="64"/>
      <c r="G839" s="64"/>
      <c r="H839" s="65"/>
      <c r="J839" s="63"/>
      <c r="K839" s="64"/>
      <c r="L839" s="64"/>
      <c r="M839" s="64"/>
      <c r="N839" s="64"/>
      <c r="O839" s="64"/>
      <c r="P839" s="65"/>
      <c r="R839" s="63"/>
      <c r="S839" s="64"/>
      <c r="T839" s="64"/>
      <c r="U839" s="64"/>
      <c r="V839" s="64"/>
      <c r="W839" s="64"/>
      <c r="X839" s="65"/>
      <c r="Z839" s="63"/>
      <c r="AA839" s="64"/>
      <c r="AB839" s="64"/>
      <c r="AC839" s="64"/>
      <c r="AD839" s="64"/>
      <c r="AE839" s="64"/>
      <c r="AF839" s="65"/>
      <c r="AH839" s="63"/>
      <c r="AI839" s="64"/>
      <c r="AJ839" s="64"/>
      <c r="AK839" s="64"/>
      <c r="AL839" s="64"/>
      <c r="AM839" s="65"/>
    </row>
    <row r="840" customFormat="false" ht="6" hidden="false" customHeight="true" outlineLevel="0" collapsed="false">
      <c r="B840" s="67"/>
      <c r="C840" s="68"/>
      <c r="D840" s="68"/>
      <c r="E840" s="68"/>
      <c r="F840" s="68"/>
      <c r="G840" s="68"/>
      <c r="H840" s="69"/>
      <c r="J840" s="67"/>
      <c r="K840" s="68"/>
      <c r="L840" s="68"/>
      <c r="M840" s="68"/>
      <c r="N840" s="68"/>
      <c r="O840" s="68"/>
      <c r="P840" s="69"/>
      <c r="R840" s="67"/>
      <c r="S840" s="68"/>
      <c r="T840" s="68"/>
      <c r="U840" s="68"/>
      <c r="V840" s="68"/>
      <c r="W840" s="68"/>
      <c r="X840" s="69"/>
      <c r="Z840" s="67"/>
      <c r="AA840" s="68"/>
      <c r="AB840" s="68"/>
      <c r="AC840" s="68"/>
      <c r="AD840" s="68"/>
      <c r="AE840" s="68"/>
      <c r="AF840" s="69"/>
      <c r="AH840" s="67"/>
      <c r="AI840" s="68"/>
      <c r="AJ840" s="68"/>
      <c r="AK840" s="68"/>
      <c r="AL840" s="68"/>
      <c r="AM840" s="69"/>
    </row>
    <row r="841" customFormat="false" ht="9.75" hidden="false" customHeight="true" outlineLevel="0" collapsed="false"/>
    <row r="842" customFormat="false" ht="21.75" hidden="false" customHeight="true" outlineLevel="0" collapsed="false">
      <c r="B842" s="6"/>
      <c r="C842" s="19" t="s">
        <v>105</v>
      </c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59" t="s">
        <v>106</v>
      </c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  <c r="AF842" s="59"/>
      <c r="AG842" s="59"/>
      <c r="AH842" s="59"/>
      <c r="AI842" s="59"/>
      <c r="AJ842" s="59"/>
      <c r="AK842" s="59"/>
      <c r="AL842" s="59"/>
      <c r="AM842" s="59"/>
    </row>
    <row r="843" customFormat="false" ht="24" hidden="false" customHeight="true" outlineLevel="0" collapsed="false"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  <c r="AA843" s="72"/>
      <c r="AB843" s="72"/>
      <c r="AC843" s="72"/>
      <c r="AD843" s="72"/>
      <c r="AE843" s="72"/>
      <c r="AF843" s="72"/>
      <c r="AG843" s="72"/>
      <c r="AH843" s="72"/>
      <c r="AI843" s="72"/>
      <c r="AJ843" s="72"/>
      <c r="AK843" s="72"/>
      <c r="AL843" s="72"/>
      <c r="AM843" s="72"/>
    </row>
    <row r="844" customFormat="false" ht="24" hidden="false" customHeight="true" outlineLevel="0" collapsed="false"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  <c r="AA844" s="72"/>
      <c r="AB844" s="72"/>
      <c r="AC844" s="72"/>
      <c r="AD844" s="72"/>
      <c r="AE844" s="72"/>
      <c r="AF844" s="72"/>
      <c r="AG844" s="72"/>
      <c r="AH844" s="72"/>
      <c r="AI844" s="72"/>
      <c r="AJ844" s="72"/>
      <c r="AK844" s="72"/>
      <c r="AL844" s="72"/>
      <c r="AM844" s="72"/>
    </row>
    <row r="845" customFormat="false" ht="24" hidden="false" customHeight="true" outlineLevel="0" collapsed="false"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  <c r="AA845" s="72"/>
      <c r="AB845" s="72"/>
      <c r="AC845" s="72"/>
      <c r="AD845" s="72"/>
      <c r="AE845" s="72"/>
      <c r="AF845" s="72"/>
      <c r="AG845" s="72"/>
      <c r="AH845" s="72"/>
      <c r="AI845" s="72"/>
      <c r="AJ845" s="72"/>
      <c r="AK845" s="72"/>
      <c r="AL845" s="72"/>
      <c r="AM845" s="72"/>
    </row>
    <row r="846" customFormat="false" ht="295.5" hidden="false" customHeight="true" outlineLevel="0" collapsed="false"/>
    <row r="847" customFormat="false" ht="6" hidden="false" customHeight="true" outlineLevel="0" collapsed="false"/>
    <row r="848" customFormat="false" ht="19.5" hidden="false" customHeight="true" outlineLevel="0" collapsed="false">
      <c r="B848" s="73" t="s">
        <v>107</v>
      </c>
      <c r="C848" s="73"/>
      <c r="D848" s="73"/>
      <c r="E848" s="73"/>
      <c r="F848" s="73"/>
      <c r="G848" s="73"/>
      <c r="H848" s="73"/>
      <c r="I848" s="73"/>
      <c r="J848" s="73"/>
      <c r="K848" s="73"/>
      <c r="L848" s="74" t="s">
        <v>108</v>
      </c>
      <c r="M848" s="74"/>
      <c r="N848" s="74"/>
      <c r="O848" s="74"/>
      <c r="P848" s="74"/>
      <c r="Q848" s="74"/>
      <c r="R848" s="74"/>
      <c r="S848" s="74"/>
      <c r="U848" s="73" t="s">
        <v>109</v>
      </c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4" t="s">
        <v>108</v>
      </c>
      <c r="AG848" s="74"/>
      <c r="AH848" s="74"/>
      <c r="AI848" s="74"/>
      <c r="AJ848" s="74"/>
      <c r="AK848" s="74"/>
      <c r="AL848" s="74"/>
      <c r="AM848" s="74"/>
    </row>
    <row r="849" customFormat="false" ht="9.75" hidden="false" customHeight="true" outlineLevel="0" collapsed="false"/>
    <row r="850" customFormat="false" ht="18" hidden="false" customHeight="true" outlineLevel="0" collapsed="false">
      <c r="B850" s="75" t="s">
        <v>110</v>
      </c>
      <c r="C850" s="75"/>
      <c r="D850" s="75"/>
      <c r="E850" s="75"/>
      <c r="F850" s="75"/>
      <c r="G850" s="75"/>
      <c r="H850" s="75"/>
      <c r="I850" s="75"/>
      <c r="J850" s="75"/>
      <c r="K850" s="75"/>
      <c r="L850" s="75"/>
      <c r="M850" s="75"/>
      <c r="N850" s="75"/>
      <c r="O850" s="75"/>
      <c r="P850" s="75"/>
      <c r="Q850" s="75"/>
      <c r="R850" s="75"/>
      <c r="S850" s="75"/>
      <c r="T850" s="76" t="s">
        <v>111</v>
      </c>
      <c r="U850" s="76"/>
      <c r="V850" s="76"/>
      <c r="W850" s="76"/>
      <c r="X850" s="76"/>
      <c r="Y850" s="76"/>
      <c r="Z850" s="76"/>
      <c r="AA850" s="76"/>
      <c r="AB850" s="76"/>
      <c r="AC850" s="76"/>
      <c r="AD850" s="76"/>
      <c r="AE850" s="76"/>
      <c r="AF850" s="76"/>
      <c r="AG850" s="76"/>
      <c r="AH850" s="76"/>
      <c r="AI850" s="76"/>
      <c r="AJ850" s="76"/>
      <c r="AK850" s="76"/>
      <c r="AL850" s="76"/>
      <c r="AM850" s="76"/>
    </row>
    <row r="851" customFormat="false" ht="7.5" hidden="false" customHeight="true" outlineLevel="0" collapsed="false"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</row>
    <row r="852" customFormat="false" ht="19.5" hidden="false" customHeight="true" outlineLevel="0" collapsed="false">
      <c r="B852" s="1"/>
      <c r="C852" s="51" t="s">
        <v>78</v>
      </c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  <c r="AA852" s="51"/>
      <c r="AB852" s="1"/>
      <c r="AC852" s="1"/>
      <c r="AD852" s="1"/>
      <c r="AE852" s="52" t="s">
        <v>79</v>
      </c>
      <c r="AF852" s="52"/>
      <c r="AG852" s="52"/>
      <c r="AH852" s="52"/>
      <c r="AI852" s="52"/>
      <c r="AJ852" s="52"/>
      <c r="AK852" s="52"/>
      <c r="AL852" s="1"/>
      <c r="AM852" s="1"/>
    </row>
    <row r="853" customFormat="false" ht="30" hidden="false" customHeight="true" outlineLevel="0" collapsed="false">
      <c r="B853" s="1"/>
      <c r="C853" s="53" t="s">
        <v>80</v>
      </c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4" t="s">
        <v>81</v>
      </c>
      <c r="AC853" s="54"/>
      <c r="AD853" s="54"/>
      <c r="AE853" s="54"/>
      <c r="AF853" s="54"/>
      <c r="AG853" s="54"/>
      <c r="AH853" s="54"/>
      <c r="AI853" s="54"/>
      <c r="AJ853" s="54"/>
      <c r="AK853" s="54"/>
      <c r="AL853" s="1"/>
      <c r="AM853" s="1"/>
    </row>
    <row r="854" customFormat="false" ht="15.75" hidden="false" customHeight="true" outlineLevel="0" collapsed="false">
      <c r="B854" s="1"/>
      <c r="C854" s="55" t="s">
        <v>82</v>
      </c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</row>
    <row r="855" customFormat="false" ht="9.75" hidden="false" customHeight="true" outlineLevel="0" collapsed="false"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</row>
    <row r="856" customFormat="false" ht="3.75" hidden="false" customHeight="true" outlineLevel="0" collapsed="false"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</row>
    <row r="857" customFormat="false" ht="7.5" hidden="false" customHeight="true" outlineLevel="0" collapsed="false"/>
    <row r="858" customFormat="false" ht="13.5" hidden="false" customHeight="true" outlineLevel="0" collapsed="false">
      <c r="B858" s="56" t="s">
        <v>83</v>
      </c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P858" s="56" t="s">
        <v>84</v>
      </c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C858" s="56" t="s">
        <v>85</v>
      </c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</row>
    <row r="859" customFormat="false" ht="21.75" hidden="false" customHeight="true" outlineLevel="0" collapsed="false">
      <c r="B859" s="57" t="str">
        <f aca="false">Dashboard!$C$6</f>
        <v>Bindhya TB</v>
      </c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P859" s="57" t="str">
        <f aca="false">Dashboard!$C$7</f>
        <v>Tourism &amp; Business</v>
      </c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C859" s="58" t="n">
        <f aca="false">Cal!A27</f>
        <v>46321</v>
      </c>
      <c r="AD859" s="58"/>
      <c r="AE859" s="58"/>
      <c r="AF859" s="58"/>
      <c r="AG859" s="58"/>
      <c r="AH859" s="58"/>
      <c r="AI859" s="58"/>
      <c r="AJ859" s="58"/>
      <c r="AK859" s="58"/>
      <c r="AL859" s="58"/>
      <c r="AM859" s="58"/>
    </row>
    <row r="860" customFormat="false" ht="9.75" hidden="false" customHeight="true" outlineLevel="0" collapsed="false"/>
    <row r="861" customFormat="false" ht="21.75" hidden="false" customHeight="true" outlineLevel="0" collapsed="false">
      <c r="B861" s="6"/>
      <c r="C861" s="19" t="s">
        <v>86</v>
      </c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59" t="s">
        <v>87</v>
      </c>
      <c r="Q861" s="59"/>
      <c r="R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  <c r="AF861" s="59"/>
      <c r="AG861" s="59"/>
      <c r="AH861" s="59"/>
      <c r="AI861" s="59"/>
      <c r="AJ861" s="59"/>
      <c r="AK861" s="59"/>
      <c r="AL861" s="59"/>
      <c r="AM861" s="59"/>
    </row>
    <row r="862" customFormat="false" ht="19.5" hidden="false" customHeight="true" outlineLevel="0" collapsed="false">
      <c r="B862" s="60"/>
      <c r="C862" s="61" t="n">
        <v>1</v>
      </c>
      <c r="D862" s="62" t="s">
        <v>88</v>
      </c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V862" s="60"/>
      <c r="W862" s="61" t="n">
        <v>2</v>
      </c>
      <c r="X862" s="62" t="s">
        <v>89</v>
      </c>
      <c r="Y862" s="62"/>
      <c r="Z862" s="62"/>
      <c r="AA862" s="62"/>
      <c r="AB862" s="62"/>
      <c r="AC862" s="62"/>
      <c r="AD862" s="62"/>
      <c r="AE862" s="62"/>
      <c r="AF862" s="62"/>
      <c r="AG862" s="62"/>
      <c r="AH862" s="62"/>
      <c r="AI862" s="62"/>
      <c r="AJ862" s="62"/>
      <c r="AK862" s="62"/>
      <c r="AL862" s="62"/>
      <c r="AM862" s="62"/>
    </row>
    <row r="863" customFormat="false" ht="49.5" hidden="false" customHeight="true" outlineLevel="0" collapsed="false">
      <c r="B863" s="63"/>
      <c r="C863" s="64"/>
      <c r="D863" s="64"/>
      <c r="E863" s="64"/>
      <c r="F863" s="64"/>
      <c r="G863" s="64"/>
      <c r="H863" s="64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5"/>
      <c r="V863" s="63"/>
      <c r="W863" s="77"/>
      <c r="X863" s="77"/>
      <c r="Y863" s="77"/>
      <c r="Z863" s="77"/>
      <c r="AA863" s="77"/>
      <c r="AB863" s="77"/>
      <c r="AC863" s="77"/>
      <c r="AD863" s="77"/>
      <c r="AE863" s="77"/>
      <c r="AF863" s="77"/>
      <c r="AG863" s="77"/>
      <c r="AH863" s="77"/>
      <c r="AI863" s="77"/>
      <c r="AJ863" s="77"/>
      <c r="AK863" s="77"/>
      <c r="AL863" s="77"/>
      <c r="AM863" s="65"/>
    </row>
    <row r="864" customFormat="false" ht="6" hidden="false" customHeight="true" outlineLevel="0" collapsed="false">
      <c r="B864" s="67"/>
      <c r="C864" s="68"/>
      <c r="D864" s="68"/>
      <c r="E864" s="68"/>
      <c r="F864" s="68"/>
      <c r="G864" s="68"/>
      <c r="H864" s="68"/>
      <c r="I864" s="68"/>
      <c r="J864" s="68"/>
      <c r="K864" s="68"/>
      <c r="L864" s="68"/>
      <c r="M864" s="68"/>
      <c r="N864" s="68"/>
      <c r="O864" s="68"/>
      <c r="P864" s="68"/>
      <c r="Q864" s="68"/>
      <c r="R864" s="68"/>
      <c r="S864" s="68"/>
      <c r="T864" s="69"/>
      <c r="V864" s="67"/>
      <c r="W864" s="68"/>
      <c r="X864" s="68"/>
      <c r="Y864" s="68"/>
      <c r="Z864" s="68"/>
      <c r="AA864" s="68"/>
      <c r="AB864" s="68"/>
      <c r="AC864" s="68"/>
      <c r="AD864" s="68"/>
      <c r="AE864" s="68"/>
      <c r="AF864" s="68"/>
      <c r="AG864" s="68"/>
      <c r="AH864" s="68"/>
      <c r="AI864" s="68"/>
      <c r="AJ864" s="68"/>
      <c r="AK864" s="68"/>
      <c r="AL864" s="68"/>
      <c r="AM864" s="69"/>
    </row>
    <row r="865" customFormat="false" ht="9.75" hidden="false" customHeight="true" outlineLevel="0" collapsed="false"/>
    <row r="866" customFormat="false" ht="21.75" hidden="false" customHeight="true" outlineLevel="0" collapsed="false">
      <c r="B866" s="6"/>
      <c r="C866" s="19" t="s">
        <v>91</v>
      </c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59" t="s">
        <v>92</v>
      </c>
      <c r="W866" s="59"/>
      <c r="X866" s="59"/>
      <c r="Y866" s="59"/>
      <c r="Z866" s="59"/>
      <c r="AA866" s="59"/>
      <c r="AB866" s="59"/>
      <c r="AC866" s="59"/>
      <c r="AD866" s="59"/>
      <c r="AE866" s="59"/>
      <c r="AF866" s="59"/>
      <c r="AG866" s="59"/>
      <c r="AH866" s="59"/>
      <c r="AI866" s="59"/>
      <c r="AJ866" s="59"/>
      <c r="AK866" s="59"/>
      <c r="AL866" s="59"/>
      <c r="AM866" s="59"/>
    </row>
    <row r="867" customFormat="false" ht="27.75" hidden="false" customHeight="true" outlineLevel="0" collapsed="false">
      <c r="B867" s="60"/>
      <c r="C867" s="61" t="n">
        <v>3</v>
      </c>
      <c r="D867" s="62" t="s">
        <v>93</v>
      </c>
      <c r="E867" s="62"/>
      <c r="F867" s="62"/>
      <c r="G867" s="62"/>
      <c r="H867" s="62"/>
      <c r="I867" s="62"/>
      <c r="J867" s="62"/>
      <c r="L867" s="60"/>
      <c r="M867" s="61" t="n">
        <v>4</v>
      </c>
      <c r="N867" s="62" t="s">
        <v>94</v>
      </c>
      <c r="O867" s="62"/>
      <c r="P867" s="62"/>
      <c r="Q867" s="62"/>
      <c r="R867" s="62"/>
      <c r="S867" s="62"/>
      <c r="T867" s="62"/>
      <c r="V867" s="60"/>
      <c r="W867" s="61" t="n">
        <v>5</v>
      </c>
      <c r="X867" s="62" t="s">
        <v>95</v>
      </c>
      <c r="Y867" s="62"/>
      <c r="Z867" s="62"/>
      <c r="AA867" s="62"/>
      <c r="AB867" s="62"/>
      <c r="AC867" s="62"/>
      <c r="AD867" s="62"/>
      <c r="AF867" s="60"/>
      <c r="AG867" s="61" t="n">
        <v>6</v>
      </c>
      <c r="AH867" s="62" t="s">
        <v>96</v>
      </c>
      <c r="AI867" s="62"/>
      <c r="AJ867" s="62"/>
      <c r="AK867" s="62"/>
      <c r="AL867" s="62"/>
      <c r="AM867" s="62"/>
    </row>
    <row r="868" customFormat="false" ht="25.5" hidden="false" customHeight="true" outlineLevel="0" collapsed="false">
      <c r="B868" s="63"/>
      <c r="C868" s="64"/>
      <c r="D868" s="64"/>
      <c r="E868" s="64"/>
      <c r="F868" s="64"/>
      <c r="G868" s="64"/>
      <c r="H868" s="64"/>
      <c r="I868" s="64"/>
      <c r="J868" s="65"/>
      <c r="L868" s="63"/>
      <c r="M868" s="64"/>
      <c r="N868" s="64"/>
      <c r="O868" s="64"/>
      <c r="P868" s="64"/>
      <c r="Q868" s="64"/>
      <c r="R868" s="64"/>
      <c r="S868" s="64"/>
      <c r="T868" s="65"/>
      <c r="V868" s="63"/>
      <c r="W868" s="70"/>
      <c r="X868" s="70"/>
      <c r="Y868" s="70"/>
      <c r="Z868" s="70"/>
      <c r="AA868" s="70"/>
      <c r="AB868" s="70"/>
      <c r="AC868" s="70"/>
      <c r="AD868" s="65"/>
      <c r="AF868" s="63"/>
      <c r="AG868" s="64"/>
      <c r="AH868" s="64"/>
      <c r="AI868" s="64"/>
      <c r="AJ868" s="64"/>
      <c r="AK868" s="64"/>
      <c r="AL868" s="64"/>
      <c r="AM868" s="65"/>
    </row>
    <row r="869" customFormat="false" ht="6" hidden="false" customHeight="true" outlineLevel="0" collapsed="false">
      <c r="B869" s="67"/>
      <c r="C869" s="68"/>
      <c r="D869" s="68"/>
      <c r="E869" s="68"/>
      <c r="F869" s="68"/>
      <c r="G869" s="68"/>
      <c r="H869" s="68"/>
      <c r="I869" s="68"/>
      <c r="J869" s="69"/>
      <c r="L869" s="67"/>
      <c r="M869" s="68"/>
      <c r="N869" s="68"/>
      <c r="O869" s="68"/>
      <c r="P869" s="68"/>
      <c r="Q869" s="68"/>
      <c r="R869" s="68"/>
      <c r="S869" s="68"/>
      <c r="T869" s="69"/>
      <c r="V869" s="67"/>
      <c r="W869" s="68"/>
      <c r="X869" s="68"/>
      <c r="Y869" s="68"/>
      <c r="Z869" s="68"/>
      <c r="AA869" s="68"/>
      <c r="AB869" s="68"/>
      <c r="AC869" s="68"/>
      <c r="AD869" s="69"/>
      <c r="AF869" s="67"/>
      <c r="AG869" s="68"/>
      <c r="AH869" s="68"/>
      <c r="AI869" s="68"/>
      <c r="AJ869" s="68"/>
      <c r="AK869" s="68"/>
      <c r="AL869" s="68"/>
      <c r="AM869" s="69"/>
    </row>
    <row r="870" customFormat="false" ht="9.75" hidden="false" customHeight="true" outlineLevel="0" collapsed="false"/>
    <row r="871" customFormat="false" ht="21.75" hidden="false" customHeight="true" outlineLevel="0" collapsed="false">
      <c r="B871" s="6"/>
      <c r="C871" s="19" t="s">
        <v>98</v>
      </c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59" t="s">
        <v>99</v>
      </c>
      <c r="W871" s="59"/>
      <c r="X871" s="59"/>
      <c r="Y871" s="59"/>
      <c r="Z871" s="59"/>
      <c r="AA871" s="59"/>
      <c r="AB871" s="59"/>
      <c r="AC871" s="59"/>
      <c r="AD871" s="59"/>
      <c r="AE871" s="59"/>
      <c r="AF871" s="59"/>
      <c r="AG871" s="59"/>
      <c r="AH871" s="59"/>
      <c r="AI871" s="59"/>
      <c r="AJ871" s="59"/>
      <c r="AK871" s="59"/>
      <c r="AL871" s="59"/>
      <c r="AM871" s="59"/>
    </row>
    <row r="872" customFormat="false" ht="27.75" hidden="false" customHeight="true" outlineLevel="0" collapsed="false">
      <c r="B872" s="60"/>
      <c r="C872" s="61" t="n">
        <v>7</v>
      </c>
      <c r="D872" s="62" t="s">
        <v>100</v>
      </c>
      <c r="E872" s="62"/>
      <c r="F872" s="62"/>
      <c r="G872" s="62"/>
      <c r="H872" s="62"/>
      <c r="J872" s="60"/>
      <c r="K872" s="61" t="n">
        <v>8</v>
      </c>
      <c r="L872" s="62" t="s">
        <v>101</v>
      </c>
      <c r="M872" s="62"/>
      <c r="N872" s="62"/>
      <c r="O872" s="62"/>
      <c r="P872" s="62"/>
      <c r="R872" s="60"/>
      <c r="S872" s="61" t="n">
        <v>9</v>
      </c>
      <c r="T872" s="62" t="s">
        <v>102</v>
      </c>
      <c r="U872" s="62"/>
      <c r="V872" s="62"/>
      <c r="W872" s="62"/>
      <c r="X872" s="62"/>
      <c r="Z872" s="60"/>
      <c r="AA872" s="61" t="n">
        <v>10</v>
      </c>
      <c r="AB872" s="62" t="s">
        <v>103</v>
      </c>
      <c r="AC872" s="62"/>
      <c r="AD872" s="62"/>
      <c r="AE872" s="62"/>
      <c r="AF872" s="62"/>
      <c r="AH872" s="60"/>
      <c r="AI872" s="61" t="n">
        <v>11</v>
      </c>
      <c r="AJ872" s="62" t="s">
        <v>104</v>
      </c>
      <c r="AK872" s="62"/>
      <c r="AL872" s="62"/>
      <c r="AM872" s="62"/>
    </row>
    <row r="873" customFormat="false" ht="25.5" hidden="false" customHeight="true" outlineLevel="0" collapsed="false">
      <c r="B873" s="63"/>
      <c r="C873" s="64"/>
      <c r="D873" s="64"/>
      <c r="E873" s="64"/>
      <c r="F873" s="64"/>
      <c r="G873" s="64"/>
      <c r="H873" s="65"/>
      <c r="J873" s="63"/>
      <c r="K873" s="64"/>
      <c r="L873" s="64"/>
      <c r="M873" s="64"/>
      <c r="N873" s="64"/>
      <c r="O873" s="64"/>
      <c r="P873" s="65"/>
      <c r="R873" s="63"/>
      <c r="S873" s="64"/>
      <c r="T873" s="64"/>
      <c r="U873" s="64"/>
      <c r="V873" s="64"/>
      <c r="W873" s="64"/>
      <c r="X873" s="65"/>
      <c r="Z873" s="63"/>
      <c r="AA873" s="64"/>
      <c r="AB873" s="64"/>
      <c r="AC873" s="64"/>
      <c r="AD873" s="64"/>
      <c r="AE873" s="64"/>
      <c r="AF873" s="65"/>
      <c r="AH873" s="63"/>
      <c r="AI873" s="64"/>
      <c r="AJ873" s="64"/>
      <c r="AK873" s="64"/>
      <c r="AL873" s="64"/>
      <c r="AM873" s="65"/>
    </row>
    <row r="874" customFormat="false" ht="6" hidden="false" customHeight="true" outlineLevel="0" collapsed="false">
      <c r="B874" s="67"/>
      <c r="C874" s="68"/>
      <c r="D874" s="68"/>
      <c r="E874" s="68"/>
      <c r="F874" s="68"/>
      <c r="G874" s="68"/>
      <c r="H874" s="69"/>
      <c r="J874" s="67"/>
      <c r="K874" s="68"/>
      <c r="L874" s="68"/>
      <c r="M874" s="68"/>
      <c r="N874" s="68"/>
      <c r="O874" s="68"/>
      <c r="P874" s="69"/>
      <c r="R874" s="67"/>
      <c r="S874" s="68"/>
      <c r="T874" s="68"/>
      <c r="U874" s="68"/>
      <c r="V874" s="68"/>
      <c r="W874" s="68"/>
      <c r="X874" s="69"/>
      <c r="Z874" s="67"/>
      <c r="AA874" s="68"/>
      <c r="AB874" s="68"/>
      <c r="AC874" s="68"/>
      <c r="AD874" s="68"/>
      <c r="AE874" s="68"/>
      <c r="AF874" s="69"/>
      <c r="AH874" s="67"/>
      <c r="AI874" s="68"/>
      <c r="AJ874" s="68"/>
      <c r="AK874" s="68"/>
      <c r="AL874" s="68"/>
      <c r="AM874" s="69"/>
    </row>
    <row r="875" customFormat="false" ht="9.75" hidden="false" customHeight="true" outlineLevel="0" collapsed="false"/>
    <row r="876" customFormat="false" ht="21.75" hidden="false" customHeight="true" outlineLevel="0" collapsed="false">
      <c r="B876" s="6"/>
      <c r="C876" s="19" t="s">
        <v>105</v>
      </c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59" t="s">
        <v>106</v>
      </c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  <c r="AF876" s="59"/>
      <c r="AG876" s="59"/>
      <c r="AH876" s="59"/>
      <c r="AI876" s="59"/>
      <c r="AJ876" s="59"/>
      <c r="AK876" s="59"/>
      <c r="AL876" s="59"/>
      <c r="AM876" s="59"/>
    </row>
    <row r="877" customFormat="false" ht="24" hidden="false" customHeight="true" outlineLevel="0" collapsed="false"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  <c r="AA877" s="72"/>
      <c r="AB877" s="72"/>
      <c r="AC877" s="72"/>
      <c r="AD877" s="72"/>
      <c r="AE877" s="72"/>
      <c r="AF877" s="72"/>
      <c r="AG877" s="72"/>
      <c r="AH877" s="72"/>
      <c r="AI877" s="72"/>
      <c r="AJ877" s="72"/>
      <c r="AK877" s="72"/>
      <c r="AL877" s="72"/>
      <c r="AM877" s="72"/>
    </row>
    <row r="878" customFormat="false" ht="24" hidden="false" customHeight="true" outlineLevel="0" collapsed="false"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  <c r="AA878" s="72"/>
      <c r="AB878" s="72"/>
      <c r="AC878" s="72"/>
      <c r="AD878" s="72"/>
      <c r="AE878" s="72"/>
      <c r="AF878" s="72"/>
      <c r="AG878" s="72"/>
      <c r="AH878" s="72"/>
      <c r="AI878" s="72"/>
      <c r="AJ878" s="72"/>
      <c r="AK878" s="72"/>
      <c r="AL878" s="72"/>
      <c r="AM878" s="72"/>
    </row>
    <row r="879" customFormat="false" ht="24" hidden="false" customHeight="true" outlineLevel="0" collapsed="false"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  <c r="AA879" s="72"/>
      <c r="AB879" s="72"/>
      <c r="AC879" s="72"/>
      <c r="AD879" s="72"/>
      <c r="AE879" s="72"/>
      <c r="AF879" s="72"/>
      <c r="AG879" s="72"/>
      <c r="AH879" s="72"/>
      <c r="AI879" s="72"/>
      <c r="AJ879" s="72"/>
      <c r="AK879" s="72"/>
      <c r="AL879" s="72"/>
      <c r="AM879" s="72"/>
    </row>
    <row r="880" customFormat="false" ht="295.5" hidden="false" customHeight="true" outlineLevel="0" collapsed="false"/>
    <row r="881" customFormat="false" ht="6" hidden="false" customHeight="true" outlineLevel="0" collapsed="false"/>
    <row r="882" customFormat="false" ht="19.5" hidden="false" customHeight="true" outlineLevel="0" collapsed="false">
      <c r="B882" s="73" t="s">
        <v>107</v>
      </c>
      <c r="C882" s="73"/>
      <c r="D882" s="73"/>
      <c r="E882" s="73"/>
      <c r="F882" s="73"/>
      <c r="G882" s="73"/>
      <c r="H882" s="73"/>
      <c r="I882" s="73"/>
      <c r="J882" s="73"/>
      <c r="K882" s="73"/>
      <c r="L882" s="74" t="s">
        <v>108</v>
      </c>
      <c r="M882" s="74"/>
      <c r="N882" s="74"/>
      <c r="O882" s="74"/>
      <c r="P882" s="74"/>
      <c r="Q882" s="74"/>
      <c r="R882" s="74"/>
      <c r="S882" s="74"/>
      <c r="U882" s="73" t="s">
        <v>109</v>
      </c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4" t="s">
        <v>108</v>
      </c>
      <c r="AG882" s="74"/>
      <c r="AH882" s="74"/>
      <c r="AI882" s="74"/>
      <c r="AJ882" s="74"/>
      <c r="AK882" s="74"/>
      <c r="AL882" s="74"/>
      <c r="AM882" s="74"/>
    </row>
    <row r="883" customFormat="false" ht="9.75" hidden="false" customHeight="true" outlineLevel="0" collapsed="false"/>
    <row r="884" customFormat="false" ht="18" hidden="false" customHeight="true" outlineLevel="0" collapsed="false">
      <c r="B884" s="75" t="s">
        <v>110</v>
      </c>
      <c r="C884" s="75"/>
      <c r="D884" s="75"/>
      <c r="E884" s="75"/>
      <c r="F884" s="75"/>
      <c r="G884" s="75"/>
      <c r="H884" s="75"/>
      <c r="I884" s="75"/>
      <c r="J884" s="75"/>
      <c r="K884" s="75"/>
      <c r="L884" s="75"/>
      <c r="M884" s="75"/>
      <c r="N884" s="75"/>
      <c r="O884" s="75"/>
      <c r="P884" s="75"/>
      <c r="Q884" s="75"/>
      <c r="R884" s="75"/>
      <c r="S884" s="75"/>
      <c r="T884" s="76" t="s">
        <v>111</v>
      </c>
      <c r="U884" s="76"/>
      <c r="V884" s="76"/>
      <c r="W884" s="76"/>
      <c r="X884" s="76"/>
      <c r="Y884" s="76"/>
      <c r="Z884" s="76"/>
      <c r="AA884" s="76"/>
      <c r="AB884" s="76"/>
      <c r="AC884" s="76"/>
      <c r="AD884" s="76"/>
      <c r="AE884" s="76"/>
      <c r="AF884" s="76"/>
      <c r="AG884" s="76"/>
      <c r="AH884" s="76"/>
      <c r="AI884" s="76"/>
      <c r="AJ884" s="76"/>
      <c r="AK884" s="76"/>
      <c r="AL884" s="76"/>
      <c r="AM884" s="76"/>
    </row>
    <row r="885" customFormat="false" ht="7.5" hidden="false" customHeight="true" outlineLevel="0" collapsed="false"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</row>
    <row r="886" customFormat="false" ht="19.5" hidden="false" customHeight="true" outlineLevel="0" collapsed="false">
      <c r="B886" s="1"/>
      <c r="C886" s="51" t="s">
        <v>78</v>
      </c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  <c r="AA886" s="51"/>
      <c r="AB886" s="1"/>
      <c r="AC886" s="1"/>
      <c r="AD886" s="1"/>
      <c r="AE886" s="52" t="s">
        <v>79</v>
      </c>
      <c r="AF886" s="52"/>
      <c r="AG886" s="52"/>
      <c r="AH886" s="52"/>
      <c r="AI886" s="52"/>
      <c r="AJ886" s="52"/>
      <c r="AK886" s="52"/>
      <c r="AL886" s="1"/>
      <c r="AM886" s="1"/>
    </row>
    <row r="887" customFormat="false" ht="30" hidden="false" customHeight="true" outlineLevel="0" collapsed="false">
      <c r="B887" s="1"/>
      <c r="C887" s="53" t="s">
        <v>80</v>
      </c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4" t="s">
        <v>81</v>
      </c>
      <c r="AC887" s="54"/>
      <c r="AD887" s="54"/>
      <c r="AE887" s="54"/>
      <c r="AF887" s="54"/>
      <c r="AG887" s="54"/>
      <c r="AH887" s="54"/>
      <c r="AI887" s="54"/>
      <c r="AJ887" s="54"/>
      <c r="AK887" s="54"/>
      <c r="AL887" s="1"/>
      <c r="AM887" s="1"/>
    </row>
    <row r="888" customFormat="false" ht="15.75" hidden="false" customHeight="true" outlineLevel="0" collapsed="false">
      <c r="B888" s="1"/>
      <c r="C888" s="55" t="s">
        <v>82</v>
      </c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</row>
    <row r="889" customFormat="false" ht="9.75" hidden="false" customHeight="true" outlineLevel="0" collapsed="false"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</row>
    <row r="890" customFormat="false" ht="3.75" hidden="false" customHeight="true" outlineLevel="0" collapsed="false"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</row>
    <row r="891" customFormat="false" ht="7.5" hidden="false" customHeight="true" outlineLevel="0" collapsed="false"/>
    <row r="892" customFormat="false" ht="13.5" hidden="false" customHeight="true" outlineLevel="0" collapsed="false">
      <c r="B892" s="56" t="s">
        <v>83</v>
      </c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P892" s="56" t="s">
        <v>84</v>
      </c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C892" s="56" t="s">
        <v>85</v>
      </c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</row>
    <row r="893" customFormat="false" ht="21.75" hidden="false" customHeight="true" outlineLevel="0" collapsed="false">
      <c r="B893" s="57" t="str">
        <f aca="false">Dashboard!$C$6</f>
        <v>Bindhya TB</v>
      </c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P893" s="57" t="str">
        <f aca="false">Dashboard!$C$7</f>
        <v>Tourism &amp; Business</v>
      </c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C893" s="58" t="n">
        <f aca="false">Cal!A28</f>
        <v>46322</v>
      </c>
      <c r="AD893" s="58"/>
      <c r="AE893" s="58"/>
      <c r="AF893" s="58"/>
      <c r="AG893" s="58"/>
      <c r="AH893" s="58"/>
      <c r="AI893" s="58"/>
      <c r="AJ893" s="58"/>
      <c r="AK893" s="58"/>
      <c r="AL893" s="58"/>
      <c r="AM893" s="58"/>
    </row>
    <row r="894" customFormat="false" ht="9.75" hidden="false" customHeight="true" outlineLevel="0" collapsed="false"/>
    <row r="895" customFormat="false" ht="21.75" hidden="false" customHeight="true" outlineLevel="0" collapsed="false">
      <c r="B895" s="6"/>
      <c r="C895" s="19" t="s">
        <v>86</v>
      </c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59" t="s">
        <v>87</v>
      </c>
      <c r="Q895" s="59"/>
      <c r="R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  <c r="AF895" s="59"/>
      <c r="AG895" s="59"/>
      <c r="AH895" s="59"/>
      <c r="AI895" s="59"/>
      <c r="AJ895" s="59"/>
      <c r="AK895" s="59"/>
      <c r="AL895" s="59"/>
      <c r="AM895" s="59"/>
    </row>
    <row r="896" customFormat="false" ht="19.5" hidden="false" customHeight="true" outlineLevel="0" collapsed="false">
      <c r="B896" s="60"/>
      <c r="C896" s="61" t="n">
        <v>1</v>
      </c>
      <c r="D896" s="62" t="s">
        <v>88</v>
      </c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V896" s="60"/>
      <c r="W896" s="61" t="n">
        <v>2</v>
      </c>
      <c r="X896" s="62" t="s">
        <v>89</v>
      </c>
      <c r="Y896" s="62"/>
      <c r="Z896" s="62"/>
      <c r="AA896" s="62"/>
      <c r="AB896" s="62"/>
      <c r="AC896" s="62"/>
      <c r="AD896" s="62"/>
      <c r="AE896" s="62"/>
      <c r="AF896" s="62"/>
      <c r="AG896" s="62"/>
      <c r="AH896" s="62"/>
      <c r="AI896" s="62"/>
      <c r="AJ896" s="62"/>
      <c r="AK896" s="62"/>
      <c r="AL896" s="62"/>
      <c r="AM896" s="62"/>
    </row>
    <row r="897" customFormat="false" ht="49.5" hidden="false" customHeight="true" outlineLevel="0" collapsed="false">
      <c r="B897" s="63"/>
      <c r="C897" s="64"/>
      <c r="D897" s="64"/>
      <c r="E897" s="64"/>
      <c r="F897" s="64"/>
      <c r="G897" s="64"/>
      <c r="H897" s="64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5"/>
      <c r="V897" s="63"/>
      <c r="W897" s="77"/>
      <c r="X897" s="77"/>
      <c r="Y897" s="77"/>
      <c r="Z897" s="77"/>
      <c r="AA897" s="77"/>
      <c r="AB897" s="77"/>
      <c r="AC897" s="77"/>
      <c r="AD897" s="77"/>
      <c r="AE897" s="77"/>
      <c r="AF897" s="77"/>
      <c r="AG897" s="77"/>
      <c r="AH897" s="77"/>
      <c r="AI897" s="77"/>
      <c r="AJ897" s="77"/>
      <c r="AK897" s="77"/>
      <c r="AL897" s="77"/>
      <c r="AM897" s="65"/>
    </row>
    <row r="898" customFormat="false" ht="6" hidden="false" customHeight="true" outlineLevel="0" collapsed="false">
      <c r="B898" s="67"/>
      <c r="C898" s="68"/>
      <c r="D898" s="68"/>
      <c r="E898" s="68"/>
      <c r="F898" s="68"/>
      <c r="G898" s="68"/>
      <c r="H898" s="68"/>
      <c r="I898" s="68"/>
      <c r="J898" s="68"/>
      <c r="K898" s="68"/>
      <c r="L898" s="68"/>
      <c r="M898" s="68"/>
      <c r="N898" s="68"/>
      <c r="O898" s="68"/>
      <c r="P898" s="68"/>
      <c r="Q898" s="68"/>
      <c r="R898" s="68"/>
      <c r="S898" s="68"/>
      <c r="T898" s="69"/>
      <c r="V898" s="67"/>
      <c r="W898" s="68"/>
      <c r="X898" s="68"/>
      <c r="Y898" s="68"/>
      <c r="Z898" s="68"/>
      <c r="AA898" s="68"/>
      <c r="AB898" s="68"/>
      <c r="AC898" s="68"/>
      <c r="AD898" s="68"/>
      <c r="AE898" s="68"/>
      <c r="AF898" s="68"/>
      <c r="AG898" s="68"/>
      <c r="AH898" s="68"/>
      <c r="AI898" s="68"/>
      <c r="AJ898" s="68"/>
      <c r="AK898" s="68"/>
      <c r="AL898" s="68"/>
      <c r="AM898" s="69"/>
    </row>
    <row r="899" customFormat="false" ht="9.75" hidden="false" customHeight="true" outlineLevel="0" collapsed="false"/>
    <row r="900" customFormat="false" ht="21.75" hidden="false" customHeight="true" outlineLevel="0" collapsed="false">
      <c r="B900" s="6"/>
      <c r="C900" s="19" t="s">
        <v>91</v>
      </c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59" t="s">
        <v>92</v>
      </c>
      <c r="W900" s="59"/>
      <c r="X900" s="59"/>
      <c r="Y900" s="59"/>
      <c r="Z900" s="59"/>
      <c r="AA900" s="59"/>
      <c r="AB900" s="59"/>
      <c r="AC900" s="59"/>
      <c r="AD900" s="59"/>
      <c r="AE900" s="59"/>
      <c r="AF900" s="59"/>
      <c r="AG900" s="59"/>
      <c r="AH900" s="59"/>
      <c r="AI900" s="59"/>
      <c r="AJ900" s="59"/>
      <c r="AK900" s="59"/>
      <c r="AL900" s="59"/>
      <c r="AM900" s="59"/>
    </row>
    <row r="901" customFormat="false" ht="27.75" hidden="false" customHeight="true" outlineLevel="0" collapsed="false">
      <c r="B901" s="60"/>
      <c r="C901" s="61" t="n">
        <v>3</v>
      </c>
      <c r="D901" s="62" t="s">
        <v>93</v>
      </c>
      <c r="E901" s="62"/>
      <c r="F901" s="62"/>
      <c r="G901" s="62"/>
      <c r="H901" s="62"/>
      <c r="I901" s="62"/>
      <c r="J901" s="62"/>
      <c r="L901" s="60"/>
      <c r="M901" s="61" t="n">
        <v>4</v>
      </c>
      <c r="N901" s="62" t="s">
        <v>94</v>
      </c>
      <c r="O901" s="62"/>
      <c r="P901" s="62"/>
      <c r="Q901" s="62"/>
      <c r="R901" s="62"/>
      <c r="S901" s="62"/>
      <c r="T901" s="62"/>
      <c r="V901" s="60"/>
      <c r="W901" s="61" t="n">
        <v>5</v>
      </c>
      <c r="X901" s="62" t="s">
        <v>95</v>
      </c>
      <c r="Y901" s="62"/>
      <c r="Z901" s="62"/>
      <c r="AA901" s="62"/>
      <c r="AB901" s="62"/>
      <c r="AC901" s="62"/>
      <c r="AD901" s="62"/>
      <c r="AF901" s="60"/>
      <c r="AG901" s="61" t="n">
        <v>6</v>
      </c>
      <c r="AH901" s="62" t="s">
        <v>96</v>
      </c>
      <c r="AI901" s="62"/>
      <c r="AJ901" s="62"/>
      <c r="AK901" s="62"/>
      <c r="AL901" s="62"/>
      <c r="AM901" s="62"/>
    </row>
    <row r="902" customFormat="false" ht="25.5" hidden="false" customHeight="true" outlineLevel="0" collapsed="false">
      <c r="B902" s="63"/>
      <c r="C902" s="64"/>
      <c r="D902" s="64"/>
      <c r="E902" s="64"/>
      <c r="F902" s="64"/>
      <c r="G902" s="64"/>
      <c r="H902" s="64"/>
      <c r="I902" s="64"/>
      <c r="J902" s="65"/>
      <c r="L902" s="63"/>
      <c r="M902" s="64"/>
      <c r="N902" s="64"/>
      <c r="O902" s="64"/>
      <c r="P902" s="64"/>
      <c r="Q902" s="64"/>
      <c r="R902" s="64"/>
      <c r="S902" s="64"/>
      <c r="T902" s="65"/>
      <c r="V902" s="63"/>
      <c r="W902" s="70"/>
      <c r="X902" s="70"/>
      <c r="Y902" s="70"/>
      <c r="Z902" s="70"/>
      <c r="AA902" s="70"/>
      <c r="AB902" s="70"/>
      <c r="AC902" s="70"/>
      <c r="AD902" s="65"/>
      <c r="AF902" s="63"/>
      <c r="AG902" s="64"/>
      <c r="AH902" s="64"/>
      <c r="AI902" s="64"/>
      <c r="AJ902" s="64"/>
      <c r="AK902" s="64"/>
      <c r="AL902" s="64"/>
      <c r="AM902" s="65"/>
    </row>
    <row r="903" customFormat="false" ht="6" hidden="false" customHeight="true" outlineLevel="0" collapsed="false">
      <c r="B903" s="67"/>
      <c r="C903" s="68"/>
      <c r="D903" s="68"/>
      <c r="E903" s="68"/>
      <c r="F903" s="68"/>
      <c r="G903" s="68"/>
      <c r="H903" s="68"/>
      <c r="I903" s="68"/>
      <c r="J903" s="69"/>
      <c r="L903" s="67"/>
      <c r="M903" s="68"/>
      <c r="N903" s="68"/>
      <c r="O903" s="68"/>
      <c r="P903" s="68"/>
      <c r="Q903" s="68"/>
      <c r="R903" s="68"/>
      <c r="S903" s="68"/>
      <c r="T903" s="69"/>
      <c r="V903" s="67"/>
      <c r="W903" s="68"/>
      <c r="X903" s="68"/>
      <c r="Y903" s="68"/>
      <c r="Z903" s="68"/>
      <c r="AA903" s="68"/>
      <c r="AB903" s="68"/>
      <c r="AC903" s="68"/>
      <c r="AD903" s="69"/>
      <c r="AF903" s="67"/>
      <c r="AG903" s="68"/>
      <c r="AH903" s="68"/>
      <c r="AI903" s="68"/>
      <c r="AJ903" s="68"/>
      <c r="AK903" s="68"/>
      <c r="AL903" s="68"/>
      <c r="AM903" s="69"/>
    </row>
    <row r="904" customFormat="false" ht="9.75" hidden="false" customHeight="true" outlineLevel="0" collapsed="false"/>
    <row r="905" customFormat="false" ht="21.75" hidden="false" customHeight="true" outlineLevel="0" collapsed="false">
      <c r="B905" s="6"/>
      <c r="C905" s="19" t="s">
        <v>98</v>
      </c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59" t="s">
        <v>99</v>
      </c>
      <c r="W905" s="59"/>
      <c r="X905" s="59"/>
      <c r="Y905" s="59"/>
      <c r="Z905" s="59"/>
      <c r="AA905" s="59"/>
      <c r="AB905" s="59"/>
      <c r="AC905" s="59"/>
      <c r="AD905" s="59"/>
      <c r="AE905" s="59"/>
      <c r="AF905" s="59"/>
      <c r="AG905" s="59"/>
      <c r="AH905" s="59"/>
      <c r="AI905" s="59"/>
      <c r="AJ905" s="59"/>
      <c r="AK905" s="59"/>
      <c r="AL905" s="59"/>
      <c r="AM905" s="59"/>
    </row>
    <row r="906" customFormat="false" ht="27.75" hidden="false" customHeight="true" outlineLevel="0" collapsed="false">
      <c r="B906" s="60"/>
      <c r="C906" s="61" t="n">
        <v>7</v>
      </c>
      <c r="D906" s="62" t="s">
        <v>100</v>
      </c>
      <c r="E906" s="62"/>
      <c r="F906" s="62"/>
      <c r="G906" s="62"/>
      <c r="H906" s="62"/>
      <c r="J906" s="60"/>
      <c r="K906" s="61" t="n">
        <v>8</v>
      </c>
      <c r="L906" s="62" t="s">
        <v>101</v>
      </c>
      <c r="M906" s="62"/>
      <c r="N906" s="62"/>
      <c r="O906" s="62"/>
      <c r="P906" s="62"/>
      <c r="R906" s="60"/>
      <c r="S906" s="61" t="n">
        <v>9</v>
      </c>
      <c r="T906" s="62" t="s">
        <v>102</v>
      </c>
      <c r="U906" s="62"/>
      <c r="V906" s="62"/>
      <c r="W906" s="62"/>
      <c r="X906" s="62"/>
      <c r="Z906" s="60"/>
      <c r="AA906" s="61" t="n">
        <v>10</v>
      </c>
      <c r="AB906" s="62" t="s">
        <v>103</v>
      </c>
      <c r="AC906" s="62"/>
      <c r="AD906" s="62"/>
      <c r="AE906" s="62"/>
      <c r="AF906" s="62"/>
      <c r="AH906" s="60"/>
      <c r="AI906" s="61" t="n">
        <v>11</v>
      </c>
      <c r="AJ906" s="62" t="s">
        <v>104</v>
      </c>
      <c r="AK906" s="62"/>
      <c r="AL906" s="62"/>
      <c r="AM906" s="62"/>
    </row>
    <row r="907" customFormat="false" ht="25.5" hidden="false" customHeight="true" outlineLevel="0" collapsed="false">
      <c r="B907" s="63"/>
      <c r="C907" s="64"/>
      <c r="D907" s="64"/>
      <c r="E907" s="64"/>
      <c r="F907" s="64"/>
      <c r="G907" s="64"/>
      <c r="H907" s="65"/>
      <c r="J907" s="63"/>
      <c r="K907" s="64"/>
      <c r="L907" s="64"/>
      <c r="M907" s="64"/>
      <c r="N907" s="64"/>
      <c r="O907" s="64"/>
      <c r="P907" s="65"/>
      <c r="R907" s="63"/>
      <c r="S907" s="64"/>
      <c r="T907" s="64"/>
      <c r="U907" s="64"/>
      <c r="V907" s="64"/>
      <c r="W907" s="64"/>
      <c r="X907" s="65"/>
      <c r="Z907" s="63"/>
      <c r="AA907" s="64"/>
      <c r="AB907" s="64"/>
      <c r="AC907" s="64"/>
      <c r="AD907" s="64"/>
      <c r="AE907" s="64"/>
      <c r="AF907" s="65"/>
      <c r="AH907" s="63"/>
      <c r="AI907" s="64"/>
      <c r="AJ907" s="64"/>
      <c r="AK907" s="64"/>
      <c r="AL907" s="64"/>
      <c r="AM907" s="65"/>
    </row>
    <row r="908" customFormat="false" ht="6" hidden="false" customHeight="true" outlineLevel="0" collapsed="false">
      <c r="B908" s="67"/>
      <c r="C908" s="68"/>
      <c r="D908" s="68"/>
      <c r="E908" s="68"/>
      <c r="F908" s="68"/>
      <c r="G908" s="68"/>
      <c r="H908" s="69"/>
      <c r="J908" s="67"/>
      <c r="K908" s="68"/>
      <c r="L908" s="68"/>
      <c r="M908" s="68"/>
      <c r="N908" s="68"/>
      <c r="O908" s="68"/>
      <c r="P908" s="69"/>
      <c r="R908" s="67"/>
      <c r="S908" s="68"/>
      <c r="T908" s="68"/>
      <c r="U908" s="68"/>
      <c r="V908" s="68"/>
      <c r="W908" s="68"/>
      <c r="X908" s="69"/>
      <c r="Z908" s="67"/>
      <c r="AA908" s="68"/>
      <c r="AB908" s="68"/>
      <c r="AC908" s="68"/>
      <c r="AD908" s="68"/>
      <c r="AE908" s="68"/>
      <c r="AF908" s="69"/>
      <c r="AH908" s="67"/>
      <c r="AI908" s="68"/>
      <c r="AJ908" s="68"/>
      <c r="AK908" s="68"/>
      <c r="AL908" s="68"/>
      <c r="AM908" s="69"/>
    </row>
    <row r="909" customFormat="false" ht="9.75" hidden="false" customHeight="true" outlineLevel="0" collapsed="false"/>
    <row r="910" customFormat="false" ht="21.75" hidden="false" customHeight="true" outlineLevel="0" collapsed="false">
      <c r="B910" s="6"/>
      <c r="C910" s="19" t="s">
        <v>105</v>
      </c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59" t="s">
        <v>106</v>
      </c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  <c r="AF910" s="59"/>
      <c r="AG910" s="59"/>
      <c r="AH910" s="59"/>
      <c r="AI910" s="59"/>
      <c r="AJ910" s="59"/>
      <c r="AK910" s="59"/>
      <c r="AL910" s="59"/>
      <c r="AM910" s="59"/>
    </row>
    <row r="911" customFormat="false" ht="24" hidden="false" customHeight="true" outlineLevel="0" collapsed="false"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  <c r="AA911" s="72"/>
      <c r="AB911" s="72"/>
      <c r="AC911" s="72"/>
      <c r="AD911" s="72"/>
      <c r="AE911" s="72"/>
      <c r="AF911" s="72"/>
      <c r="AG911" s="72"/>
      <c r="AH911" s="72"/>
      <c r="AI911" s="72"/>
      <c r="AJ911" s="72"/>
      <c r="AK911" s="72"/>
      <c r="AL911" s="72"/>
      <c r="AM911" s="72"/>
    </row>
    <row r="912" customFormat="false" ht="24" hidden="false" customHeight="true" outlineLevel="0" collapsed="false"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  <c r="AA912" s="72"/>
      <c r="AB912" s="72"/>
      <c r="AC912" s="72"/>
      <c r="AD912" s="72"/>
      <c r="AE912" s="72"/>
      <c r="AF912" s="72"/>
      <c r="AG912" s="72"/>
      <c r="AH912" s="72"/>
      <c r="AI912" s="72"/>
      <c r="AJ912" s="72"/>
      <c r="AK912" s="72"/>
      <c r="AL912" s="72"/>
      <c r="AM912" s="72"/>
    </row>
    <row r="913" customFormat="false" ht="24" hidden="false" customHeight="true" outlineLevel="0" collapsed="false"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  <c r="AA913" s="72"/>
      <c r="AB913" s="72"/>
      <c r="AC913" s="72"/>
      <c r="AD913" s="72"/>
      <c r="AE913" s="72"/>
      <c r="AF913" s="72"/>
      <c r="AG913" s="72"/>
      <c r="AH913" s="72"/>
      <c r="AI913" s="72"/>
      <c r="AJ913" s="72"/>
      <c r="AK913" s="72"/>
      <c r="AL913" s="72"/>
      <c r="AM913" s="72"/>
    </row>
    <row r="914" customFormat="false" ht="295.5" hidden="false" customHeight="true" outlineLevel="0" collapsed="false"/>
    <row r="915" customFormat="false" ht="6" hidden="false" customHeight="true" outlineLevel="0" collapsed="false"/>
    <row r="916" customFormat="false" ht="19.5" hidden="false" customHeight="true" outlineLevel="0" collapsed="false">
      <c r="B916" s="73" t="s">
        <v>107</v>
      </c>
      <c r="C916" s="73"/>
      <c r="D916" s="73"/>
      <c r="E916" s="73"/>
      <c r="F916" s="73"/>
      <c r="G916" s="73"/>
      <c r="H916" s="73"/>
      <c r="I916" s="73"/>
      <c r="J916" s="73"/>
      <c r="K916" s="73"/>
      <c r="L916" s="74" t="s">
        <v>108</v>
      </c>
      <c r="M916" s="74"/>
      <c r="N916" s="74"/>
      <c r="O916" s="74"/>
      <c r="P916" s="74"/>
      <c r="Q916" s="74"/>
      <c r="R916" s="74"/>
      <c r="S916" s="74"/>
      <c r="U916" s="73" t="s">
        <v>109</v>
      </c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4" t="s">
        <v>108</v>
      </c>
      <c r="AG916" s="74"/>
      <c r="AH916" s="74"/>
      <c r="AI916" s="74"/>
      <c r="AJ916" s="74"/>
      <c r="AK916" s="74"/>
      <c r="AL916" s="74"/>
      <c r="AM916" s="74"/>
    </row>
    <row r="917" customFormat="false" ht="9.75" hidden="false" customHeight="true" outlineLevel="0" collapsed="false"/>
    <row r="918" customFormat="false" ht="18" hidden="false" customHeight="true" outlineLevel="0" collapsed="false">
      <c r="B918" s="75" t="s">
        <v>110</v>
      </c>
      <c r="C918" s="75"/>
      <c r="D918" s="75"/>
      <c r="E918" s="75"/>
      <c r="F918" s="75"/>
      <c r="G918" s="75"/>
      <c r="H918" s="75"/>
      <c r="I918" s="75"/>
      <c r="J918" s="75"/>
      <c r="K918" s="75"/>
      <c r="L918" s="75"/>
      <c r="M918" s="75"/>
      <c r="N918" s="75"/>
      <c r="O918" s="75"/>
      <c r="P918" s="75"/>
      <c r="Q918" s="75"/>
      <c r="R918" s="75"/>
      <c r="S918" s="75"/>
      <c r="T918" s="76" t="s">
        <v>111</v>
      </c>
      <c r="U918" s="76"/>
      <c r="V918" s="76"/>
      <c r="W918" s="76"/>
      <c r="X918" s="76"/>
      <c r="Y918" s="76"/>
      <c r="Z918" s="76"/>
      <c r="AA918" s="76"/>
      <c r="AB918" s="76"/>
      <c r="AC918" s="76"/>
      <c r="AD918" s="76"/>
      <c r="AE918" s="76"/>
      <c r="AF918" s="76"/>
      <c r="AG918" s="76"/>
      <c r="AH918" s="76"/>
      <c r="AI918" s="76"/>
      <c r="AJ918" s="76"/>
      <c r="AK918" s="76"/>
      <c r="AL918" s="76"/>
      <c r="AM918" s="76"/>
    </row>
    <row r="919" customFormat="false" ht="7.5" hidden="false" customHeight="true" outlineLevel="0" collapsed="false"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</row>
    <row r="920" customFormat="false" ht="19.5" hidden="false" customHeight="true" outlineLevel="0" collapsed="false">
      <c r="B920" s="1"/>
      <c r="C920" s="51" t="s">
        <v>78</v>
      </c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  <c r="AA920" s="51"/>
      <c r="AB920" s="1"/>
      <c r="AC920" s="1"/>
      <c r="AD920" s="1"/>
      <c r="AE920" s="52" t="s">
        <v>79</v>
      </c>
      <c r="AF920" s="52"/>
      <c r="AG920" s="52"/>
      <c r="AH920" s="52"/>
      <c r="AI920" s="52"/>
      <c r="AJ920" s="52"/>
      <c r="AK920" s="52"/>
      <c r="AL920" s="1"/>
      <c r="AM920" s="1"/>
    </row>
    <row r="921" customFormat="false" ht="30" hidden="false" customHeight="true" outlineLevel="0" collapsed="false">
      <c r="B921" s="1"/>
      <c r="C921" s="53" t="s">
        <v>80</v>
      </c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4" t="s">
        <v>81</v>
      </c>
      <c r="AC921" s="54"/>
      <c r="AD921" s="54"/>
      <c r="AE921" s="54"/>
      <c r="AF921" s="54"/>
      <c r="AG921" s="54"/>
      <c r="AH921" s="54"/>
      <c r="AI921" s="54"/>
      <c r="AJ921" s="54"/>
      <c r="AK921" s="54"/>
      <c r="AL921" s="1"/>
      <c r="AM921" s="1"/>
    </row>
    <row r="922" customFormat="false" ht="15.75" hidden="false" customHeight="true" outlineLevel="0" collapsed="false">
      <c r="B922" s="1"/>
      <c r="C922" s="55" t="s">
        <v>82</v>
      </c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</row>
    <row r="923" customFormat="false" ht="9.75" hidden="false" customHeight="true" outlineLevel="0" collapsed="false"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</row>
    <row r="924" customFormat="false" ht="3.75" hidden="false" customHeight="true" outlineLevel="0" collapsed="false"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</row>
    <row r="925" customFormat="false" ht="7.5" hidden="false" customHeight="true" outlineLevel="0" collapsed="false"/>
    <row r="926" customFormat="false" ht="13.5" hidden="false" customHeight="true" outlineLevel="0" collapsed="false">
      <c r="B926" s="56" t="s">
        <v>83</v>
      </c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P926" s="56" t="s">
        <v>84</v>
      </c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C926" s="56" t="s">
        <v>85</v>
      </c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</row>
    <row r="927" customFormat="false" ht="21.75" hidden="false" customHeight="true" outlineLevel="0" collapsed="false">
      <c r="B927" s="57" t="str">
        <f aca="false">Dashboard!$C$6</f>
        <v>Bindhya TB</v>
      </c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P927" s="57" t="str">
        <f aca="false">Dashboard!$C$7</f>
        <v>Tourism &amp; Business</v>
      </c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C927" s="58" t="n">
        <f aca="false">Cal!A29</f>
        <v>46323</v>
      </c>
      <c r="AD927" s="58"/>
      <c r="AE927" s="58"/>
      <c r="AF927" s="58"/>
      <c r="AG927" s="58"/>
      <c r="AH927" s="58"/>
      <c r="AI927" s="58"/>
      <c r="AJ927" s="58"/>
      <c r="AK927" s="58"/>
      <c r="AL927" s="58"/>
      <c r="AM927" s="58"/>
    </row>
    <row r="928" customFormat="false" ht="9.75" hidden="false" customHeight="true" outlineLevel="0" collapsed="false"/>
    <row r="929" customFormat="false" ht="21.75" hidden="false" customHeight="true" outlineLevel="0" collapsed="false">
      <c r="B929" s="6"/>
      <c r="C929" s="19" t="s">
        <v>86</v>
      </c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59" t="s">
        <v>87</v>
      </c>
      <c r="Q929" s="59"/>
      <c r="R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  <c r="AF929" s="59"/>
      <c r="AG929" s="59"/>
      <c r="AH929" s="59"/>
      <c r="AI929" s="59"/>
      <c r="AJ929" s="59"/>
      <c r="AK929" s="59"/>
      <c r="AL929" s="59"/>
      <c r="AM929" s="59"/>
    </row>
    <row r="930" customFormat="false" ht="19.5" hidden="false" customHeight="true" outlineLevel="0" collapsed="false">
      <c r="B930" s="60"/>
      <c r="C930" s="61" t="n">
        <v>1</v>
      </c>
      <c r="D930" s="62" t="s">
        <v>88</v>
      </c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V930" s="60"/>
      <c r="W930" s="61" t="n">
        <v>2</v>
      </c>
      <c r="X930" s="62" t="s">
        <v>89</v>
      </c>
      <c r="Y930" s="62"/>
      <c r="Z930" s="62"/>
      <c r="AA930" s="62"/>
      <c r="AB930" s="62"/>
      <c r="AC930" s="62"/>
      <c r="AD930" s="62"/>
      <c r="AE930" s="62"/>
      <c r="AF930" s="62"/>
      <c r="AG930" s="62"/>
      <c r="AH930" s="62"/>
      <c r="AI930" s="62"/>
      <c r="AJ930" s="62"/>
      <c r="AK930" s="62"/>
      <c r="AL930" s="62"/>
      <c r="AM930" s="62"/>
    </row>
    <row r="931" customFormat="false" ht="49.5" hidden="false" customHeight="true" outlineLevel="0" collapsed="false">
      <c r="B931" s="63"/>
      <c r="C931" s="64"/>
      <c r="D931" s="64"/>
      <c r="E931" s="64"/>
      <c r="F931" s="64"/>
      <c r="G931" s="64"/>
      <c r="H931" s="64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5"/>
      <c r="V931" s="63"/>
      <c r="W931" s="77"/>
      <c r="X931" s="77"/>
      <c r="Y931" s="77"/>
      <c r="Z931" s="77"/>
      <c r="AA931" s="77"/>
      <c r="AB931" s="77"/>
      <c r="AC931" s="77"/>
      <c r="AD931" s="77"/>
      <c r="AE931" s="77"/>
      <c r="AF931" s="77"/>
      <c r="AG931" s="77"/>
      <c r="AH931" s="77"/>
      <c r="AI931" s="77"/>
      <c r="AJ931" s="77"/>
      <c r="AK931" s="77"/>
      <c r="AL931" s="77"/>
      <c r="AM931" s="65"/>
    </row>
    <row r="932" customFormat="false" ht="6" hidden="false" customHeight="true" outlineLevel="0" collapsed="false">
      <c r="B932" s="67"/>
      <c r="C932" s="68"/>
      <c r="D932" s="68"/>
      <c r="E932" s="68"/>
      <c r="F932" s="68"/>
      <c r="G932" s="68"/>
      <c r="H932" s="68"/>
      <c r="I932" s="68"/>
      <c r="J932" s="68"/>
      <c r="K932" s="68"/>
      <c r="L932" s="68"/>
      <c r="M932" s="68"/>
      <c r="N932" s="68"/>
      <c r="O932" s="68"/>
      <c r="P932" s="68"/>
      <c r="Q932" s="68"/>
      <c r="R932" s="68"/>
      <c r="S932" s="68"/>
      <c r="T932" s="69"/>
      <c r="V932" s="67"/>
      <c r="W932" s="68"/>
      <c r="X932" s="68"/>
      <c r="Y932" s="68"/>
      <c r="Z932" s="68"/>
      <c r="AA932" s="68"/>
      <c r="AB932" s="68"/>
      <c r="AC932" s="68"/>
      <c r="AD932" s="68"/>
      <c r="AE932" s="68"/>
      <c r="AF932" s="68"/>
      <c r="AG932" s="68"/>
      <c r="AH932" s="68"/>
      <c r="AI932" s="68"/>
      <c r="AJ932" s="68"/>
      <c r="AK932" s="68"/>
      <c r="AL932" s="68"/>
      <c r="AM932" s="69"/>
    </row>
    <row r="933" customFormat="false" ht="9.75" hidden="false" customHeight="true" outlineLevel="0" collapsed="false"/>
    <row r="934" customFormat="false" ht="21.75" hidden="false" customHeight="true" outlineLevel="0" collapsed="false">
      <c r="B934" s="6"/>
      <c r="C934" s="19" t="s">
        <v>91</v>
      </c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59" t="s">
        <v>92</v>
      </c>
      <c r="W934" s="59"/>
      <c r="X934" s="59"/>
      <c r="Y934" s="59"/>
      <c r="Z934" s="59"/>
      <c r="AA934" s="59"/>
      <c r="AB934" s="59"/>
      <c r="AC934" s="59"/>
      <c r="AD934" s="59"/>
      <c r="AE934" s="59"/>
      <c r="AF934" s="59"/>
      <c r="AG934" s="59"/>
      <c r="AH934" s="59"/>
      <c r="AI934" s="59"/>
      <c r="AJ934" s="59"/>
      <c r="AK934" s="59"/>
      <c r="AL934" s="59"/>
      <c r="AM934" s="59"/>
    </row>
    <row r="935" customFormat="false" ht="27.75" hidden="false" customHeight="true" outlineLevel="0" collapsed="false">
      <c r="B935" s="60"/>
      <c r="C935" s="61" t="n">
        <v>3</v>
      </c>
      <c r="D935" s="62" t="s">
        <v>93</v>
      </c>
      <c r="E935" s="62"/>
      <c r="F935" s="62"/>
      <c r="G935" s="62"/>
      <c r="H935" s="62"/>
      <c r="I935" s="62"/>
      <c r="J935" s="62"/>
      <c r="L935" s="60"/>
      <c r="M935" s="61" t="n">
        <v>4</v>
      </c>
      <c r="N935" s="62" t="s">
        <v>94</v>
      </c>
      <c r="O935" s="62"/>
      <c r="P935" s="62"/>
      <c r="Q935" s="62"/>
      <c r="R935" s="62"/>
      <c r="S935" s="62"/>
      <c r="T935" s="62"/>
      <c r="V935" s="60"/>
      <c r="W935" s="61" t="n">
        <v>5</v>
      </c>
      <c r="X935" s="62" t="s">
        <v>95</v>
      </c>
      <c r="Y935" s="62"/>
      <c r="Z935" s="62"/>
      <c r="AA935" s="62"/>
      <c r="AB935" s="62"/>
      <c r="AC935" s="62"/>
      <c r="AD935" s="62"/>
      <c r="AF935" s="60"/>
      <c r="AG935" s="61" t="n">
        <v>6</v>
      </c>
      <c r="AH935" s="62" t="s">
        <v>96</v>
      </c>
      <c r="AI935" s="62"/>
      <c r="AJ935" s="62"/>
      <c r="AK935" s="62"/>
      <c r="AL935" s="62"/>
      <c r="AM935" s="62"/>
    </row>
    <row r="936" customFormat="false" ht="25.5" hidden="false" customHeight="true" outlineLevel="0" collapsed="false">
      <c r="B936" s="63"/>
      <c r="C936" s="64"/>
      <c r="D936" s="64"/>
      <c r="E936" s="64"/>
      <c r="F936" s="64"/>
      <c r="G936" s="64"/>
      <c r="H936" s="64"/>
      <c r="I936" s="64"/>
      <c r="J936" s="65"/>
      <c r="L936" s="63"/>
      <c r="M936" s="64"/>
      <c r="N936" s="64"/>
      <c r="O936" s="64"/>
      <c r="P936" s="64"/>
      <c r="Q936" s="64"/>
      <c r="R936" s="64"/>
      <c r="S936" s="64"/>
      <c r="T936" s="65"/>
      <c r="V936" s="63"/>
      <c r="W936" s="70"/>
      <c r="X936" s="70"/>
      <c r="Y936" s="70"/>
      <c r="Z936" s="70"/>
      <c r="AA936" s="70"/>
      <c r="AB936" s="70"/>
      <c r="AC936" s="70"/>
      <c r="AD936" s="65"/>
      <c r="AF936" s="63"/>
      <c r="AG936" s="64"/>
      <c r="AH936" s="64"/>
      <c r="AI936" s="64"/>
      <c r="AJ936" s="64"/>
      <c r="AK936" s="64"/>
      <c r="AL936" s="64"/>
      <c r="AM936" s="65"/>
    </row>
    <row r="937" customFormat="false" ht="6" hidden="false" customHeight="true" outlineLevel="0" collapsed="false">
      <c r="B937" s="67"/>
      <c r="C937" s="68"/>
      <c r="D937" s="68"/>
      <c r="E937" s="68"/>
      <c r="F937" s="68"/>
      <c r="G937" s="68"/>
      <c r="H937" s="68"/>
      <c r="I937" s="68"/>
      <c r="J937" s="69"/>
      <c r="L937" s="67"/>
      <c r="M937" s="68"/>
      <c r="N937" s="68"/>
      <c r="O937" s="68"/>
      <c r="P937" s="68"/>
      <c r="Q937" s="68"/>
      <c r="R937" s="68"/>
      <c r="S937" s="68"/>
      <c r="T937" s="69"/>
      <c r="V937" s="67"/>
      <c r="W937" s="68"/>
      <c r="X937" s="68"/>
      <c r="Y937" s="68"/>
      <c r="Z937" s="68"/>
      <c r="AA937" s="68"/>
      <c r="AB937" s="68"/>
      <c r="AC937" s="68"/>
      <c r="AD937" s="69"/>
      <c r="AF937" s="67"/>
      <c r="AG937" s="68"/>
      <c r="AH937" s="68"/>
      <c r="AI937" s="68"/>
      <c r="AJ937" s="68"/>
      <c r="AK937" s="68"/>
      <c r="AL937" s="68"/>
      <c r="AM937" s="69"/>
    </row>
    <row r="938" customFormat="false" ht="9.75" hidden="false" customHeight="true" outlineLevel="0" collapsed="false"/>
    <row r="939" customFormat="false" ht="21.75" hidden="false" customHeight="true" outlineLevel="0" collapsed="false">
      <c r="B939" s="6"/>
      <c r="C939" s="19" t="s">
        <v>98</v>
      </c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59" t="s">
        <v>99</v>
      </c>
      <c r="W939" s="59"/>
      <c r="X939" s="59"/>
      <c r="Y939" s="59"/>
      <c r="Z939" s="59"/>
      <c r="AA939" s="59"/>
      <c r="AB939" s="59"/>
      <c r="AC939" s="59"/>
      <c r="AD939" s="59"/>
      <c r="AE939" s="59"/>
      <c r="AF939" s="59"/>
      <c r="AG939" s="59"/>
      <c r="AH939" s="59"/>
      <c r="AI939" s="59"/>
      <c r="AJ939" s="59"/>
      <c r="AK939" s="59"/>
      <c r="AL939" s="59"/>
      <c r="AM939" s="59"/>
    </row>
    <row r="940" customFormat="false" ht="27.75" hidden="false" customHeight="true" outlineLevel="0" collapsed="false">
      <c r="B940" s="60"/>
      <c r="C940" s="61" t="n">
        <v>7</v>
      </c>
      <c r="D940" s="62" t="s">
        <v>100</v>
      </c>
      <c r="E940" s="62"/>
      <c r="F940" s="62"/>
      <c r="G940" s="62"/>
      <c r="H940" s="62"/>
      <c r="J940" s="60"/>
      <c r="K940" s="61" t="n">
        <v>8</v>
      </c>
      <c r="L940" s="62" t="s">
        <v>101</v>
      </c>
      <c r="M940" s="62"/>
      <c r="N940" s="62"/>
      <c r="O940" s="62"/>
      <c r="P940" s="62"/>
      <c r="R940" s="60"/>
      <c r="S940" s="61" t="n">
        <v>9</v>
      </c>
      <c r="T940" s="62" t="s">
        <v>102</v>
      </c>
      <c r="U940" s="62"/>
      <c r="V940" s="62"/>
      <c r="W940" s="62"/>
      <c r="X940" s="62"/>
      <c r="Z940" s="60"/>
      <c r="AA940" s="61" t="n">
        <v>10</v>
      </c>
      <c r="AB940" s="62" t="s">
        <v>103</v>
      </c>
      <c r="AC940" s="62"/>
      <c r="AD940" s="62"/>
      <c r="AE940" s="62"/>
      <c r="AF940" s="62"/>
      <c r="AH940" s="60"/>
      <c r="AI940" s="61" t="n">
        <v>11</v>
      </c>
      <c r="AJ940" s="62" t="s">
        <v>104</v>
      </c>
      <c r="AK940" s="62"/>
      <c r="AL940" s="62"/>
      <c r="AM940" s="62"/>
    </row>
    <row r="941" customFormat="false" ht="25.5" hidden="false" customHeight="true" outlineLevel="0" collapsed="false">
      <c r="B941" s="63"/>
      <c r="C941" s="64"/>
      <c r="D941" s="64"/>
      <c r="E941" s="64"/>
      <c r="F941" s="64"/>
      <c r="G941" s="64"/>
      <c r="H941" s="65"/>
      <c r="J941" s="63"/>
      <c r="K941" s="64"/>
      <c r="L941" s="64"/>
      <c r="M941" s="64"/>
      <c r="N941" s="64"/>
      <c r="O941" s="64"/>
      <c r="P941" s="65"/>
      <c r="R941" s="63"/>
      <c r="S941" s="64"/>
      <c r="T941" s="64"/>
      <c r="U941" s="64"/>
      <c r="V941" s="64"/>
      <c r="W941" s="64"/>
      <c r="X941" s="65"/>
      <c r="Z941" s="63"/>
      <c r="AA941" s="64"/>
      <c r="AB941" s="64"/>
      <c r="AC941" s="64"/>
      <c r="AD941" s="64"/>
      <c r="AE941" s="64"/>
      <c r="AF941" s="65"/>
      <c r="AH941" s="63"/>
      <c r="AI941" s="64"/>
      <c r="AJ941" s="64"/>
      <c r="AK941" s="64"/>
      <c r="AL941" s="64"/>
      <c r="AM941" s="65"/>
    </row>
    <row r="942" customFormat="false" ht="6" hidden="false" customHeight="true" outlineLevel="0" collapsed="false">
      <c r="B942" s="67"/>
      <c r="C942" s="68"/>
      <c r="D942" s="68"/>
      <c r="E942" s="68"/>
      <c r="F942" s="68"/>
      <c r="G942" s="68"/>
      <c r="H942" s="69"/>
      <c r="J942" s="67"/>
      <c r="K942" s="68"/>
      <c r="L942" s="68"/>
      <c r="M942" s="68"/>
      <c r="N942" s="68"/>
      <c r="O942" s="68"/>
      <c r="P942" s="69"/>
      <c r="R942" s="67"/>
      <c r="S942" s="68"/>
      <c r="T942" s="68"/>
      <c r="U942" s="68"/>
      <c r="V942" s="68"/>
      <c r="W942" s="68"/>
      <c r="X942" s="69"/>
      <c r="Z942" s="67"/>
      <c r="AA942" s="68"/>
      <c r="AB942" s="68"/>
      <c r="AC942" s="68"/>
      <c r="AD942" s="68"/>
      <c r="AE942" s="68"/>
      <c r="AF942" s="69"/>
      <c r="AH942" s="67"/>
      <c r="AI942" s="68"/>
      <c r="AJ942" s="68"/>
      <c r="AK942" s="68"/>
      <c r="AL942" s="68"/>
      <c r="AM942" s="69"/>
    </row>
    <row r="943" customFormat="false" ht="9.75" hidden="false" customHeight="true" outlineLevel="0" collapsed="false"/>
    <row r="944" customFormat="false" ht="21.75" hidden="false" customHeight="true" outlineLevel="0" collapsed="false">
      <c r="B944" s="6"/>
      <c r="C944" s="19" t="s">
        <v>105</v>
      </c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59" t="s">
        <v>106</v>
      </c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  <c r="AF944" s="59"/>
      <c r="AG944" s="59"/>
      <c r="AH944" s="59"/>
      <c r="AI944" s="59"/>
      <c r="AJ944" s="59"/>
      <c r="AK944" s="59"/>
      <c r="AL944" s="59"/>
      <c r="AM944" s="59"/>
    </row>
    <row r="945" customFormat="false" ht="24" hidden="false" customHeight="true" outlineLevel="0" collapsed="false"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  <c r="AA945" s="72"/>
      <c r="AB945" s="72"/>
      <c r="AC945" s="72"/>
      <c r="AD945" s="72"/>
      <c r="AE945" s="72"/>
      <c r="AF945" s="72"/>
      <c r="AG945" s="72"/>
      <c r="AH945" s="72"/>
      <c r="AI945" s="72"/>
      <c r="AJ945" s="72"/>
      <c r="AK945" s="72"/>
      <c r="AL945" s="72"/>
      <c r="AM945" s="72"/>
    </row>
    <row r="946" customFormat="false" ht="24" hidden="false" customHeight="true" outlineLevel="0" collapsed="false"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  <c r="AA946" s="72"/>
      <c r="AB946" s="72"/>
      <c r="AC946" s="72"/>
      <c r="AD946" s="72"/>
      <c r="AE946" s="72"/>
      <c r="AF946" s="72"/>
      <c r="AG946" s="72"/>
      <c r="AH946" s="72"/>
      <c r="AI946" s="72"/>
      <c r="AJ946" s="72"/>
      <c r="AK946" s="72"/>
      <c r="AL946" s="72"/>
      <c r="AM946" s="72"/>
    </row>
    <row r="947" customFormat="false" ht="24" hidden="false" customHeight="true" outlineLevel="0" collapsed="false"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  <c r="AA947" s="72"/>
      <c r="AB947" s="72"/>
      <c r="AC947" s="72"/>
      <c r="AD947" s="72"/>
      <c r="AE947" s="72"/>
      <c r="AF947" s="72"/>
      <c r="AG947" s="72"/>
      <c r="AH947" s="72"/>
      <c r="AI947" s="72"/>
      <c r="AJ947" s="72"/>
      <c r="AK947" s="72"/>
      <c r="AL947" s="72"/>
      <c r="AM947" s="72"/>
    </row>
    <row r="948" customFormat="false" ht="295.5" hidden="false" customHeight="true" outlineLevel="0" collapsed="false"/>
    <row r="949" customFormat="false" ht="6" hidden="false" customHeight="true" outlineLevel="0" collapsed="false"/>
    <row r="950" customFormat="false" ht="19.5" hidden="false" customHeight="true" outlineLevel="0" collapsed="false">
      <c r="B950" s="73" t="s">
        <v>107</v>
      </c>
      <c r="C950" s="73"/>
      <c r="D950" s="73"/>
      <c r="E950" s="73"/>
      <c r="F950" s="73"/>
      <c r="G950" s="73"/>
      <c r="H950" s="73"/>
      <c r="I950" s="73"/>
      <c r="J950" s="73"/>
      <c r="K950" s="73"/>
      <c r="L950" s="74" t="s">
        <v>108</v>
      </c>
      <c r="M950" s="74"/>
      <c r="N950" s="74"/>
      <c r="O950" s="74"/>
      <c r="P950" s="74"/>
      <c r="Q950" s="74"/>
      <c r="R950" s="74"/>
      <c r="S950" s="74"/>
      <c r="U950" s="73" t="s">
        <v>109</v>
      </c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4" t="s">
        <v>108</v>
      </c>
      <c r="AG950" s="74"/>
      <c r="AH950" s="74"/>
      <c r="AI950" s="74"/>
      <c r="AJ950" s="74"/>
      <c r="AK950" s="74"/>
      <c r="AL950" s="74"/>
      <c r="AM950" s="74"/>
    </row>
    <row r="951" customFormat="false" ht="9.75" hidden="false" customHeight="true" outlineLevel="0" collapsed="false"/>
    <row r="952" customFormat="false" ht="18" hidden="false" customHeight="true" outlineLevel="0" collapsed="false">
      <c r="B952" s="75" t="s">
        <v>110</v>
      </c>
      <c r="C952" s="75"/>
      <c r="D952" s="75"/>
      <c r="E952" s="75"/>
      <c r="F952" s="75"/>
      <c r="G952" s="75"/>
      <c r="H952" s="75"/>
      <c r="I952" s="75"/>
      <c r="J952" s="75"/>
      <c r="K952" s="75"/>
      <c r="L952" s="75"/>
      <c r="M952" s="75"/>
      <c r="N952" s="75"/>
      <c r="O952" s="75"/>
      <c r="P952" s="75"/>
      <c r="Q952" s="75"/>
      <c r="R952" s="75"/>
      <c r="S952" s="75"/>
      <c r="T952" s="76" t="s">
        <v>111</v>
      </c>
      <c r="U952" s="76"/>
      <c r="V952" s="76"/>
      <c r="W952" s="76"/>
      <c r="X952" s="76"/>
      <c r="Y952" s="76"/>
      <c r="Z952" s="76"/>
      <c r="AA952" s="76"/>
      <c r="AB952" s="76"/>
      <c r="AC952" s="76"/>
      <c r="AD952" s="76"/>
      <c r="AE952" s="76"/>
      <c r="AF952" s="76"/>
      <c r="AG952" s="76"/>
      <c r="AH952" s="76"/>
      <c r="AI952" s="76"/>
      <c r="AJ952" s="76"/>
      <c r="AK952" s="76"/>
      <c r="AL952" s="76"/>
      <c r="AM952" s="76"/>
    </row>
    <row r="953" customFormat="false" ht="7.5" hidden="false" customHeight="true" outlineLevel="0" collapsed="false"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</row>
    <row r="954" customFormat="false" ht="19.5" hidden="false" customHeight="true" outlineLevel="0" collapsed="false">
      <c r="B954" s="1"/>
      <c r="C954" s="51" t="s">
        <v>78</v>
      </c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  <c r="AA954" s="51"/>
      <c r="AB954" s="1"/>
      <c r="AC954" s="1"/>
      <c r="AD954" s="1"/>
      <c r="AE954" s="52" t="s">
        <v>79</v>
      </c>
      <c r="AF954" s="52"/>
      <c r="AG954" s="52"/>
      <c r="AH954" s="52"/>
      <c r="AI954" s="52"/>
      <c r="AJ954" s="52"/>
      <c r="AK954" s="52"/>
      <c r="AL954" s="1"/>
      <c r="AM954" s="1"/>
    </row>
    <row r="955" customFormat="false" ht="30" hidden="false" customHeight="true" outlineLevel="0" collapsed="false">
      <c r="B955" s="1"/>
      <c r="C955" s="53" t="s">
        <v>80</v>
      </c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4" t="s">
        <v>81</v>
      </c>
      <c r="AC955" s="54"/>
      <c r="AD955" s="54"/>
      <c r="AE955" s="54"/>
      <c r="AF955" s="54"/>
      <c r="AG955" s="54"/>
      <c r="AH955" s="54"/>
      <c r="AI955" s="54"/>
      <c r="AJ955" s="54"/>
      <c r="AK955" s="54"/>
      <c r="AL955" s="1"/>
      <c r="AM955" s="1"/>
    </row>
    <row r="956" customFormat="false" ht="15.75" hidden="false" customHeight="true" outlineLevel="0" collapsed="false">
      <c r="B956" s="1"/>
      <c r="C956" s="55" t="s">
        <v>82</v>
      </c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</row>
    <row r="957" customFormat="false" ht="9.75" hidden="false" customHeight="true" outlineLevel="0" collapsed="false"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</row>
    <row r="958" customFormat="false" ht="3.75" hidden="false" customHeight="true" outlineLevel="0" collapsed="false"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</row>
    <row r="959" customFormat="false" ht="7.5" hidden="false" customHeight="true" outlineLevel="0" collapsed="false"/>
    <row r="960" customFormat="false" ht="13.5" hidden="false" customHeight="true" outlineLevel="0" collapsed="false">
      <c r="B960" s="56" t="s">
        <v>83</v>
      </c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P960" s="56" t="s">
        <v>84</v>
      </c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C960" s="56" t="s">
        <v>85</v>
      </c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</row>
    <row r="961" customFormat="false" ht="21.75" hidden="false" customHeight="true" outlineLevel="0" collapsed="false">
      <c r="B961" s="57" t="str">
        <f aca="false">Dashboard!$C$6</f>
        <v>Bindhya TB</v>
      </c>
      <c r="C961" s="57"/>
      <c r="D961" s="57"/>
      <c r="E961" s="57"/>
      <c r="F961" s="57"/>
      <c r="G961" s="57"/>
      <c r="H961" s="57"/>
      <c r="I961" s="57"/>
      <c r="J961" s="57"/>
      <c r="K961" s="57"/>
      <c r="L961" s="57"/>
      <c r="M961" s="57"/>
      <c r="N961" s="57"/>
      <c r="P961" s="57" t="str">
        <f aca="false">Dashboard!$C$7</f>
        <v>Tourism &amp; Business</v>
      </c>
      <c r="Q961" s="57"/>
      <c r="R961" s="57"/>
      <c r="S961" s="57"/>
      <c r="T961" s="57"/>
      <c r="U961" s="57"/>
      <c r="V961" s="57"/>
      <c r="W961" s="57"/>
      <c r="X961" s="57"/>
      <c r="Y961" s="57"/>
      <c r="Z961" s="57"/>
      <c r="AA961" s="57"/>
      <c r="AC961" s="58" t="n">
        <f aca="false">Cal!A30</f>
        <v>46324</v>
      </c>
      <c r="AD961" s="58"/>
      <c r="AE961" s="58"/>
      <c r="AF961" s="58"/>
      <c r="AG961" s="58"/>
      <c r="AH961" s="58"/>
      <c r="AI961" s="58"/>
      <c r="AJ961" s="58"/>
      <c r="AK961" s="58"/>
      <c r="AL961" s="58"/>
      <c r="AM961" s="58"/>
    </row>
    <row r="962" customFormat="false" ht="9.75" hidden="false" customHeight="true" outlineLevel="0" collapsed="false"/>
    <row r="963" customFormat="false" ht="21.75" hidden="false" customHeight="true" outlineLevel="0" collapsed="false">
      <c r="B963" s="6"/>
      <c r="C963" s="19" t="s">
        <v>86</v>
      </c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59" t="s">
        <v>87</v>
      </c>
      <c r="Q963" s="59"/>
      <c r="R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  <c r="AF963" s="59"/>
      <c r="AG963" s="59"/>
      <c r="AH963" s="59"/>
      <c r="AI963" s="59"/>
      <c r="AJ963" s="59"/>
      <c r="AK963" s="59"/>
      <c r="AL963" s="59"/>
      <c r="AM963" s="59"/>
    </row>
    <row r="964" customFormat="false" ht="19.5" hidden="false" customHeight="true" outlineLevel="0" collapsed="false">
      <c r="B964" s="60"/>
      <c r="C964" s="61" t="n">
        <v>1</v>
      </c>
      <c r="D964" s="62" t="s">
        <v>88</v>
      </c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  <c r="R964" s="62"/>
      <c r="S964" s="62"/>
      <c r="T964" s="62"/>
      <c r="V964" s="60"/>
      <c r="W964" s="61" t="n">
        <v>2</v>
      </c>
      <c r="X964" s="62" t="s">
        <v>89</v>
      </c>
      <c r="Y964" s="62"/>
      <c r="Z964" s="62"/>
      <c r="AA964" s="62"/>
      <c r="AB964" s="62"/>
      <c r="AC964" s="62"/>
      <c r="AD964" s="62"/>
      <c r="AE964" s="62"/>
      <c r="AF964" s="62"/>
      <c r="AG964" s="62"/>
      <c r="AH964" s="62"/>
      <c r="AI964" s="62"/>
      <c r="AJ964" s="62"/>
      <c r="AK964" s="62"/>
      <c r="AL964" s="62"/>
      <c r="AM964" s="62"/>
    </row>
    <row r="965" customFormat="false" ht="49.5" hidden="false" customHeight="true" outlineLevel="0" collapsed="false">
      <c r="B965" s="63"/>
      <c r="C965" s="64"/>
      <c r="D965" s="64"/>
      <c r="E965" s="64"/>
      <c r="F965" s="64"/>
      <c r="G965" s="64"/>
      <c r="H965" s="64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5"/>
      <c r="V965" s="63"/>
      <c r="W965" s="77"/>
      <c r="X965" s="77"/>
      <c r="Y965" s="77"/>
      <c r="Z965" s="77"/>
      <c r="AA965" s="77"/>
      <c r="AB965" s="77"/>
      <c r="AC965" s="77"/>
      <c r="AD965" s="77"/>
      <c r="AE965" s="77"/>
      <c r="AF965" s="77"/>
      <c r="AG965" s="77"/>
      <c r="AH965" s="77"/>
      <c r="AI965" s="77"/>
      <c r="AJ965" s="77"/>
      <c r="AK965" s="77"/>
      <c r="AL965" s="77"/>
      <c r="AM965" s="65"/>
    </row>
    <row r="966" customFormat="false" ht="6" hidden="false" customHeight="true" outlineLevel="0" collapsed="false">
      <c r="B966" s="67"/>
      <c r="C966" s="68"/>
      <c r="D966" s="68"/>
      <c r="E966" s="68"/>
      <c r="F966" s="68"/>
      <c r="G966" s="68"/>
      <c r="H966" s="68"/>
      <c r="I966" s="68"/>
      <c r="J966" s="68"/>
      <c r="K966" s="68"/>
      <c r="L966" s="68"/>
      <c r="M966" s="68"/>
      <c r="N966" s="68"/>
      <c r="O966" s="68"/>
      <c r="P966" s="68"/>
      <c r="Q966" s="68"/>
      <c r="R966" s="68"/>
      <c r="S966" s="68"/>
      <c r="T966" s="69"/>
      <c r="V966" s="67"/>
      <c r="W966" s="68"/>
      <c r="X966" s="68"/>
      <c r="Y966" s="68"/>
      <c r="Z966" s="68"/>
      <c r="AA966" s="68"/>
      <c r="AB966" s="68"/>
      <c r="AC966" s="68"/>
      <c r="AD966" s="68"/>
      <c r="AE966" s="68"/>
      <c r="AF966" s="68"/>
      <c r="AG966" s="68"/>
      <c r="AH966" s="68"/>
      <c r="AI966" s="68"/>
      <c r="AJ966" s="68"/>
      <c r="AK966" s="68"/>
      <c r="AL966" s="68"/>
      <c r="AM966" s="69"/>
    </row>
    <row r="967" customFormat="false" ht="9.75" hidden="false" customHeight="true" outlineLevel="0" collapsed="false"/>
    <row r="968" customFormat="false" ht="21.75" hidden="false" customHeight="true" outlineLevel="0" collapsed="false">
      <c r="B968" s="6"/>
      <c r="C968" s="19" t="s">
        <v>91</v>
      </c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59" t="s">
        <v>92</v>
      </c>
      <c r="W968" s="59"/>
      <c r="X968" s="59"/>
      <c r="Y968" s="59"/>
      <c r="Z968" s="59"/>
      <c r="AA968" s="59"/>
      <c r="AB968" s="59"/>
      <c r="AC968" s="59"/>
      <c r="AD968" s="59"/>
      <c r="AE968" s="59"/>
      <c r="AF968" s="59"/>
      <c r="AG968" s="59"/>
      <c r="AH968" s="59"/>
      <c r="AI968" s="59"/>
      <c r="AJ968" s="59"/>
      <c r="AK968" s="59"/>
      <c r="AL968" s="59"/>
      <c r="AM968" s="59"/>
    </row>
    <row r="969" customFormat="false" ht="27.75" hidden="false" customHeight="true" outlineLevel="0" collapsed="false">
      <c r="B969" s="60"/>
      <c r="C969" s="61" t="n">
        <v>3</v>
      </c>
      <c r="D969" s="62" t="s">
        <v>93</v>
      </c>
      <c r="E969" s="62"/>
      <c r="F969" s="62"/>
      <c r="G969" s="62"/>
      <c r="H969" s="62"/>
      <c r="I969" s="62"/>
      <c r="J969" s="62"/>
      <c r="L969" s="60"/>
      <c r="M969" s="61" t="n">
        <v>4</v>
      </c>
      <c r="N969" s="62" t="s">
        <v>94</v>
      </c>
      <c r="O969" s="62"/>
      <c r="P969" s="62"/>
      <c r="Q969" s="62"/>
      <c r="R969" s="62"/>
      <c r="S969" s="62"/>
      <c r="T969" s="62"/>
      <c r="V969" s="60"/>
      <c r="W969" s="61" t="n">
        <v>5</v>
      </c>
      <c r="X969" s="62" t="s">
        <v>95</v>
      </c>
      <c r="Y969" s="62"/>
      <c r="Z969" s="62"/>
      <c r="AA969" s="62"/>
      <c r="AB969" s="62"/>
      <c r="AC969" s="62"/>
      <c r="AD969" s="62"/>
      <c r="AF969" s="60"/>
      <c r="AG969" s="61" t="n">
        <v>6</v>
      </c>
      <c r="AH969" s="62" t="s">
        <v>96</v>
      </c>
      <c r="AI969" s="62"/>
      <c r="AJ969" s="62"/>
      <c r="AK969" s="62"/>
      <c r="AL969" s="62"/>
      <c r="AM969" s="62"/>
    </row>
    <row r="970" customFormat="false" ht="25.5" hidden="false" customHeight="true" outlineLevel="0" collapsed="false">
      <c r="B970" s="63"/>
      <c r="C970" s="64"/>
      <c r="D970" s="64"/>
      <c r="E970" s="64"/>
      <c r="F970" s="64"/>
      <c r="G970" s="64"/>
      <c r="H970" s="64"/>
      <c r="I970" s="64"/>
      <c r="J970" s="65"/>
      <c r="L970" s="63"/>
      <c r="M970" s="64"/>
      <c r="N970" s="64"/>
      <c r="O970" s="64"/>
      <c r="P970" s="64"/>
      <c r="Q970" s="64"/>
      <c r="R970" s="64"/>
      <c r="S970" s="64"/>
      <c r="T970" s="65"/>
      <c r="V970" s="63"/>
      <c r="W970" s="70"/>
      <c r="X970" s="70"/>
      <c r="Y970" s="70"/>
      <c r="Z970" s="70"/>
      <c r="AA970" s="70"/>
      <c r="AB970" s="70"/>
      <c r="AC970" s="70"/>
      <c r="AD970" s="65"/>
      <c r="AF970" s="63"/>
      <c r="AG970" s="64"/>
      <c r="AH970" s="64"/>
      <c r="AI970" s="64"/>
      <c r="AJ970" s="64"/>
      <c r="AK970" s="64"/>
      <c r="AL970" s="64"/>
      <c r="AM970" s="65"/>
    </row>
    <row r="971" customFormat="false" ht="6" hidden="false" customHeight="true" outlineLevel="0" collapsed="false">
      <c r="B971" s="67"/>
      <c r="C971" s="68"/>
      <c r="D971" s="68"/>
      <c r="E971" s="68"/>
      <c r="F971" s="68"/>
      <c r="G971" s="68"/>
      <c r="H971" s="68"/>
      <c r="I971" s="68"/>
      <c r="J971" s="69"/>
      <c r="L971" s="67"/>
      <c r="M971" s="68"/>
      <c r="N971" s="68"/>
      <c r="O971" s="68"/>
      <c r="P971" s="68"/>
      <c r="Q971" s="68"/>
      <c r="R971" s="68"/>
      <c r="S971" s="68"/>
      <c r="T971" s="69"/>
      <c r="V971" s="67"/>
      <c r="W971" s="68"/>
      <c r="X971" s="68"/>
      <c r="Y971" s="68"/>
      <c r="Z971" s="68"/>
      <c r="AA971" s="68"/>
      <c r="AB971" s="68"/>
      <c r="AC971" s="68"/>
      <c r="AD971" s="69"/>
      <c r="AF971" s="67"/>
      <c r="AG971" s="68"/>
      <c r="AH971" s="68"/>
      <c r="AI971" s="68"/>
      <c r="AJ971" s="68"/>
      <c r="AK971" s="68"/>
      <c r="AL971" s="68"/>
      <c r="AM971" s="69"/>
    </row>
    <row r="972" customFormat="false" ht="9.75" hidden="false" customHeight="true" outlineLevel="0" collapsed="false"/>
    <row r="973" customFormat="false" ht="21.75" hidden="false" customHeight="true" outlineLevel="0" collapsed="false">
      <c r="B973" s="6"/>
      <c r="C973" s="19" t="s">
        <v>98</v>
      </c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59" t="s">
        <v>99</v>
      </c>
      <c r="W973" s="59"/>
      <c r="X973" s="59"/>
      <c r="Y973" s="59"/>
      <c r="Z973" s="59"/>
      <c r="AA973" s="59"/>
      <c r="AB973" s="59"/>
      <c r="AC973" s="59"/>
      <c r="AD973" s="59"/>
      <c r="AE973" s="59"/>
      <c r="AF973" s="59"/>
      <c r="AG973" s="59"/>
      <c r="AH973" s="59"/>
      <c r="AI973" s="59"/>
      <c r="AJ973" s="59"/>
      <c r="AK973" s="59"/>
      <c r="AL973" s="59"/>
      <c r="AM973" s="59"/>
    </row>
    <row r="974" customFormat="false" ht="27.75" hidden="false" customHeight="true" outlineLevel="0" collapsed="false">
      <c r="B974" s="60"/>
      <c r="C974" s="61" t="n">
        <v>7</v>
      </c>
      <c r="D974" s="62" t="s">
        <v>100</v>
      </c>
      <c r="E974" s="62"/>
      <c r="F974" s="62"/>
      <c r="G974" s="62"/>
      <c r="H974" s="62"/>
      <c r="J974" s="60"/>
      <c r="K974" s="61" t="n">
        <v>8</v>
      </c>
      <c r="L974" s="62" t="s">
        <v>101</v>
      </c>
      <c r="M974" s="62"/>
      <c r="N974" s="62"/>
      <c r="O974" s="62"/>
      <c r="P974" s="62"/>
      <c r="R974" s="60"/>
      <c r="S974" s="61" t="n">
        <v>9</v>
      </c>
      <c r="T974" s="62" t="s">
        <v>102</v>
      </c>
      <c r="U974" s="62"/>
      <c r="V974" s="62"/>
      <c r="W974" s="62"/>
      <c r="X974" s="62"/>
      <c r="Z974" s="60"/>
      <c r="AA974" s="61" t="n">
        <v>10</v>
      </c>
      <c r="AB974" s="62" t="s">
        <v>103</v>
      </c>
      <c r="AC974" s="62"/>
      <c r="AD974" s="62"/>
      <c r="AE974" s="62"/>
      <c r="AF974" s="62"/>
      <c r="AH974" s="60"/>
      <c r="AI974" s="61" t="n">
        <v>11</v>
      </c>
      <c r="AJ974" s="62" t="s">
        <v>104</v>
      </c>
      <c r="AK974" s="62"/>
      <c r="AL974" s="62"/>
      <c r="AM974" s="62"/>
    </row>
    <row r="975" customFormat="false" ht="25.5" hidden="false" customHeight="true" outlineLevel="0" collapsed="false">
      <c r="B975" s="63"/>
      <c r="C975" s="64"/>
      <c r="D975" s="64"/>
      <c r="E975" s="64"/>
      <c r="F975" s="64"/>
      <c r="G975" s="64"/>
      <c r="H975" s="65"/>
      <c r="J975" s="63"/>
      <c r="K975" s="64"/>
      <c r="L975" s="64"/>
      <c r="M975" s="64"/>
      <c r="N975" s="64"/>
      <c r="O975" s="64"/>
      <c r="P975" s="65"/>
      <c r="R975" s="63"/>
      <c r="S975" s="64"/>
      <c r="T975" s="64"/>
      <c r="U975" s="64"/>
      <c r="V975" s="64"/>
      <c r="W975" s="64"/>
      <c r="X975" s="65"/>
      <c r="Z975" s="63"/>
      <c r="AA975" s="64"/>
      <c r="AB975" s="64"/>
      <c r="AC975" s="64"/>
      <c r="AD975" s="64"/>
      <c r="AE975" s="64"/>
      <c r="AF975" s="65"/>
      <c r="AH975" s="63"/>
      <c r="AI975" s="64"/>
      <c r="AJ975" s="64"/>
      <c r="AK975" s="64"/>
      <c r="AL975" s="64"/>
      <c r="AM975" s="65"/>
    </row>
    <row r="976" customFormat="false" ht="6" hidden="false" customHeight="true" outlineLevel="0" collapsed="false">
      <c r="B976" s="67"/>
      <c r="C976" s="68"/>
      <c r="D976" s="68"/>
      <c r="E976" s="68"/>
      <c r="F976" s="68"/>
      <c r="G976" s="68"/>
      <c r="H976" s="69"/>
      <c r="J976" s="67"/>
      <c r="K976" s="68"/>
      <c r="L976" s="68"/>
      <c r="M976" s="68"/>
      <c r="N976" s="68"/>
      <c r="O976" s="68"/>
      <c r="P976" s="69"/>
      <c r="R976" s="67"/>
      <c r="S976" s="68"/>
      <c r="T976" s="68"/>
      <c r="U976" s="68"/>
      <c r="V976" s="68"/>
      <c r="W976" s="68"/>
      <c r="X976" s="69"/>
      <c r="Z976" s="67"/>
      <c r="AA976" s="68"/>
      <c r="AB976" s="68"/>
      <c r="AC976" s="68"/>
      <c r="AD976" s="68"/>
      <c r="AE976" s="68"/>
      <c r="AF976" s="69"/>
      <c r="AH976" s="67"/>
      <c r="AI976" s="68"/>
      <c r="AJ976" s="68"/>
      <c r="AK976" s="68"/>
      <c r="AL976" s="68"/>
      <c r="AM976" s="69"/>
    </row>
    <row r="977" customFormat="false" ht="9.75" hidden="false" customHeight="true" outlineLevel="0" collapsed="false"/>
    <row r="978" customFormat="false" ht="21.75" hidden="false" customHeight="true" outlineLevel="0" collapsed="false">
      <c r="B978" s="6"/>
      <c r="C978" s="19" t="s">
        <v>105</v>
      </c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59" t="s">
        <v>106</v>
      </c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  <c r="AF978" s="59"/>
      <c r="AG978" s="59"/>
      <c r="AH978" s="59"/>
      <c r="AI978" s="59"/>
      <c r="AJ978" s="59"/>
      <c r="AK978" s="59"/>
      <c r="AL978" s="59"/>
      <c r="AM978" s="59"/>
    </row>
    <row r="979" customFormat="false" ht="24" hidden="false" customHeight="true" outlineLevel="0" collapsed="false"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  <c r="AA979" s="72"/>
      <c r="AB979" s="72"/>
      <c r="AC979" s="72"/>
      <c r="AD979" s="72"/>
      <c r="AE979" s="72"/>
      <c r="AF979" s="72"/>
      <c r="AG979" s="72"/>
      <c r="AH979" s="72"/>
      <c r="AI979" s="72"/>
      <c r="AJ979" s="72"/>
      <c r="AK979" s="72"/>
      <c r="AL979" s="72"/>
      <c r="AM979" s="72"/>
    </row>
    <row r="980" customFormat="false" ht="24" hidden="false" customHeight="true" outlineLevel="0" collapsed="false"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  <c r="AA980" s="72"/>
      <c r="AB980" s="72"/>
      <c r="AC980" s="72"/>
      <c r="AD980" s="72"/>
      <c r="AE980" s="72"/>
      <c r="AF980" s="72"/>
      <c r="AG980" s="72"/>
      <c r="AH980" s="72"/>
      <c r="AI980" s="72"/>
      <c r="AJ980" s="72"/>
      <c r="AK980" s="72"/>
      <c r="AL980" s="72"/>
      <c r="AM980" s="72"/>
    </row>
    <row r="981" customFormat="false" ht="24" hidden="false" customHeight="true" outlineLevel="0" collapsed="false"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  <c r="AA981" s="72"/>
      <c r="AB981" s="72"/>
      <c r="AC981" s="72"/>
      <c r="AD981" s="72"/>
      <c r="AE981" s="72"/>
      <c r="AF981" s="72"/>
      <c r="AG981" s="72"/>
      <c r="AH981" s="72"/>
      <c r="AI981" s="72"/>
      <c r="AJ981" s="72"/>
      <c r="AK981" s="72"/>
      <c r="AL981" s="72"/>
      <c r="AM981" s="72"/>
    </row>
    <row r="982" customFormat="false" ht="295.5" hidden="false" customHeight="true" outlineLevel="0" collapsed="false"/>
    <row r="983" customFormat="false" ht="6" hidden="false" customHeight="true" outlineLevel="0" collapsed="false"/>
    <row r="984" customFormat="false" ht="19.5" hidden="false" customHeight="true" outlineLevel="0" collapsed="false">
      <c r="B984" s="73" t="s">
        <v>107</v>
      </c>
      <c r="C984" s="73"/>
      <c r="D984" s="73"/>
      <c r="E984" s="73"/>
      <c r="F984" s="73"/>
      <c r="G984" s="73"/>
      <c r="H984" s="73"/>
      <c r="I984" s="73"/>
      <c r="J984" s="73"/>
      <c r="K984" s="73"/>
      <c r="L984" s="74" t="s">
        <v>108</v>
      </c>
      <c r="M984" s="74"/>
      <c r="N984" s="74"/>
      <c r="O984" s="74"/>
      <c r="P984" s="74"/>
      <c r="Q984" s="74"/>
      <c r="R984" s="74"/>
      <c r="S984" s="74"/>
      <c r="U984" s="73" t="s">
        <v>109</v>
      </c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4" t="s">
        <v>108</v>
      </c>
      <c r="AG984" s="74"/>
      <c r="AH984" s="74"/>
      <c r="AI984" s="74"/>
      <c r="AJ984" s="74"/>
      <c r="AK984" s="74"/>
      <c r="AL984" s="74"/>
      <c r="AM984" s="74"/>
    </row>
    <row r="985" customFormat="false" ht="9.75" hidden="false" customHeight="true" outlineLevel="0" collapsed="false"/>
    <row r="986" customFormat="false" ht="18" hidden="false" customHeight="true" outlineLevel="0" collapsed="false">
      <c r="B986" s="75" t="s">
        <v>110</v>
      </c>
      <c r="C986" s="75"/>
      <c r="D986" s="75"/>
      <c r="E986" s="75"/>
      <c r="F986" s="75"/>
      <c r="G986" s="75"/>
      <c r="H986" s="75"/>
      <c r="I986" s="75"/>
      <c r="J986" s="75"/>
      <c r="K986" s="75"/>
      <c r="L986" s="75"/>
      <c r="M986" s="75"/>
      <c r="N986" s="75"/>
      <c r="O986" s="75"/>
      <c r="P986" s="75"/>
      <c r="Q986" s="75"/>
      <c r="R986" s="75"/>
      <c r="S986" s="75"/>
      <c r="T986" s="76" t="s">
        <v>111</v>
      </c>
      <c r="U986" s="76"/>
      <c r="V986" s="76"/>
      <c r="W986" s="76"/>
      <c r="X986" s="76"/>
      <c r="Y986" s="76"/>
      <c r="Z986" s="76"/>
      <c r="AA986" s="76"/>
      <c r="AB986" s="76"/>
      <c r="AC986" s="76"/>
      <c r="AD986" s="76"/>
      <c r="AE986" s="76"/>
      <c r="AF986" s="76"/>
      <c r="AG986" s="76"/>
      <c r="AH986" s="76"/>
      <c r="AI986" s="76"/>
      <c r="AJ986" s="76"/>
      <c r="AK986" s="76"/>
      <c r="AL986" s="76"/>
      <c r="AM986" s="76"/>
    </row>
    <row r="987" customFormat="false" ht="7.5" hidden="false" customHeight="true" outlineLevel="0" collapsed="false"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</row>
    <row r="988" customFormat="false" ht="19.5" hidden="false" customHeight="true" outlineLevel="0" collapsed="false">
      <c r="B988" s="1"/>
      <c r="C988" s="51" t="s">
        <v>78</v>
      </c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  <c r="AA988" s="51"/>
      <c r="AB988" s="1"/>
      <c r="AC988" s="1"/>
      <c r="AD988" s="1"/>
      <c r="AE988" s="52" t="s">
        <v>79</v>
      </c>
      <c r="AF988" s="52"/>
      <c r="AG988" s="52"/>
      <c r="AH988" s="52"/>
      <c r="AI988" s="52"/>
      <c r="AJ988" s="52"/>
      <c r="AK988" s="52"/>
      <c r="AL988" s="1"/>
      <c r="AM988" s="1"/>
    </row>
    <row r="989" customFormat="false" ht="30" hidden="false" customHeight="true" outlineLevel="0" collapsed="false">
      <c r="B989" s="1"/>
      <c r="C989" s="53" t="s">
        <v>80</v>
      </c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4" t="s">
        <v>81</v>
      </c>
      <c r="AC989" s="54"/>
      <c r="AD989" s="54"/>
      <c r="AE989" s="54"/>
      <c r="AF989" s="54"/>
      <c r="AG989" s="54"/>
      <c r="AH989" s="54"/>
      <c r="AI989" s="54"/>
      <c r="AJ989" s="54"/>
      <c r="AK989" s="54"/>
      <c r="AL989" s="1"/>
      <c r="AM989" s="1"/>
    </row>
    <row r="990" customFormat="false" ht="15.75" hidden="false" customHeight="true" outlineLevel="0" collapsed="false">
      <c r="B990" s="1"/>
      <c r="C990" s="55" t="s">
        <v>82</v>
      </c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</row>
    <row r="991" customFormat="false" ht="9.75" hidden="false" customHeight="true" outlineLevel="0" collapsed="false"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</row>
    <row r="992" customFormat="false" ht="3.75" hidden="false" customHeight="true" outlineLevel="0" collapsed="false"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</row>
    <row r="993" customFormat="false" ht="7.5" hidden="false" customHeight="true" outlineLevel="0" collapsed="false"/>
    <row r="994" customFormat="false" ht="13.5" hidden="false" customHeight="true" outlineLevel="0" collapsed="false">
      <c r="B994" s="56" t="s">
        <v>83</v>
      </c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P994" s="56" t="s">
        <v>84</v>
      </c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C994" s="56" t="s">
        <v>85</v>
      </c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</row>
    <row r="995" customFormat="false" ht="21.75" hidden="false" customHeight="true" outlineLevel="0" collapsed="false">
      <c r="B995" s="57" t="str">
        <f aca="false">Dashboard!$C$6</f>
        <v>Bindhya TB</v>
      </c>
      <c r="C995" s="57"/>
      <c r="D995" s="57"/>
      <c r="E995" s="57"/>
      <c r="F995" s="57"/>
      <c r="G995" s="57"/>
      <c r="H995" s="57"/>
      <c r="I995" s="57"/>
      <c r="J995" s="57"/>
      <c r="K995" s="57"/>
      <c r="L995" s="57"/>
      <c r="M995" s="57"/>
      <c r="N995" s="57"/>
      <c r="P995" s="57" t="str">
        <f aca="false">Dashboard!$C$7</f>
        <v>Tourism &amp; Business</v>
      </c>
      <c r="Q995" s="57"/>
      <c r="R995" s="57"/>
      <c r="S995" s="57"/>
      <c r="T995" s="57"/>
      <c r="U995" s="57"/>
      <c r="V995" s="57"/>
      <c r="W995" s="57"/>
      <c r="X995" s="57"/>
      <c r="Y995" s="57"/>
      <c r="Z995" s="57"/>
      <c r="AA995" s="57"/>
      <c r="AC995" s="58" t="n">
        <f aca="false">Cal!A31</f>
        <v>46325</v>
      </c>
      <c r="AD995" s="58"/>
      <c r="AE995" s="58"/>
      <c r="AF995" s="58"/>
      <c r="AG995" s="58"/>
      <c r="AH995" s="58"/>
      <c r="AI995" s="58"/>
      <c r="AJ995" s="58"/>
      <c r="AK995" s="58"/>
      <c r="AL995" s="58"/>
      <c r="AM995" s="58"/>
    </row>
    <row r="996" customFormat="false" ht="9.75" hidden="false" customHeight="true" outlineLevel="0" collapsed="false"/>
    <row r="997" customFormat="false" ht="21.75" hidden="false" customHeight="true" outlineLevel="0" collapsed="false">
      <c r="B997" s="6"/>
      <c r="C997" s="19" t="s">
        <v>86</v>
      </c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59" t="s">
        <v>87</v>
      </c>
      <c r="Q997" s="59"/>
      <c r="R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  <c r="AF997" s="59"/>
      <c r="AG997" s="59"/>
      <c r="AH997" s="59"/>
      <c r="AI997" s="59"/>
      <c r="AJ997" s="59"/>
      <c r="AK997" s="59"/>
      <c r="AL997" s="59"/>
      <c r="AM997" s="59"/>
    </row>
    <row r="998" customFormat="false" ht="19.5" hidden="false" customHeight="true" outlineLevel="0" collapsed="false">
      <c r="B998" s="60"/>
      <c r="C998" s="61" t="n">
        <v>1</v>
      </c>
      <c r="D998" s="62" t="s">
        <v>88</v>
      </c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  <c r="R998" s="62"/>
      <c r="S998" s="62"/>
      <c r="T998" s="62"/>
      <c r="V998" s="60"/>
      <c r="W998" s="61" t="n">
        <v>2</v>
      </c>
      <c r="X998" s="62" t="s">
        <v>89</v>
      </c>
      <c r="Y998" s="62"/>
      <c r="Z998" s="62"/>
      <c r="AA998" s="62"/>
      <c r="AB998" s="62"/>
      <c r="AC998" s="62"/>
      <c r="AD998" s="62"/>
      <c r="AE998" s="62"/>
      <c r="AF998" s="62"/>
      <c r="AG998" s="62"/>
      <c r="AH998" s="62"/>
      <c r="AI998" s="62"/>
      <c r="AJ998" s="62"/>
      <c r="AK998" s="62"/>
      <c r="AL998" s="62"/>
      <c r="AM998" s="62"/>
    </row>
    <row r="999" customFormat="false" ht="49.5" hidden="false" customHeight="true" outlineLevel="0" collapsed="false">
      <c r="B999" s="63"/>
      <c r="C999" s="64"/>
      <c r="D999" s="64"/>
      <c r="E999" s="64"/>
      <c r="F999" s="64"/>
      <c r="G999" s="64"/>
      <c r="H999" s="64"/>
      <c r="I999" s="64"/>
      <c r="J999" s="64"/>
      <c r="K999" s="64"/>
      <c r="L999" s="64"/>
      <c r="M999" s="64"/>
      <c r="N999" s="64"/>
      <c r="O999" s="64"/>
      <c r="P999" s="64"/>
      <c r="Q999" s="64"/>
      <c r="R999" s="64"/>
      <c r="S999" s="64"/>
      <c r="T999" s="65"/>
      <c r="V999" s="63"/>
      <c r="W999" s="77"/>
      <c r="X999" s="77"/>
      <c r="Y999" s="77"/>
      <c r="Z999" s="77"/>
      <c r="AA999" s="77"/>
      <c r="AB999" s="77"/>
      <c r="AC999" s="77"/>
      <c r="AD999" s="77"/>
      <c r="AE999" s="77"/>
      <c r="AF999" s="77"/>
      <c r="AG999" s="77"/>
      <c r="AH999" s="77"/>
      <c r="AI999" s="77"/>
      <c r="AJ999" s="77"/>
      <c r="AK999" s="77"/>
      <c r="AL999" s="77"/>
      <c r="AM999" s="65"/>
    </row>
    <row r="1000" customFormat="false" ht="6" hidden="false" customHeight="true" outlineLevel="0" collapsed="false">
      <c r="B1000" s="67"/>
      <c r="C1000" s="68"/>
      <c r="D1000" s="68"/>
      <c r="E1000" s="68"/>
      <c r="F1000" s="68"/>
      <c r="G1000" s="68"/>
      <c r="H1000" s="68"/>
      <c r="I1000" s="68"/>
      <c r="J1000" s="68"/>
      <c r="K1000" s="68"/>
      <c r="L1000" s="68"/>
      <c r="M1000" s="68"/>
      <c r="N1000" s="68"/>
      <c r="O1000" s="68"/>
      <c r="P1000" s="68"/>
      <c r="Q1000" s="68"/>
      <c r="R1000" s="68"/>
      <c r="S1000" s="68"/>
      <c r="T1000" s="69"/>
      <c r="V1000" s="67"/>
      <c r="W1000" s="68"/>
      <c r="X1000" s="68"/>
      <c r="Y1000" s="68"/>
      <c r="Z1000" s="68"/>
      <c r="AA1000" s="68"/>
      <c r="AB1000" s="68"/>
      <c r="AC1000" s="68"/>
      <c r="AD1000" s="68"/>
      <c r="AE1000" s="68"/>
      <c r="AF1000" s="68"/>
      <c r="AG1000" s="68"/>
      <c r="AH1000" s="68"/>
      <c r="AI1000" s="68"/>
      <c r="AJ1000" s="68"/>
      <c r="AK1000" s="68"/>
      <c r="AL1000" s="68"/>
      <c r="AM1000" s="69"/>
    </row>
    <row r="1001" customFormat="false" ht="9.75" hidden="false" customHeight="true" outlineLevel="0" collapsed="false"/>
    <row r="1002" customFormat="false" ht="21.75" hidden="false" customHeight="true" outlineLevel="0" collapsed="false">
      <c r="B1002" s="6"/>
      <c r="C1002" s="19" t="s">
        <v>91</v>
      </c>
      <c r="D1002" s="19"/>
      <c r="E1002" s="19"/>
      <c r="F1002" s="19"/>
      <c r="G1002" s="19"/>
      <c r="H1002" s="19"/>
      <c r="I1002" s="19"/>
      <c r="J1002" s="19"/>
      <c r="K1002" s="19"/>
      <c r="L1002" s="19"/>
      <c r="M1002" s="19"/>
      <c r="N1002" s="19"/>
      <c r="O1002" s="19"/>
      <c r="P1002" s="19"/>
      <c r="Q1002" s="19"/>
      <c r="R1002" s="19"/>
      <c r="S1002" s="19"/>
      <c r="T1002" s="19"/>
      <c r="U1002" s="19"/>
      <c r="V1002" s="59" t="s">
        <v>92</v>
      </c>
      <c r="W1002" s="59"/>
      <c r="X1002" s="59"/>
      <c r="Y1002" s="59"/>
      <c r="Z1002" s="59"/>
      <c r="AA1002" s="59"/>
      <c r="AB1002" s="59"/>
      <c r="AC1002" s="59"/>
      <c r="AD1002" s="59"/>
      <c r="AE1002" s="59"/>
      <c r="AF1002" s="59"/>
      <c r="AG1002" s="59"/>
      <c r="AH1002" s="59"/>
      <c r="AI1002" s="59"/>
      <c r="AJ1002" s="59"/>
      <c r="AK1002" s="59"/>
      <c r="AL1002" s="59"/>
      <c r="AM1002" s="59"/>
    </row>
    <row r="1003" customFormat="false" ht="27.75" hidden="false" customHeight="true" outlineLevel="0" collapsed="false">
      <c r="B1003" s="60"/>
      <c r="C1003" s="61" t="n">
        <v>3</v>
      </c>
      <c r="D1003" s="62" t="s">
        <v>93</v>
      </c>
      <c r="E1003" s="62"/>
      <c r="F1003" s="62"/>
      <c r="G1003" s="62"/>
      <c r="H1003" s="62"/>
      <c r="I1003" s="62"/>
      <c r="J1003" s="62"/>
      <c r="L1003" s="60"/>
      <c r="M1003" s="61" t="n">
        <v>4</v>
      </c>
      <c r="N1003" s="62" t="s">
        <v>94</v>
      </c>
      <c r="O1003" s="62"/>
      <c r="P1003" s="62"/>
      <c r="Q1003" s="62"/>
      <c r="R1003" s="62"/>
      <c r="S1003" s="62"/>
      <c r="T1003" s="62"/>
      <c r="V1003" s="60"/>
      <c r="W1003" s="61" t="n">
        <v>5</v>
      </c>
      <c r="X1003" s="62" t="s">
        <v>95</v>
      </c>
      <c r="Y1003" s="62"/>
      <c r="Z1003" s="62"/>
      <c r="AA1003" s="62"/>
      <c r="AB1003" s="62"/>
      <c r="AC1003" s="62"/>
      <c r="AD1003" s="62"/>
      <c r="AF1003" s="60"/>
      <c r="AG1003" s="61" t="n">
        <v>6</v>
      </c>
      <c r="AH1003" s="62" t="s">
        <v>96</v>
      </c>
      <c r="AI1003" s="62"/>
      <c r="AJ1003" s="62"/>
      <c r="AK1003" s="62"/>
      <c r="AL1003" s="62"/>
      <c r="AM1003" s="62"/>
    </row>
    <row r="1004" customFormat="false" ht="25.5" hidden="false" customHeight="true" outlineLevel="0" collapsed="false">
      <c r="B1004" s="63"/>
      <c r="C1004" s="64"/>
      <c r="D1004" s="64"/>
      <c r="E1004" s="64"/>
      <c r="F1004" s="64"/>
      <c r="G1004" s="64"/>
      <c r="H1004" s="64"/>
      <c r="I1004" s="64"/>
      <c r="J1004" s="65"/>
      <c r="L1004" s="63"/>
      <c r="M1004" s="64"/>
      <c r="N1004" s="64"/>
      <c r="O1004" s="64"/>
      <c r="P1004" s="64"/>
      <c r="Q1004" s="64"/>
      <c r="R1004" s="64"/>
      <c r="S1004" s="64"/>
      <c r="T1004" s="65"/>
      <c r="V1004" s="63"/>
      <c r="W1004" s="70"/>
      <c r="X1004" s="70"/>
      <c r="Y1004" s="70"/>
      <c r="Z1004" s="70"/>
      <c r="AA1004" s="70"/>
      <c r="AB1004" s="70"/>
      <c r="AC1004" s="70"/>
      <c r="AD1004" s="65"/>
      <c r="AF1004" s="63"/>
      <c r="AG1004" s="64"/>
      <c r="AH1004" s="64"/>
      <c r="AI1004" s="64"/>
      <c r="AJ1004" s="64"/>
      <c r="AK1004" s="64"/>
      <c r="AL1004" s="64"/>
      <c r="AM1004" s="65"/>
    </row>
    <row r="1005" customFormat="false" ht="6" hidden="false" customHeight="true" outlineLevel="0" collapsed="false">
      <c r="B1005" s="67"/>
      <c r="C1005" s="68"/>
      <c r="D1005" s="68"/>
      <c r="E1005" s="68"/>
      <c r="F1005" s="68"/>
      <c r="G1005" s="68"/>
      <c r="H1005" s="68"/>
      <c r="I1005" s="68"/>
      <c r="J1005" s="69"/>
      <c r="L1005" s="67"/>
      <c r="M1005" s="68"/>
      <c r="N1005" s="68"/>
      <c r="O1005" s="68"/>
      <c r="P1005" s="68"/>
      <c r="Q1005" s="68"/>
      <c r="R1005" s="68"/>
      <c r="S1005" s="68"/>
      <c r="T1005" s="69"/>
      <c r="V1005" s="67"/>
      <c r="W1005" s="68"/>
      <c r="X1005" s="68"/>
      <c r="Y1005" s="68"/>
      <c r="Z1005" s="68"/>
      <c r="AA1005" s="68"/>
      <c r="AB1005" s="68"/>
      <c r="AC1005" s="68"/>
      <c r="AD1005" s="69"/>
      <c r="AF1005" s="67"/>
      <c r="AG1005" s="68"/>
      <c r="AH1005" s="68"/>
      <c r="AI1005" s="68"/>
      <c r="AJ1005" s="68"/>
      <c r="AK1005" s="68"/>
      <c r="AL1005" s="68"/>
      <c r="AM1005" s="69"/>
    </row>
    <row r="1006" customFormat="false" ht="9.75" hidden="false" customHeight="true" outlineLevel="0" collapsed="false"/>
    <row r="1007" customFormat="false" ht="21.75" hidden="false" customHeight="true" outlineLevel="0" collapsed="false">
      <c r="B1007" s="6"/>
      <c r="C1007" s="19" t="s">
        <v>98</v>
      </c>
      <c r="D1007" s="19"/>
      <c r="E1007" s="19"/>
      <c r="F1007" s="19"/>
      <c r="G1007" s="19"/>
      <c r="H1007" s="19"/>
      <c r="I1007" s="19"/>
      <c r="J1007" s="19"/>
      <c r="K1007" s="19"/>
      <c r="L1007" s="19"/>
      <c r="M1007" s="19"/>
      <c r="N1007" s="19"/>
      <c r="O1007" s="19"/>
      <c r="P1007" s="19"/>
      <c r="Q1007" s="19"/>
      <c r="R1007" s="19"/>
      <c r="S1007" s="19"/>
      <c r="T1007" s="19"/>
      <c r="U1007" s="19"/>
      <c r="V1007" s="59" t="s">
        <v>99</v>
      </c>
      <c r="W1007" s="59"/>
      <c r="X1007" s="59"/>
      <c r="Y1007" s="59"/>
      <c r="Z1007" s="59"/>
      <c r="AA1007" s="59"/>
      <c r="AB1007" s="59"/>
      <c r="AC1007" s="59"/>
      <c r="AD1007" s="59"/>
      <c r="AE1007" s="59"/>
      <c r="AF1007" s="59"/>
      <c r="AG1007" s="59"/>
      <c r="AH1007" s="59"/>
      <c r="AI1007" s="59"/>
      <c r="AJ1007" s="59"/>
      <c r="AK1007" s="59"/>
      <c r="AL1007" s="59"/>
      <c r="AM1007" s="59"/>
    </row>
    <row r="1008" customFormat="false" ht="27.75" hidden="false" customHeight="true" outlineLevel="0" collapsed="false">
      <c r="B1008" s="60"/>
      <c r="C1008" s="61" t="n">
        <v>7</v>
      </c>
      <c r="D1008" s="62" t="s">
        <v>100</v>
      </c>
      <c r="E1008" s="62"/>
      <c r="F1008" s="62"/>
      <c r="G1008" s="62"/>
      <c r="H1008" s="62"/>
      <c r="J1008" s="60"/>
      <c r="K1008" s="61" t="n">
        <v>8</v>
      </c>
      <c r="L1008" s="62" t="s">
        <v>101</v>
      </c>
      <c r="M1008" s="62"/>
      <c r="N1008" s="62"/>
      <c r="O1008" s="62"/>
      <c r="P1008" s="62"/>
      <c r="R1008" s="60"/>
      <c r="S1008" s="61" t="n">
        <v>9</v>
      </c>
      <c r="T1008" s="62" t="s">
        <v>102</v>
      </c>
      <c r="U1008" s="62"/>
      <c r="V1008" s="62"/>
      <c r="W1008" s="62"/>
      <c r="X1008" s="62"/>
      <c r="Z1008" s="60"/>
      <c r="AA1008" s="61" t="n">
        <v>10</v>
      </c>
      <c r="AB1008" s="62" t="s">
        <v>103</v>
      </c>
      <c r="AC1008" s="62"/>
      <c r="AD1008" s="62"/>
      <c r="AE1008" s="62"/>
      <c r="AF1008" s="62"/>
      <c r="AH1008" s="60"/>
      <c r="AI1008" s="61" t="n">
        <v>11</v>
      </c>
      <c r="AJ1008" s="62" t="s">
        <v>104</v>
      </c>
      <c r="AK1008" s="62"/>
      <c r="AL1008" s="62"/>
      <c r="AM1008" s="62"/>
    </row>
    <row r="1009" customFormat="false" ht="25.5" hidden="false" customHeight="true" outlineLevel="0" collapsed="false">
      <c r="B1009" s="63"/>
      <c r="C1009" s="64"/>
      <c r="D1009" s="64"/>
      <c r="E1009" s="64"/>
      <c r="F1009" s="64"/>
      <c r="G1009" s="64"/>
      <c r="H1009" s="65"/>
      <c r="J1009" s="63"/>
      <c r="K1009" s="64"/>
      <c r="L1009" s="64"/>
      <c r="M1009" s="64"/>
      <c r="N1009" s="64"/>
      <c r="O1009" s="64"/>
      <c r="P1009" s="65"/>
      <c r="R1009" s="63"/>
      <c r="S1009" s="64"/>
      <c r="T1009" s="64"/>
      <c r="U1009" s="64"/>
      <c r="V1009" s="64"/>
      <c r="W1009" s="64"/>
      <c r="X1009" s="65"/>
      <c r="Z1009" s="63"/>
      <c r="AA1009" s="64"/>
      <c r="AB1009" s="64"/>
      <c r="AC1009" s="64"/>
      <c r="AD1009" s="64"/>
      <c r="AE1009" s="64"/>
      <c r="AF1009" s="65"/>
      <c r="AH1009" s="63"/>
      <c r="AI1009" s="64"/>
      <c r="AJ1009" s="64"/>
      <c r="AK1009" s="64"/>
      <c r="AL1009" s="64"/>
      <c r="AM1009" s="65"/>
    </row>
    <row r="1010" customFormat="false" ht="6" hidden="false" customHeight="true" outlineLevel="0" collapsed="false">
      <c r="B1010" s="67"/>
      <c r="C1010" s="68"/>
      <c r="D1010" s="68"/>
      <c r="E1010" s="68"/>
      <c r="F1010" s="68"/>
      <c r="G1010" s="68"/>
      <c r="H1010" s="69"/>
      <c r="J1010" s="67"/>
      <c r="K1010" s="68"/>
      <c r="L1010" s="68"/>
      <c r="M1010" s="68"/>
      <c r="N1010" s="68"/>
      <c r="O1010" s="68"/>
      <c r="P1010" s="69"/>
      <c r="R1010" s="67"/>
      <c r="S1010" s="68"/>
      <c r="T1010" s="68"/>
      <c r="U1010" s="68"/>
      <c r="V1010" s="68"/>
      <c r="W1010" s="68"/>
      <c r="X1010" s="69"/>
      <c r="Z1010" s="67"/>
      <c r="AA1010" s="68"/>
      <c r="AB1010" s="68"/>
      <c r="AC1010" s="68"/>
      <c r="AD1010" s="68"/>
      <c r="AE1010" s="68"/>
      <c r="AF1010" s="69"/>
      <c r="AH1010" s="67"/>
      <c r="AI1010" s="68"/>
      <c r="AJ1010" s="68"/>
      <c r="AK1010" s="68"/>
      <c r="AL1010" s="68"/>
      <c r="AM1010" s="69"/>
    </row>
    <row r="1011" customFormat="false" ht="9.75" hidden="false" customHeight="true" outlineLevel="0" collapsed="false"/>
    <row r="1012" customFormat="false" ht="21.75" hidden="false" customHeight="true" outlineLevel="0" collapsed="false">
      <c r="B1012" s="6"/>
      <c r="C1012" s="19" t="s">
        <v>105</v>
      </c>
      <c r="D1012" s="19"/>
      <c r="E1012" s="19"/>
      <c r="F1012" s="19"/>
      <c r="G1012" s="19"/>
      <c r="H1012" s="19"/>
      <c r="I1012" s="19"/>
      <c r="J1012" s="19"/>
      <c r="K1012" s="19"/>
      <c r="L1012" s="19"/>
      <c r="M1012" s="19"/>
      <c r="N1012" s="19"/>
      <c r="O1012" s="19"/>
      <c r="P1012" s="19"/>
      <c r="Q1012" s="19"/>
      <c r="R1012" s="59" t="s">
        <v>106</v>
      </c>
      <c r="S1012" s="59"/>
      <c r="T1012" s="59"/>
      <c r="U1012" s="59"/>
      <c r="V1012" s="59"/>
      <c r="W1012" s="59"/>
      <c r="X1012" s="59"/>
      <c r="Y1012" s="59"/>
      <c r="Z1012" s="59"/>
      <c r="AA1012" s="59"/>
      <c r="AB1012" s="59"/>
      <c r="AC1012" s="59"/>
      <c r="AD1012" s="59"/>
      <c r="AE1012" s="59"/>
      <c r="AF1012" s="59"/>
      <c r="AG1012" s="59"/>
      <c r="AH1012" s="59"/>
      <c r="AI1012" s="59"/>
      <c r="AJ1012" s="59"/>
      <c r="AK1012" s="59"/>
      <c r="AL1012" s="59"/>
      <c r="AM1012" s="59"/>
    </row>
    <row r="1013" customFormat="false" ht="24" hidden="false" customHeight="true" outlineLevel="0" collapsed="false">
      <c r="B1013" s="72"/>
      <c r="C1013" s="72"/>
      <c r="D1013" s="72"/>
      <c r="E1013" s="72"/>
      <c r="F1013" s="72"/>
      <c r="G1013" s="72"/>
      <c r="H1013" s="72"/>
      <c r="I1013" s="72"/>
      <c r="J1013" s="72"/>
      <c r="K1013" s="72"/>
      <c r="L1013" s="72"/>
      <c r="M1013" s="72"/>
      <c r="N1013" s="72"/>
      <c r="O1013" s="72"/>
      <c r="P1013" s="72"/>
      <c r="Q1013" s="72"/>
      <c r="R1013" s="72"/>
      <c r="S1013" s="72"/>
      <c r="T1013" s="72"/>
      <c r="U1013" s="72"/>
      <c r="V1013" s="72"/>
      <c r="W1013" s="72"/>
      <c r="X1013" s="72"/>
      <c r="Y1013" s="72"/>
      <c r="Z1013" s="72"/>
      <c r="AA1013" s="72"/>
      <c r="AB1013" s="72"/>
      <c r="AC1013" s="72"/>
      <c r="AD1013" s="72"/>
      <c r="AE1013" s="72"/>
      <c r="AF1013" s="72"/>
      <c r="AG1013" s="72"/>
      <c r="AH1013" s="72"/>
      <c r="AI1013" s="72"/>
      <c r="AJ1013" s="72"/>
      <c r="AK1013" s="72"/>
      <c r="AL1013" s="72"/>
      <c r="AM1013" s="72"/>
    </row>
    <row r="1014" customFormat="false" ht="24" hidden="false" customHeight="true" outlineLevel="0" collapsed="false">
      <c r="B1014" s="72"/>
      <c r="C1014" s="72"/>
      <c r="D1014" s="72"/>
      <c r="E1014" s="72"/>
      <c r="F1014" s="72"/>
      <c r="G1014" s="72"/>
      <c r="H1014" s="72"/>
      <c r="I1014" s="72"/>
      <c r="J1014" s="72"/>
      <c r="K1014" s="72"/>
      <c r="L1014" s="72"/>
      <c r="M1014" s="72"/>
      <c r="N1014" s="72"/>
      <c r="O1014" s="72"/>
      <c r="P1014" s="72"/>
      <c r="Q1014" s="72"/>
      <c r="R1014" s="72"/>
      <c r="S1014" s="72"/>
      <c r="T1014" s="72"/>
      <c r="U1014" s="72"/>
      <c r="V1014" s="72"/>
      <c r="W1014" s="72"/>
      <c r="X1014" s="72"/>
      <c r="Y1014" s="72"/>
      <c r="Z1014" s="72"/>
      <c r="AA1014" s="72"/>
      <c r="AB1014" s="72"/>
      <c r="AC1014" s="72"/>
      <c r="AD1014" s="72"/>
      <c r="AE1014" s="72"/>
      <c r="AF1014" s="72"/>
      <c r="AG1014" s="72"/>
      <c r="AH1014" s="72"/>
      <c r="AI1014" s="72"/>
      <c r="AJ1014" s="72"/>
      <c r="AK1014" s="72"/>
      <c r="AL1014" s="72"/>
      <c r="AM1014" s="72"/>
    </row>
    <row r="1015" customFormat="false" ht="24" hidden="false" customHeight="true" outlineLevel="0" collapsed="false">
      <c r="B1015" s="72"/>
      <c r="C1015" s="72"/>
      <c r="D1015" s="72"/>
      <c r="E1015" s="72"/>
      <c r="F1015" s="72"/>
      <c r="G1015" s="72"/>
      <c r="H1015" s="72"/>
      <c r="I1015" s="72"/>
      <c r="J1015" s="72"/>
      <c r="K1015" s="72"/>
      <c r="L1015" s="72"/>
      <c r="M1015" s="72"/>
      <c r="N1015" s="72"/>
      <c r="O1015" s="72"/>
      <c r="P1015" s="72"/>
      <c r="Q1015" s="72"/>
      <c r="R1015" s="72"/>
      <c r="S1015" s="72"/>
      <c r="T1015" s="72"/>
      <c r="U1015" s="72"/>
      <c r="V1015" s="72"/>
      <c r="W1015" s="72"/>
      <c r="X1015" s="72"/>
      <c r="Y1015" s="72"/>
      <c r="Z1015" s="72"/>
      <c r="AA1015" s="72"/>
      <c r="AB1015" s="72"/>
      <c r="AC1015" s="72"/>
      <c r="AD1015" s="72"/>
      <c r="AE1015" s="72"/>
      <c r="AF1015" s="72"/>
      <c r="AG1015" s="72"/>
      <c r="AH1015" s="72"/>
      <c r="AI1015" s="72"/>
      <c r="AJ1015" s="72"/>
      <c r="AK1015" s="72"/>
      <c r="AL1015" s="72"/>
      <c r="AM1015" s="72"/>
    </row>
    <row r="1016" customFormat="false" ht="295.5" hidden="false" customHeight="true" outlineLevel="0" collapsed="false"/>
    <row r="1017" customFormat="false" ht="6" hidden="false" customHeight="true" outlineLevel="0" collapsed="false"/>
    <row r="1018" customFormat="false" ht="19.5" hidden="false" customHeight="true" outlineLevel="0" collapsed="false">
      <c r="B1018" s="73" t="s">
        <v>107</v>
      </c>
      <c r="C1018" s="73"/>
      <c r="D1018" s="73"/>
      <c r="E1018" s="73"/>
      <c r="F1018" s="73"/>
      <c r="G1018" s="73"/>
      <c r="H1018" s="73"/>
      <c r="I1018" s="73"/>
      <c r="J1018" s="73"/>
      <c r="K1018" s="73"/>
      <c r="L1018" s="74" t="s">
        <v>108</v>
      </c>
      <c r="M1018" s="74"/>
      <c r="N1018" s="74"/>
      <c r="O1018" s="74"/>
      <c r="P1018" s="74"/>
      <c r="Q1018" s="74"/>
      <c r="R1018" s="74"/>
      <c r="S1018" s="74"/>
      <c r="U1018" s="73" t="s">
        <v>109</v>
      </c>
      <c r="V1018" s="73"/>
      <c r="W1018" s="73"/>
      <c r="X1018" s="73"/>
      <c r="Y1018" s="73"/>
      <c r="Z1018" s="73"/>
      <c r="AA1018" s="73"/>
      <c r="AB1018" s="73"/>
      <c r="AC1018" s="73"/>
      <c r="AD1018" s="73"/>
      <c r="AE1018" s="73"/>
      <c r="AF1018" s="74" t="s">
        <v>108</v>
      </c>
      <c r="AG1018" s="74"/>
      <c r="AH1018" s="74"/>
      <c r="AI1018" s="74"/>
      <c r="AJ1018" s="74"/>
      <c r="AK1018" s="74"/>
      <c r="AL1018" s="74"/>
      <c r="AM1018" s="74"/>
    </row>
    <row r="1019" customFormat="false" ht="9.75" hidden="false" customHeight="true" outlineLevel="0" collapsed="false"/>
    <row r="1020" customFormat="false" ht="18" hidden="false" customHeight="true" outlineLevel="0" collapsed="false">
      <c r="B1020" s="75" t="s">
        <v>110</v>
      </c>
      <c r="C1020" s="75"/>
      <c r="D1020" s="75"/>
      <c r="E1020" s="75"/>
      <c r="F1020" s="75"/>
      <c r="G1020" s="75"/>
      <c r="H1020" s="75"/>
      <c r="I1020" s="75"/>
      <c r="J1020" s="75"/>
      <c r="K1020" s="75"/>
      <c r="L1020" s="75"/>
      <c r="M1020" s="75"/>
      <c r="N1020" s="75"/>
      <c r="O1020" s="75"/>
      <c r="P1020" s="75"/>
      <c r="Q1020" s="75"/>
      <c r="R1020" s="75"/>
      <c r="S1020" s="75"/>
      <c r="T1020" s="76" t="s">
        <v>111</v>
      </c>
      <c r="U1020" s="76"/>
      <c r="V1020" s="76"/>
      <c r="W1020" s="76"/>
      <c r="X1020" s="76"/>
      <c r="Y1020" s="76"/>
      <c r="Z1020" s="76"/>
      <c r="AA1020" s="76"/>
      <c r="AB1020" s="76"/>
      <c r="AC1020" s="76"/>
      <c r="AD1020" s="76"/>
      <c r="AE1020" s="76"/>
      <c r="AF1020" s="76"/>
      <c r="AG1020" s="76"/>
      <c r="AH1020" s="76"/>
      <c r="AI1020" s="76"/>
      <c r="AJ1020" s="76"/>
      <c r="AK1020" s="76"/>
      <c r="AL1020" s="76"/>
      <c r="AM1020" s="76"/>
    </row>
    <row r="1021" customFormat="false" ht="7.5" hidden="false" customHeight="true" outlineLevel="0" collapsed="false"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</row>
    <row r="1022" customFormat="false" ht="19.5" hidden="false" customHeight="true" outlineLevel="0" collapsed="false">
      <c r="B1022" s="1"/>
      <c r="C1022" s="51" t="s">
        <v>78</v>
      </c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  <c r="S1022" s="51"/>
      <c r="T1022" s="51"/>
      <c r="U1022" s="51"/>
      <c r="V1022" s="51"/>
      <c r="W1022" s="51"/>
      <c r="X1022" s="51"/>
      <c r="Y1022" s="51"/>
      <c r="Z1022" s="51"/>
      <c r="AA1022" s="51"/>
      <c r="AB1022" s="1"/>
      <c r="AC1022" s="1"/>
      <c r="AD1022" s="1"/>
      <c r="AE1022" s="52" t="s">
        <v>79</v>
      </c>
      <c r="AF1022" s="52"/>
      <c r="AG1022" s="52"/>
      <c r="AH1022" s="52"/>
      <c r="AI1022" s="52"/>
      <c r="AJ1022" s="52"/>
      <c r="AK1022" s="52"/>
      <c r="AL1022" s="1"/>
      <c r="AM1022" s="1"/>
    </row>
    <row r="1023" customFormat="false" ht="30" hidden="false" customHeight="true" outlineLevel="0" collapsed="false">
      <c r="B1023" s="1"/>
      <c r="C1023" s="53" t="s">
        <v>80</v>
      </c>
      <c r="D1023" s="53"/>
      <c r="E1023" s="53"/>
      <c r="F1023" s="53"/>
      <c r="G1023" s="53"/>
      <c r="H1023" s="53"/>
      <c r="I1023" s="53"/>
      <c r="J1023" s="53"/>
      <c r="K1023" s="53"/>
      <c r="L1023" s="53"/>
      <c r="M1023" s="53"/>
      <c r="N1023" s="53"/>
      <c r="O1023" s="53"/>
      <c r="P1023" s="53"/>
      <c r="Q1023" s="53"/>
      <c r="R1023" s="53"/>
      <c r="S1023" s="53"/>
      <c r="T1023" s="53"/>
      <c r="U1023" s="53"/>
      <c r="V1023" s="53"/>
      <c r="W1023" s="53"/>
      <c r="X1023" s="53"/>
      <c r="Y1023" s="53"/>
      <c r="Z1023" s="53"/>
      <c r="AA1023" s="53"/>
      <c r="AB1023" s="54" t="s">
        <v>81</v>
      </c>
      <c r="AC1023" s="54"/>
      <c r="AD1023" s="54"/>
      <c r="AE1023" s="54"/>
      <c r="AF1023" s="54"/>
      <c r="AG1023" s="54"/>
      <c r="AH1023" s="54"/>
      <c r="AI1023" s="54"/>
      <c r="AJ1023" s="54"/>
      <c r="AK1023" s="54"/>
      <c r="AL1023" s="1"/>
      <c r="AM1023" s="1"/>
    </row>
    <row r="1024" customFormat="false" ht="15.75" hidden="false" customHeight="true" outlineLevel="0" collapsed="false">
      <c r="B1024" s="1"/>
      <c r="C1024" s="55" t="s">
        <v>82</v>
      </c>
      <c r="D1024" s="55"/>
      <c r="E1024" s="55"/>
      <c r="F1024" s="55"/>
      <c r="G1024" s="55"/>
      <c r="H1024" s="55"/>
      <c r="I1024" s="55"/>
      <c r="J1024" s="55"/>
      <c r="K1024" s="55"/>
      <c r="L1024" s="55"/>
      <c r="M1024" s="55"/>
      <c r="N1024" s="55"/>
      <c r="O1024" s="55"/>
      <c r="P1024" s="55"/>
      <c r="Q1024" s="55"/>
      <c r="R1024" s="55"/>
      <c r="S1024" s="55"/>
      <c r="T1024" s="55"/>
      <c r="U1024" s="55"/>
      <c r="V1024" s="55"/>
      <c r="W1024" s="55"/>
      <c r="X1024" s="55"/>
      <c r="Y1024" s="55"/>
      <c r="Z1024" s="55"/>
      <c r="AA1024" s="55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</row>
    <row r="1025" customFormat="false" ht="9.75" hidden="false" customHeight="true" outlineLevel="0" collapsed="false"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</row>
    <row r="1026" customFormat="false" ht="3.75" hidden="false" customHeight="true" outlineLevel="0" collapsed="false">
      <c r="B1026" s="6"/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  <c r="AC1026" s="6"/>
      <c r="AD1026" s="6"/>
      <c r="AE1026" s="6"/>
      <c r="AF1026" s="6"/>
      <c r="AG1026" s="6"/>
      <c r="AH1026" s="6"/>
      <c r="AI1026" s="6"/>
      <c r="AJ1026" s="6"/>
      <c r="AK1026" s="6"/>
      <c r="AL1026" s="6"/>
      <c r="AM1026" s="6"/>
    </row>
    <row r="1027" customFormat="false" ht="7.5" hidden="false" customHeight="true" outlineLevel="0" collapsed="false"/>
    <row r="1028" customFormat="false" ht="13.5" hidden="false" customHeight="true" outlineLevel="0" collapsed="false">
      <c r="B1028" s="56" t="s">
        <v>83</v>
      </c>
      <c r="C1028" s="56"/>
      <c r="D1028" s="56"/>
      <c r="E1028" s="56"/>
      <c r="F1028" s="56"/>
      <c r="G1028" s="56"/>
      <c r="H1028" s="56"/>
      <c r="I1028" s="56"/>
      <c r="J1028" s="56"/>
      <c r="K1028" s="56"/>
      <c r="L1028" s="56"/>
      <c r="M1028" s="56"/>
      <c r="N1028" s="56"/>
      <c r="P1028" s="56" t="s">
        <v>84</v>
      </c>
      <c r="Q1028" s="56"/>
      <c r="R1028" s="56"/>
      <c r="S1028" s="56"/>
      <c r="T1028" s="56"/>
      <c r="U1028" s="56"/>
      <c r="V1028" s="56"/>
      <c r="W1028" s="56"/>
      <c r="X1028" s="56"/>
      <c r="Y1028" s="56"/>
      <c r="Z1028" s="56"/>
      <c r="AA1028" s="56"/>
      <c r="AC1028" s="56" t="s">
        <v>85</v>
      </c>
      <c r="AD1028" s="56"/>
      <c r="AE1028" s="56"/>
      <c r="AF1028" s="56"/>
      <c r="AG1028" s="56"/>
      <c r="AH1028" s="56"/>
      <c r="AI1028" s="56"/>
      <c r="AJ1028" s="56"/>
      <c r="AK1028" s="56"/>
      <c r="AL1028" s="56"/>
      <c r="AM1028" s="56"/>
    </row>
    <row r="1029" customFormat="false" ht="21.75" hidden="false" customHeight="true" outlineLevel="0" collapsed="false">
      <c r="B1029" s="57" t="str">
        <f aca="false">Dashboard!$C$6</f>
        <v>Bindhya TB</v>
      </c>
      <c r="C1029" s="57"/>
      <c r="D1029" s="57"/>
      <c r="E1029" s="57"/>
      <c r="F1029" s="57"/>
      <c r="G1029" s="57"/>
      <c r="H1029" s="57"/>
      <c r="I1029" s="57"/>
      <c r="J1029" s="57"/>
      <c r="K1029" s="57"/>
      <c r="L1029" s="57"/>
      <c r="M1029" s="57"/>
      <c r="N1029" s="57"/>
      <c r="P1029" s="57" t="str">
        <f aca="false">Dashboard!$C$7</f>
        <v>Tourism &amp; Business</v>
      </c>
      <c r="Q1029" s="57"/>
      <c r="R1029" s="57"/>
      <c r="S1029" s="57"/>
      <c r="T1029" s="57"/>
      <c r="U1029" s="57"/>
      <c r="V1029" s="57"/>
      <c r="W1029" s="57"/>
      <c r="X1029" s="57"/>
      <c r="Y1029" s="57"/>
      <c r="Z1029" s="57"/>
      <c r="AA1029" s="57"/>
      <c r="AC1029" s="58" t="n">
        <f aca="false">Cal!A32</f>
        <v>46326</v>
      </c>
      <c r="AD1029" s="58"/>
      <c r="AE1029" s="58"/>
      <c r="AF1029" s="58"/>
      <c r="AG1029" s="58"/>
      <c r="AH1029" s="58"/>
      <c r="AI1029" s="58"/>
      <c r="AJ1029" s="58"/>
      <c r="AK1029" s="58"/>
      <c r="AL1029" s="58"/>
      <c r="AM1029" s="58"/>
    </row>
    <row r="1030" customFormat="false" ht="9.75" hidden="false" customHeight="true" outlineLevel="0" collapsed="false"/>
    <row r="1031" customFormat="false" ht="21.75" hidden="false" customHeight="true" outlineLevel="0" collapsed="false">
      <c r="B1031" s="6"/>
      <c r="C1031" s="19" t="s">
        <v>86</v>
      </c>
      <c r="D1031" s="19"/>
      <c r="E1031" s="19"/>
      <c r="F1031" s="19"/>
      <c r="G1031" s="19"/>
      <c r="H1031" s="19"/>
      <c r="I1031" s="19"/>
      <c r="J1031" s="19"/>
      <c r="K1031" s="19"/>
      <c r="L1031" s="19"/>
      <c r="M1031" s="19"/>
      <c r="N1031" s="19"/>
      <c r="O1031" s="19"/>
      <c r="P1031" s="59" t="s">
        <v>87</v>
      </c>
      <c r="Q1031" s="59"/>
      <c r="R1031" s="59"/>
      <c r="S1031" s="59"/>
      <c r="T1031" s="59"/>
      <c r="U1031" s="59"/>
      <c r="V1031" s="59"/>
      <c r="W1031" s="59"/>
      <c r="X1031" s="59"/>
      <c r="Y1031" s="59"/>
      <c r="Z1031" s="59"/>
      <c r="AA1031" s="59"/>
      <c r="AB1031" s="59"/>
      <c r="AC1031" s="59"/>
      <c r="AD1031" s="59"/>
      <c r="AE1031" s="59"/>
      <c r="AF1031" s="59"/>
      <c r="AG1031" s="59"/>
      <c r="AH1031" s="59"/>
      <c r="AI1031" s="59"/>
      <c r="AJ1031" s="59"/>
      <c r="AK1031" s="59"/>
      <c r="AL1031" s="59"/>
      <c r="AM1031" s="59"/>
    </row>
    <row r="1032" customFormat="false" ht="19.5" hidden="false" customHeight="true" outlineLevel="0" collapsed="false">
      <c r="B1032" s="60"/>
      <c r="C1032" s="61" t="n">
        <v>1</v>
      </c>
      <c r="D1032" s="62" t="s">
        <v>88</v>
      </c>
      <c r="E1032" s="62"/>
      <c r="F1032" s="62"/>
      <c r="G1032" s="62"/>
      <c r="H1032" s="62"/>
      <c r="I1032" s="62"/>
      <c r="J1032" s="62"/>
      <c r="K1032" s="62"/>
      <c r="L1032" s="62"/>
      <c r="M1032" s="62"/>
      <c r="N1032" s="62"/>
      <c r="O1032" s="62"/>
      <c r="P1032" s="62"/>
      <c r="Q1032" s="62"/>
      <c r="R1032" s="62"/>
      <c r="S1032" s="62"/>
      <c r="T1032" s="62"/>
      <c r="V1032" s="60"/>
      <c r="W1032" s="61" t="n">
        <v>2</v>
      </c>
      <c r="X1032" s="62" t="s">
        <v>89</v>
      </c>
      <c r="Y1032" s="62"/>
      <c r="Z1032" s="62"/>
      <c r="AA1032" s="62"/>
      <c r="AB1032" s="62"/>
      <c r="AC1032" s="62"/>
      <c r="AD1032" s="62"/>
      <c r="AE1032" s="62"/>
      <c r="AF1032" s="62"/>
      <c r="AG1032" s="62"/>
      <c r="AH1032" s="62"/>
      <c r="AI1032" s="62"/>
      <c r="AJ1032" s="62"/>
      <c r="AK1032" s="62"/>
      <c r="AL1032" s="62"/>
      <c r="AM1032" s="62"/>
    </row>
    <row r="1033" customFormat="false" ht="49.5" hidden="false" customHeight="true" outlineLevel="0" collapsed="false">
      <c r="B1033" s="63"/>
      <c r="C1033" s="64"/>
      <c r="D1033" s="64"/>
      <c r="E1033" s="64"/>
      <c r="F1033" s="64"/>
      <c r="G1033" s="64"/>
      <c r="H1033" s="64"/>
      <c r="I1033" s="64"/>
      <c r="J1033" s="64"/>
      <c r="K1033" s="64"/>
      <c r="L1033" s="64"/>
      <c r="M1033" s="64"/>
      <c r="N1033" s="64"/>
      <c r="O1033" s="64"/>
      <c r="P1033" s="64"/>
      <c r="Q1033" s="64"/>
      <c r="R1033" s="64"/>
      <c r="S1033" s="64"/>
      <c r="T1033" s="65"/>
      <c r="V1033" s="63"/>
      <c r="W1033" s="77"/>
      <c r="X1033" s="77"/>
      <c r="Y1033" s="77"/>
      <c r="Z1033" s="77"/>
      <c r="AA1033" s="77"/>
      <c r="AB1033" s="77"/>
      <c r="AC1033" s="77"/>
      <c r="AD1033" s="77"/>
      <c r="AE1033" s="77"/>
      <c r="AF1033" s="77"/>
      <c r="AG1033" s="77"/>
      <c r="AH1033" s="77"/>
      <c r="AI1033" s="77"/>
      <c r="AJ1033" s="77"/>
      <c r="AK1033" s="77"/>
      <c r="AL1033" s="77"/>
      <c r="AM1033" s="65"/>
    </row>
    <row r="1034" customFormat="false" ht="6" hidden="false" customHeight="true" outlineLevel="0" collapsed="false">
      <c r="B1034" s="67"/>
      <c r="C1034" s="68"/>
      <c r="D1034" s="68"/>
      <c r="E1034" s="68"/>
      <c r="F1034" s="68"/>
      <c r="G1034" s="68"/>
      <c r="H1034" s="68"/>
      <c r="I1034" s="68"/>
      <c r="J1034" s="68"/>
      <c r="K1034" s="68"/>
      <c r="L1034" s="68"/>
      <c r="M1034" s="68"/>
      <c r="N1034" s="68"/>
      <c r="O1034" s="68"/>
      <c r="P1034" s="68"/>
      <c r="Q1034" s="68"/>
      <c r="R1034" s="68"/>
      <c r="S1034" s="68"/>
      <c r="T1034" s="69"/>
      <c r="V1034" s="67"/>
      <c r="W1034" s="68"/>
      <c r="X1034" s="68"/>
      <c r="Y1034" s="68"/>
      <c r="Z1034" s="68"/>
      <c r="AA1034" s="68"/>
      <c r="AB1034" s="68"/>
      <c r="AC1034" s="68"/>
      <c r="AD1034" s="68"/>
      <c r="AE1034" s="68"/>
      <c r="AF1034" s="68"/>
      <c r="AG1034" s="68"/>
      <c r="AH1034" s="68"/>
      <c r="AI1034" s="68"/>
      <c r="AJ1034" s="68"/>
      <c r="AK1034" s="68"/>
      <c r="AL1034" s="68"/>
      <c r="AM1034" s="69"/>
    </row>
    <row r="1035" customFormat="false" ht="9.75" hidden="false" customHeight="true" outlineLevel="0" collapsed="false"/>
    <row r="1036" customFormat="false" ht="21.75" hidden="false" customHeight="true" outlineLevel="0" collapsed="false">
      <c r="B1036" s="6"/>
      <c r="C1036" s="19" t="s">
        <v>91</v>
      </c>
      <c r="D1036" s="19"/>
      <c r="E1036" s="19"/>
      <c r="F1036" s="19"/>
      <c r="G1036" s="19"/>
      <c r="H1036" s="19"/>
      <c r="I1036" s="19"/>
      <c r="J1036" s="19"/>
      <c r="K1036" s="19"/>
      <c r="L1036" s="19"/>
      <c r="M1036" s="19"/>
      <c r="N1036" s="19"/>
      <c r="O1036" s="19"/>
      <c r="P1036" s="19"/>
      <c r="Q1036" s="19"/>
      <c r="R1036" s="19"/>
      <c r="S1036" s="19"/>
      <c r="T1036" s="19"/>
      <c r="U1036" s="19"/>
      <c r="V1036" s="59" t="s">
        <v>92</v>
      </c>
      <c r="W1036" s="59"/>
      <c r="X1036" s="59"/>
      <c r="Y1036" s="59"/>
      <c r="Z1036" s="59"/>
      <c r="AA1036" s="59"/>
      <c r="AB1036" s="59"/>
      <c r="AC1036" s="59"/>
      <c r="AD1036" s="59"/>
      <c r="AE1036" s="59"/>
      <c r="AF1036" s="59"/>
      <c r="AG1036" s="59"/>
      <c r="AH1036" s="59"/>
      <c r="AI1036" s="59"/>
      <c r="AJ1036" s="59"/>
      <c r="AK1036" s="59"/>
      <c r="AL1036" s="59"/>
      <c r="AM1036" s="59"/>
    </row>
    <row r="1037" customFormat="false" ht="27.75" hidden="false" customHeight="true" outlineLevel="0" collapsed="false">
      <c r="B1037" s="60"/>
      <c r="C1037" s="61" t="n">
        <v>3</v>
      </c>
      <c r="D1037" s="62" t="s">
        <v>93</v>
      </c>
      <c r="E1037" s="62"/>
      <c r="F1037" s="62"/>
      <c r="G1037" s="62"/>
      <c r="H1037" s="62"/>
      <c r="I1037" s="62"/>
      <c r="J1037" s="62"/>
      <c r="L1037" s="60"/>
      <c r="M1037" s="61" t="n">
        <v>4</v>
      </c>
      <c r="N1037" s="62" t="s">
        <v>94</v>
      </c>
      <c r="O1037" s="62"/>
      <c r="P1037" s="62"/>
      <c r="Q1037" s="62"/>
      <c r="R1037" s="62"/>
      <c r="S1037" s="62"/>
      <c r="T1037" s="62"/>
      <c r="V1037" s="60"/>
      <c r="W1037" s="61" t="n">
        <v>5</v>
      </c>
      <c r="X1037" s="62" t="s">
        <v>95</v>
      </c>
      <c r="Y1037" s="62"/>
      <c r="Z1037" s="62"/>
      <c r="AA1037" s="62"/>
      <c r="AB1037" s="62"/>
      <c r="AC1037" s="62"/>
      <c r="AD1037" s="62"/>
      <c r="AF1037" s="60"/>
      <c r="AG1037" s="61" t="n">
        <v>6</v>
      </c>
      <c r="AH1037" s="62" t="s">
        <v>96</v>
      </c>
      <c r="AI1037" s="62"/>
      <c r="AJ1037" s="62"/>
      <c r="AK1037" s="62"/>
      <c r="AL1037" s="62"/>
      <c r="AM1037" s="62"/>
    </row>
    <row r="1038" customFormat="false" ht="25.5" hidden="false" customHeight="true" outlineLevel="0" collapsed="false">
      <c r="B1038" s="63"/>
      <c r="C1038" s="64"/>
      <c r="D1038" s="64"/>
      <c r="E1038" s="64"/>
      <c r="F1038" s="64"/>
      <c r="G1038" s="64"/>
      <c r="H1038" s="64"/>
      <c r="I1038" s="64"/>
      <c r="J1038" s="65"/>
      <c r="L1038" s="63"/>
      <c r="M1038" s="64"/>
      <c r="N1038" s="64"/>
      <c r="O1038" s="64"/>
      <c r="P1038" s="64"/>
      <c r="Q1038" s="64"/>
      <c r="R1038" s="64"/>
      <c r="S1038" s="64"/>
      <c r="T1038" s="65"/>
      <c r="V1038" s="63"/>
      <c r="W1038" s="70"/>
      <c r="X1038" s="70"/>
      <c r="Y1038" s="70"/>
      <c r="Z1038" s="70"/>
      <c r="AA1038" s="70"/>
      <c r="AB1038" s="70"/>
      <c r="AC1038" s="70"/>
      <c r="AD1038" s="65"/>
      <c r="AF1038" s="63"/>
      <c r="AG1038" s="64"/>
      <c r="AH1038" s="64"/>
      <c r="AI1038" s="64"/>
      <c r="AJ1038" s="64"/>
      <c r="AK1038" s="64"/>
      <c r="AL1038" s="64"/>
      <c r="AM1038" s="65"/>
    </row>
    <row r="1039" customFormat="false" ht="6" hidden="false" customHeight="true" outlineLevel="0" collapsed="false">
      <c r="B1039" s="67"/>
      <c r="C1039" s="68"/>
      <c r="D1039" s="68"/>
      <c r="E1039" s="68"/>
      <c r="F1039" s="68"/>
      <c r="G1039" s="68"/>
      <c r="H1039" s="68"/>
      <c r="I1039" s="68"/>
      <c r="J1039" s="69"/>
      <c r="L1039" s="67"/>
      <c r="M1039" s="68"/>
      <c r="N1039" s="68"/>
      <c r="O1039" s="68"/>
      <c r="P1039" s="68"/>
      <c r="Q1039" s="68"/>
      <c r="R1039" s="68"/>
      <c r="S1039" s="68"/>
      <c r="T1039" s="69"/>
      <c r="V1039" s="67"/>
      <c r="W1039" s="68"/>
      <c r="X1039" s="68"/>
      <c r="Y1039" s="68"/>
      <c r="Z1039" s="68"/>
      <c r="AA1039" s="68"/>
      <c r="AB1039" s="68"/>
      <c r="AC1039" s="68"/>
      <c r="AD1039" s="69"/>
      <c r="AF1039" s="67"/>
      <c r="AG1039" s="68"/>
      <c r="AH1039" s="68"/>
      <c r="AI1039" s="68"/>
      <c r="AJ1039" s="68"/>
      <c r="AK1039" s="68"/>
      <c r="AL1039" s="68"/>
      <c r="AM1039" s="69"/>
    </row>
    <row r="1040" customFormat="false" ht="9.75" hidden="false" customHeight="true" outlineLevel="0" collapsed="false"/>
    <row r="1041" customFormat="false" ht="21.75" hidden="false" customHeight="true" outlineLevel="0" collapsed="false">
      <c r="B1041" s="6"/>
      <c r="C1041" s="19" t="s">
        <v>98</v>
      </c>
      <c r="D1041" s="19"/>
      <c r="E1041" s="19"/>
      <c r="F1041" s="19"/>
      <c r="G1041" s="19"/>
      <c r="H1041" s="19"/>
      <c r="I1041" s="19"/>
      <c r="J1041" s="19"/>
      <c r="K1041" s="19"/>
      <c r="L1041" s="19"/>
      <c r="M1041" s="19"/>
      <c r="N1041" s="19"/>
      <c r="O1041" s="19"/>
      <c r="P1041" s="19"/>
      <c r="Q1041" s="19"/>
      <c r="R1041" s="19"/>
      <c r="S1041" s="19"/>
      <c r="T1041" s="19"/>
      <c r="U1041" s="19"/>
      <c r="V1041" s="59" t="s">
        <v>99</v>
      </c>
      <c r="W1041" s="59"/>
      <c r="X1041" s="59"/>
      <c r="Y1041" s="59"/>
      <c r="Z1041" s="59"/>
      <c r="AA1041" s="59"/>
      <c r="AB1041" s="59"/>
      <c r="AC1041" s="59"/>
      <c r="AD1041" s="59"/>
      <c r="AE1041" s="59"/>
      <c r="AF1041" s="59"/>
      <c r="AG1041" s="59"/>
      <c r="AH1041" s="59"/>
      <c r="AI1041" s="59"/>
      <c r="AJ1041" s="59"/>
      <c r="AK1041" s="59"/>
      <c r="AL1041" s="59"/>
      <c r="AM1041" s="59"/>
    </row>
    <row r="1042" customFormat="false" ht="27.75" hidden="false" customHeight="true" outlineLevel="0" collapsed="false">
      <c r="B1042" s="60"/>
      <c r="C1042" s="61" t="n">
        <v>7</v>
      </c>
      <c r="D1042" s="62" t="s">
        <v>100</v>
      </c>
      <c r="E1042" s="62"/>
      <c r="F1042" s="62"/>
      <c r="G1042" s="62"/>
      <c r="H1042" s="62"/>
      <c r="J1042" s="60"/>
      <c r="K1042" s="61" t="n">
        <v>8</v>
      </c>
      <c r="L1042" s="62" t="s">
        <v>101</v>
      </c>
      <c r="M1042" s="62"/>
      <c r="N1042" s="62"/>
      <c r="O1042" s="62"/>
      <c r="P1042" s="62"/>
      <c r="R1042" s="60"/>
      <c r="S1042" s="61" t="n">
        <v>9</v>
      </c>
      <c r="T1042" s="62" t="s">
        <v>102</v>
      </c>
      <c r="U1042" s="62"/>
      <c r="V1042" s="62"/>
      <c r="W1042" s="62"/>
      <c r="X1042" s="62"/>
      <c r="Z1042" s="60"/>
      <c r="AA1042" s="61" t="n">
        <v>10</v>
      </c>
      <c r="AB1042" s="62" t="s">
        <v>103</v>
      </c>
      <c r="AC1042" s="62"/>
      <c r="AD1042" s="62"/>
      <c r="AE1042" s="62"/>
      <c r="AF1042" s="62"/>
      <c r="AH1042" s="60"/>
      <c r="AI1042" s="61" t="n">
        <v>11</v>
      </c>
      <c r="AJ1042" s="62" t="s">
        <v>104</v>
      </c>
      <c r="AK1042" s="62"/>
      <c r="AL1042" s="62"/>
      <c r="AM1042" s="62"/>
    </row>
    <row r="1043" customFormat="false" ht="25.5" hidden="false" customHeight="true" outlineLevel="0" collapsed="false">
      <c r="B1043" s="63"/>
      <c r="C1043" s="64"/>
      <c r="D1043" s="64"/>
      <c r="E1043" s="64"/>
      <c r="F1043" s="64"/>
      <c r="G1043" s="64"/>
      <c r="H1043" s="65"/>
      <c r="J1043" s="63"/>
      <c r="K1043" s="64"/>
      <c r="L1043" s="64"/>
      <c r="M1043" s="64"/>
      <c r="N1043" s="64"/>
      <c r="O1043" s="64"/>
      <c r="P1043" s="65"/>
      <c r="R1043" s="63"/>
      <c r="S1043" s="64"/>
      <c r="T1043" s="64"/>
      <c r="U1043" s="64"/>
      <c r="V1043" s="64"/>
      <c r="W1043" s="64"/>
      <c r="X1043" s="65"/>
      <c r="Z1043" s="63"/>
      <c r="AA1043" s="64"/>
      <c r="AB1043" s="64"/>
      <c r="AC1043" s="64"/>
      <c r="AD1043" s="64"/>
      <c r="AE1043" s="64"/>
      <c r="AF1043" s="65"/>
      <c r="AH1043" s="63"/>
      <c r="AI1043" s="64"/>
      <c r="AJ1043" s="64"/>
      <c r="AK1043" s="64"/>
      <c r="AL1043" s="64"/>
      <c r="AM1043" s="65"/>
    </row>
    <row r="1044" customFormat="false" ht="6" hidden="false" customHeight="true" outlineLevel="0" collapsed="false">
      <c r="B1044" s="67"/>
      <c r="C1044" s="68"/>
      <c r="D1044" s="68"/>
      <c r="E1044" s="68"/>
      <c r="F1044" s="68"/>
      <c r="G1044" s="68"/>
      <c r="H1044" s="69"/>
      <c r="J1044" s="67"/>
      <c r="K1044" s="68"/>
      <c r="L1044" s="68"/>
      <c r="M1044" s="68"/>
      <c r="N1044" s="68"/>
      <c r="O1044" s="68"/>
      <c r="P1044" s="69"/>
      <c r="R1044" s="67"/>
      <c r="S1044" s="68"/>
      <c r="T1044" s="68"/>
      <c r="U1044" s="68"/>
      <c r="V1044" s="68"/>
      <c r="W1044" s="68"/>
      <c r="X1044" s="69"/>
      <c r="Z1044" s="67"/>
      <c r="AA1044" s="68"/>
      <c r="AB1044" s="68"/>
      <c r="AC1044" s="68"/>
      <c r="AD1044" s="68"/>
      <c r="AE1044" s="68"/>
      <c r="AF1044" s="69"/>
      <c r="AH1044" s="67"/>
      <c r="AI1044" s="68"/>
      <c r="AJ1044" s="68"/>
      <c r="AK1044" s="68"/>
      <c r="AL1044" s="68"/>
      <c r="AM1044" s="69"/>
    </row>
    <row r="1045" customFormat="false" ht="9.75" hidden="false" customHeight="true" outlineLevel="0" collapsed="false"/>
    <row r="1046" customFormat="false" ht="21.75" hidden="false" customHeight="true" outlineLevel="0" collapsed="false">
      <c r="B1046" s="6"/>
      <c r="C1046" s="19" t="s">
        <v>105</v>
      </c>
      <c r="D1046" s="19"/>
      <c r="E1046" s="19"/>
      <c r="F1046" s="19"/>
      <c r="G1046" s="19"/>
      <c r="H1046" s="19"/>
      <c r="I1046" s="19"/>
      <c r="J1046" s="19"/>
      <c r="K1046" s="19"/>
      <c r="L1046" s="19"/>
      <c r="M1046" s="19"/>
      <c r="N1046" s="19"/>
      <c r="O1046" s="19"/>
      <c r="P1046" s="19"/>
      <c r="Q1046" s="19"/>
      <c r="R1046" s="59" t="s">
        <v>106</v>
      </c>
      <c r="S1046" s="59"/>
      <c r="T1046" s="59"/>
      <c r="U1046" s="59"/>
      <c r="V1046" s="59"/>
      <c r="W1046" s="59"/>
      <c r="X1046" s="59"/>
      <c r="Y1046" s="59"/>
      <c r="Z1046" s="59"/>
      <c r="AA1046" s="59"/>
      <c r="AB1046" s="59"/>
      <c r="AC1046" s="59"/>
      <c r="AD1046" s="59"/>
      <c r="AE1046" s="59"/>
      <c r="AF1046" s="59"/>
      <c r="AG1046" s="59"/>
      <c r="AH1046" s="59"/>
      <c r="AI1046" s="59"/>
      <c r="AJ1046" s="59"/>
      <c r="AK1046" s="59"/>
      <c r="AL1046" s="59"/>
      <c r="AM1046" s="59"/>
    </row>
    <row r="1047" customFormat="false" ht="24" hidden="false" customHeight="true" outlineLevel="0" collapsed="false">
      <c r="B1047" s="72"/>
      <c r="C1047" s="72"/>
      <c r="D1047" s="72"/>
      <c r="E1047" s="72"/>
      <c r="F1047" s="72"/>
      <c r="G1047" s="72"/>
      <c r="H1047" s="72"/>
      <c r="I1047" s="72"/>
      <c r="J1047" s="72"/>
      <c r="K1047" s="72"/>
      <c r="L1047" s="72"/>
      <c r="M1047" s="72"/>
      <c r="N1047" s="72"/>
      <c r="O1047" s="72"/>
      <c r="P1047" s="72"/>
      <c r="Q1047" s="72"/>
      <c r="R1047" s="72"/>
      <c r="S1047" s="72"/>
      <c r="T1047" s="72"/>
      <c r="U1047" s="72"/>
      <c r="V1047" s="72"/>
      <c r="W1047" s="72"/>
      <c r="X1047" s="72"/>
      <c r="Y1047" s="72"/>
      <c r="Z1047" s="72"/>
      <c r="AA1047" s="72"/>
      <c r="AB1047" s="72"/>
      <c r="AC1047" s="72"/>
      <c r="AD1047" s="72"/>
      <c r="AE1047" s="72"/>
      <c r="AF1047" s="72"/>
      <c r="AG1047" s="72"/>
      <c r="AH1047" s="72"/>
      <c r="AI1047" s="72"/>
      <c r="AJ1047" s="72"/>
      <c r="AK1047" s="72"/>
      <c r="AL1047" s="72"/>
      <c r="AM1047" s="72"/>
    </row>
    <row r="1048" customFormat="false" ht="24" hidden="false" customHeight="true" outlineLevel="0" collapsed="false">
      <c r="B1048" s="72"/>
      <c r="C1048" s="72"/>
      <c r="D1048" s="72"/>
      <c r="E1048" s="72"/>
      <c r="F1048" s="72"/>
      <c r="G1048" s="72"/>
      <c r="H1048" s="72"/>
      <c r="I1048" s="72"/>
      <c r="J1048" s="72"/>
      <c r="K1048" s="72"/>
      <c r="L1048" s="72"/>
      <c r="M1048" s="72"/>
      <c r="N1048" s="72"/>
      <c r="O1048" s="72"/>
      <c r="P1048" s="72"/>
      <c r="Q1048" s="72"/>
      <c r="R1048" s="72"/>
      <c r="S1048" s="72"/>
      <c r="T1048" s="72"/>
      <c r="U1048" s="72"/>
      <c r="V1048" s="72"/>
      <c r="W1048" s="72"/>
      <c r="X1048" s="72"/>
      <c r="Y1048" s="72"/>
      <c r="Z1048" s="72"/>
      <c r="AA1048" s="72"/>
      <c r="AB1048" s="72"/>
      <c r="AC1048" s="72"/>
      <c r="AD1048" s="72"/>
      <c r="AE1048" s="72"/>
      <c r="AF1048" s="72"/>
      <c r="AG1048" s="72"/>
      <c r="AH1048" s="72"/>
      <c r="AI1048" s="72"/>
      <c r="AJ1048" s="72"/>
      <c r="AK1048" s="72"/>
      <c r="AL1048" s="72"/>
      <c r="AM1048" s="72"/>
    </row>
    <row r="1049" customFormat="false" ht="24" hidden="false" customHeight="true" outlineLevel="0" collapsed="false">
      <c r="B1049" s="72"/>
      <c r="C1049" s="72"/>
      <c r="D1049" s="72"/>
      <c r="E1049" s="72"/>
      <c r="F1049" s="72"/>
      <c r="G1049" s="72"/>
      <c r="H1049" s="72"/>
      <c r="I1049" s="72"/>
      <c r="J1049" s="72"/>
      <c r="K1049" s="72"/>
      <c r="L1049" s="72"/>
      <c r="M1049" s="72"/>
      <c r="N1049" s="72"/>
      <c r="O1049" s="72"/>
      <c r="P1049" s="72"/>
      <c r="Q1049" s="72"/>
      <c r="R1049" s="72"/>
      <c r="S1049" s="72"/>
      <c r="T1049" s="72"/>
      <c r="U1049" s="72"/>
      <c r="V1049" s="72"/>
      <c r="W1049" s="72"/>
      <c r="X1049" s="72"/>
      <c r="Y1049" s="72"/>
      <c r="Z1049" s="72"/>
      <c r="AA1049" s="72"/>
      <c r="AB1049" s="72"/>
      <c r="AC1049" s="72"/>
      <c r="AD1049" s="72"/>
      <c r="AE1049" s="72"/>
      <c r="AF1049" s="72"/>
      <c r="AG1049" s="72"/>
      <c r="AH1049" s="72"/>
      <c r="AI1049" s="72"/>
      <c r="AJ1049" s="72"/>
      <c r="AK1049" s="72"/>
      <c r="AL1049" s="72"/>
      <c r="AM1049" s="72"/>
    </row>
    <row r="1050" customFormat="false" ht="295.5" hidden="false" customHeight="true" outlineLevel="0" collapsed="false"/>
    <row r="1051" customFormat="false" ht="6" hidden="false" customHeight="true" outlineLevel="0" collapsed="false"/>
    <row r="1052" customFormat="false" ht="19.5" hidden="false" customHeight="true" outlineLevel="0" collapsed="false">
      <c r="B1052" s="73" t="s">
        <v>107</v>
      </c>
      <c r="C1052" s="73"/>
      <c r="D1052" s="73"/>
      <c r="E1052" s="73"/>
      <c r="F1052" s="73"/>
      <c r="G1052" s="73"/>
      <c r="H1052" s="73"/>
      <c r="I1052" s="73"/>
      <c r="J1052" s="73"/>
      <c r="K1052" s="73"/>
      <c r="L1052" s="74" t="s">
        <v>108</v>
      </c>
      <c r="M1052" s="74"/>
      <c r="N1052" s="74"/>
      <c r="O1052" s="74"/>
      <c r="P1052" s="74"/>
      <c r="Q1052" s="74"/>
      <c r="R1052" s="74"/>
      <c r="S1052" s="74"/>
      <c r="U1052" s="73" t="s">
        <v>109</v>
      </c>
      <c r="V1052" s="73"/>
      <c r="W1052" s="73"/>
      <c r="X1052" s="73"/>
      <c r="Y1052" s="73"/>
      <c r="Z1052" s="73"/>
      <c r="AA1052" s="73"/>
      <c r="AB1052" s="73"/>
      <c r="AC1052" s="73"/>
      <c r="AD1052" s="73"/>
      <c r="AE1052" s="73"/>
      <c r="AF1052" s="74" t="s">
        <v>108</v>
      </c>
      <c r="AG1052" s="74"/>
      <c r="AH1052" s="74"/>
      <c r="AI1052" s="74"/>
      <c r="AJ1052" s="74"/>
      <c r="AK1052" s="74"/>
      <c r="AL1052" s="74"/>
      <c r="AM1052" s="74"/>
    </row>
    <row r="1053" customFormat="false" ht="9.75" hidden="false" customHeight="true" outlineLevel="0" collapsed="false"/>
    <row r="1054" customFormat="false" ht="18" hidden="false" customHeight="true" outlineLevel="0" collapsed="false">
      <c r="B1054" s="75" t="s">
        <v>110</v>
      </c>
      <c r="C1054" s="75"/>
      <c r="D1054" s="75"/>
      <c r="E1054" s="75"/>
      <c r="F1054" s="75"/>
      <c r="G1054" s="75"/>
      <c r="H1054" s="75"/>
      <c r="I1054" s="75"/>
      <c r="J1054" s="75"/>
      <c r="K1054" s="75"/>
      <c r="L1054" s="75"/>
      <c r="M1054" s="75"/>
      <c r="N1054" s="75"/>
      <c r="O1054" s="75"/>
      <c r="P1054" s="75"/>
      <c r="Q1054" s="75"/>
      <c r="R1054" s="75"/>
      <c r="S1054" s="75"/>
      <c r="T1054" s="76" t="s">
        <v>111</v>
      </c>
      <c r="U1054" s="76"/>
      <c r="V1054" s="76"/>
      <c r="W1054" s="76"/>
      <c r="X1054" s="76"/>
      <c r="Y1054" s="76"/>
      <c r="Z1054" s="76"/>
      <c r="AA1054" s="76"/>
      <c r="AB1054" s="76"/>
      <c r="AC1054" s="76"/>
      <c r="AD1054" s="76"/>
      <c r="AE1054" s="76"/>
      <c r="AF1054" s="76"/>
      <c r="AG1054" s="76"/>
      <c r="AH1054" s="76"/>
      <c r="AI1054" s="76"/>
      <c r="AJ1054" s="76"/>
      <c r="AK1054" s="76"/>
      <c r="AL1054" s="76"/>
      <c r="AM1054" s="76"/>
    </row>
  </sheetData>
  <sheetProtection sheet="true" formatColumns="false" formatRows="false"/>
  <mergeCells count="1550">
    <mergeCell ref="C2:AA2"/>
    <mergeCell ref="AE2:AK2"/>
    <mergeCell ref="C3:AA3"/>
    <mergeCell ref="AB3:AK3"/>
    <mergeCell ref="C4:AA4"/>
    <mergeCell ref="B8:N8"/>
    <mergeCell ref="P8:AA8"/>
    <mergeCell ref="AC8:AM8"/>
    <mergeCell ref="B9:N9"/>
    <mergeCell ref="P9:AA9"/>
    <mergeCell ref="AC9:AM9"/>
    <mergeCell ref="C11:O11"/>
    <mergeCell ref="P11:AM11"/>
    <mergeCell ref="D12:T12"/>
    <mergeCell ref="X12:AM12"/>
    <mergeCell ref="C13:S13"/>
    <mergeCell ref="W13:AL13"/>
    <mergeCell ref="C16:U16"/>
    <mergeCell ref="V16:AM16"/>
    <mergeCell ref="D17:J17"/>
    <mergeCell ref="N17:T17"/>
    <mergeCell ref="X17:AD17"/>
    <mergeCell ref="AH17:AM17"/>
    <mergeCell ref="C18:I18"/>
    <mergeCell ref="M18:S18"/>
    <mergeCell ref="W18:AC18"/>
    <mergeCell ref="AG18:AL18"/>
    <mergeCell ref="C21:U21"/>
    <mergeCell ref="V21:AM21"/>
    <mergeCell ref="D22:H22"/>
    <mergeCell ref="L22:P22"/>
    <mergeCell ref="T22:X22"/>
    <mergeCell ref="AB22:AF22"/>
    <mergeCell ref="AJ22:AM22"/>
    <mergeCell ref="C23:G23"/>
    <mergeCell ref="K23:O23"/>
    <mergeCell ref="S23:W23"/>
    <mergeCell ref="AA23:AE23"/>
    <mergeCell ref="AI23:AL23"/>
    <mergeCell ref="C26:Q26"/>
    <mergeCell ref="R26:AM26"/>
    <mergeCell ref="B27:AM27"/>
    <mergeCell ref="B28:AM28"/>
    <mergeCell ref="B29:AM29"/>
    <mergeCell ref="B32:K32"/>
    <mergeCell ref="L32:S32"/>
    <mergeCell ref="U32:AE32"/>
    <mergeCell ref="AF32:AM32"/>
    <mergeCell ref="B34:S34"/>
    <mergeCell ref="T34:AM34"/>
    <mergeCell ref="C36:AA36"/>
    <mergeCell ref="AE36:AK36"/>
    <mergeCell ref="C37:AA37"/>
    <mergeCell ref="AB37:AK37"/>
    <mergeCell ref="C38:AA38"/>
    <mergeCell ref="B42:N42"/>
    <mergeCell ref="P42:AA42"/>
    <mergeCell ref="AC42:AM42"/>
    <mergeCell ref="B43:N43"/>
    <mergeCell ref="P43:AA43"/>
    <mergeCell ref="AC43:AM43"/>
    <mergeCell ref="C45:O45"/>
    <mergeCell ref="P45:AM45"/>
    <mergeCell ref="D46:T46"/>
    <mergeCell ref="X46:AM46"/>
    <mergeCell ref="C47:S47"/>
    <mergeCell ref="W47:AL47"/>
    <mergeCell ref="C50:U50"/>
    <mergeCell ref="V50:AM50"/>
    <mergeCell ref="D51:J51"/>
    <mergeCell ref="N51:T51"/>
    <mergeCell ref="X51:AD51"/>
    <mergeCell ref="AH51:AM51"/>
    <mergeCell ref="C52:I52"/>
    <mergeCell ref="M52:S52"/>
    <mergeCell ref="W52:AC52"/>
    <mergeCell ref="AG52:AL52"/>
    <mergeCell ref="C55:U55"/>
    <mergeCell ref="V55:AM55"/>
    <mergeCell ref="D56:H56"/>
    <mergeCell ref="L56:P56"/>
    <mergeCell ref="T56:X56"/>
    <mergeCell ref="AB56:AF56"/>
    <mergeCell ref="AJ56:AM56"/>
    <mergeCell ref="C57:G57"/>
    <mergeCell ref="K57:O57"/>
    <mergeCell ref="S57:W57"/>
    <mergeCell ref="AA57:AE57"/>
    <mergeCell ref="AI57:AL57"/>
    <mergeCell ref="C60:Q60"/>
    <mergeCell ref="R60:AM60"/>
    <mergeCell ref="B61:AM61"/>
    <mergeCell ref="B62:AM62"/>
    <mergeCell ref="B63:AM63"/>
    <mergeCell ref="B66:K66"/>
    <mergeCell ref="L66:S66"/>
    <mergeCell ref="U66:AE66"/>
    <mergeCell ref="AF66:AM66"/>
    <mergeCell ref="B68:S68"/>
    <mergeCell ref="T68:AM68"/>
    <mergeCell ref="C70:AA70"/>
    <mergeCell ref="AE70:AK70"/>
    <mergeCell ref="C71:AA71"/>
    <mergeCell ref="AB71:AK71"/>
    <mergeCell ref="C72:AA72"/>
    <mergeCell ref="B76:N76"/>
    <mergeCell ref="P76:AA76"/>
    <mergeCell ref="AC76:AM76"/>
    <mergeCell ref="B77:N77"/>
    <mergeCell ref="P77:AA77"/>
    <mergeCell ref="AC77:AM77"/>
    <mergeCell ref="C79:O79"/>
    <mergeCell ref="P79:AM79"/>
    <mergeCell ref="D80:T80"/>
    <mergeCell ref="X80:AM80"/>
    <mergeCell ref="C81:S81"/>
    <mergeCell ref="W81:AL81"/>
    <mergeCell ref="C84:U84"/>
    <mergeCell ref="V84:AM84"/>
    <mergeCell ref="D85:J85"/>
    <mergeCell ref="N85:T85"/>
    <mergeCell ref="X85:AD85"/>
    <mergeCell ref="AH85:AM85"/>
    <mergeCell ref="C86:I86"/>
    <mergeCell ref="M86:S86"/>
    <mergeCell ref="W86:AC86"/>
    <mergeCell ref="AG86:AL86"/>
    <mergeCell ref="C89:U89"/>
    <mergeCell ref="V89:AM89"/>
    <mergeCell ref="D90:H90"/>
    <mergeCell ref="L90:P90"/>
    <mergeCell ref="T90:X90"/>
    <mergeCell ref="AB90:AF90"/>
    <mergeCell ref="AJ90:AM90"/>
    <mergeCell ref="C91:G91"/>
    <mergeCell ref="K91:O91"/>
    <mergeCell ref="S91:W91"/>
    <mergeCell ref="AA91:AE91"/>
    <mergeCell ref="AI91:AL91"/>
    <mergeCell ref="C94:Q94"/>
    <mergeCell ref="R94:AM94"/>
    <mergeCell ref="B95:AM95"/>
    <mergeCell ref="B96:AM96"/>
    <mergeCell ref="B97:AM97"/>
    <mergeCell ref="B100:K100"/>
    <mergeCell ref="L100:S100"/>
    <mergeCell ref="U100:AE100"/>
    <mergeCell ref="AF100:AM100"/>
    <mergeCell ref="B102:S102"/>
    <mergeCell ref="T102:AM102"/>
    <mergeCell ref="C104:AA104"/>
    <mergeCell ref="AE104:AK104"/>
    <mergeCell ref="C105:AA105"/>
    <mergeCell ref="AB105:AK105"/>
    <mergeCell ref="C106:AA106"/>
    <mergeCell ref="B110:N110"/>
    <mergeCell ref="P110:AA110"/>
    <mergeCell ref="AC110:AM110"/>
    <mergeCell ref="B111:N111"/>
    <mergeCell ref="P111:AA111"/>
    <mergeCell ref="AC111:AM111"/>
    <mergeCell ref="C113:O113"/>
    <mergeCell ref="P113:AM113"/>
    <mergeCell ref="D114:T114"/>
    <mergeCell ref="X114:AM114"/>
    <mergeCell ref="C115:S115"/>
    <mergeCell ref="W115:AL115"/>
    <mergeCell ref="C118:U118"/>
    <mergeCell ref="V118:AM118"/>
    <mergeCell ref="D119:J119"/>
    <mergeCell ref="N119:T119"/>
    <mergeCell ref="X119:AD119"/>
    <mergeCell ref="AH119:AM119"/>
    <mergeCell ref="C120:I120"/>
    <mergeCell ref="M120:S120"/>
    <mergeCell ref="W120:AC120"/>
    <mergeCell ref="AG120:AL120"/>
    <mergeCell ref="C123:U123"/>
    <mergeCell ref="V123:AM123"/>
    <mergeCell ref="D124:H124"/>
    <mergeCell ref="L124:P124"/>
    <mergeCell ref="T124:X124"/>
    <mergeCell ref="AB124:AF124"/>
    <mergeCell ref="AJ124:AM124"/>
    <mergeCell ref="C125:G125"/>
    <mergeCell ref="K125:O125"/>
    <mergeCell ref="S125:W125"/>
    <mergeCell ref="AA125:AE125"/>
    <mergeCell ref="AI125:AL125"/>
    <mergeCell ref="C128:Q128"/>
    <mergeCell ref="R128:AM128"/>
    <mergeCell ref="B129:AM129"/>
    <mergeCell ref="B130:AM130"/>
    <mergeCell ref="B131:AM131"/>
    <mergeCell ref="B134:K134"/>
    <mergeCell ref="L134:S134"/>
    <mergeCell ref="U134:AE134"/>
    <mergeCell ref="AF134:AM134"/>
    <mergeCell ref="B136:S136"/>
    <mergeCell ref="T136:AM136"/>
    <mergeCell ref="C138:AA138"/>
    <mergeCell ref="AE138:AK138"/>
    <mergeCell ref="C139:AA139"/>
    <mergeCell ref="AB139:AK139"/>
    <mergeCell ref="C140:AA140"/>
    <mergeCell ref="B144:N144"/>
    <mergeCell ref="P144:AA144"/>
    <mergeCell ref="AC144:AM144"/>
    <mergeCell ref="B145:N145"/>
    <mergeCell ref="P145:AA145"/>
    <mergeCell ref="AC145:AM145"/>
    <mergeCell ref="C147:O147"/>
    <mergeCell ref="P147:AM147"/>
    <mergeCell ref="D148:T148"/>
    <mergeCell ref="X148:AM148"/>
    <mergeCell ref="C149:S149"/>
    <mergeCell ref="W149:AL149"/>
    <mergeCell ref="C152:U152"/>
    <mergeCell ref="V152:AM152"/>
    <mergeCell ref="D153:J153"/>
    <mergeCell ref="N153:T153"/>
    <mergeCell ref="X153:AD153"/>
    <mergeCell ref="AH153:AM153"/>
    <mergeCell ref="C154:I154"/>
    <mergeCell ref="M154:S154"/>
    <mergeCell ref="W154:AC154"/>
    <mergeCell ref="AG154:AL154"/>
    <mergeCell ref="C157:U157"/>
    <mergeCell ref="V157:AM157"/>
    <mergeCell ref="D158:H158"/>
    <mergeCell ref="L158:P158"/>
    <mergeCell ref="T158:X158"/>
    <mergeCell ref="AB158:AF158"/>
    <mergeCell ref="AJ158:AM158"/>
    <mergeCell ref="C159:G159"/>
    <mergeCell ref="K159:O159"/>
    <mergeCell ref="S159:W159"/>
    <mergeCell ref="AA159:AE159"/>
    <mergeCell ref="AI159:AL159"/>
    <mergeCell ref="C162:Q162"/>
    <mergeCell ref="R162:AM162"/>
    <mergeCell ref="B163:AM163"/>
    <mergeCell ref="B164:AM164"/>
    <mergeCell ref="B165:AM165"/>
    <mergeCell ref="B168:K168"/>
    <mergeCell ref="L168:S168"/>
    <mergeCell ref="U168:AE168"/>
    <mergeCell ref="AF168:AM168"/>
    <mergeCell ref="B170:S170"/>
    <mergeCell ref="T170:AM170"/>
    <mergeCell ref="C172:AA172"/>
    <mergeCell ref="AE172:AK172"/>
    <mergeCell ref="C173:AA173"/>
    <mergeCell ref="AB173:AK173"/>
    <mergeCell ref="C174:AA174"/>
    <mergeCell ref="B178:N178"/>
    <mergeCell ref="P178:AA178"/>
    <mergeCell ref="AC178:AM178"/>
    <mergeCell ref="B179:N179"/>
    <mergeCell ref="P179:AA179"/>
    <mergeCell ref="AC179:AM179"/>
    <mergeCell ref="C181:O181"/>
    <mergeCell ref="P181:AM181"/>
    <mergeCell ref="D182:T182"/>
    <mergeCell ref="X182:AM182"/>
    <mergeCell ref="C183:S183"/>
    <mergeCell ref="W183:AL183"/>
    <mergeCell ref="C186:U186"/>
    <mergeCell ref="V186:AM186"/>
    <mergeCell ref="D187:J187"/>
    <mergeCell ref="N187:T187"/>
    <mergeCell ref="X187:AD187"/>
    <mergeCell ref="AH187:AM187"/>
    <mergeCell ref="C188:I188"/>
    <mergeCell ref="M188:S188"/>
    <mergeCell ref="W188:AC188"/>
    <mergeCell ref="AG188:AL188"/>
    <mergeCell ref="C191:U191"/>
    <mergeCell ref="V191:AM191"/>
    <mergeCell ref="D192:H192"/>
    <mergeCell ref="L192:P192"/>
    <mergeCell ref="T192:X192"/>
    <mergeCell ref="AB192:AF192"/>
    <mergeCell ref="AJ192:AM192"/>
    <mergeCell ref="C193:G193"/>
    <mergeCell ref="K193:O193"/>
    <mergeCell ref="S193:W193"/>
    <mergeCell ref="AA193:AE193"/>
    <mergeCell ref="AI193:AL193"/>
    <mergeCell ref="C196:Q196"/>
    <mergeCell ref="R196:AM196"/>
    <mergeCell ref="B197:AM197"/>
    <mergeCell ref="B198:AM198"/>
    <mergeCell ref="B199:AM199"/>
    <mergeCell ref="B202:K202"/>
    <mergeCell ref="L202:S202"/>
    <mergeCell ref="U202:AE202"/>
    <mergeCell ref="AF202:AM202"/>
    <mergeCell ref="B204:S204"/>
    <mergeCell ref="T204:AM204"/>
    <mergeCell ref="C206:AA206"/>
    <mergeCell ref="AE206:AK206"/>
    <mergeCell ref="C207:AA207"/>
    <mergeCell ref="AB207:AK207"/>
    <mergeCell ref="C208:AA208"/>
    <mergeCell ref="B212:N212"/>
    <mergeCell ref="P212:AA212"/>
    <mergeCell ref="AC212:AM212"/>
    <mergeCell ref="B213:N213"/>
    <mergeCell ref="P213:AA213"/>
    <mergeCell ref="AC213:AM213"/>
    <mergeCell ref="C215:O215"/>
    <mergeCell ref="P215:AM215"/>
    <mergeCell ref="D216:T216"/>
    <mergeCell ref="X216:AM216"/>
    <mergeCell ref="C217:S217"/>
    <mergeCell ref="W217:AL217"/>
    <mergeCell ref="C220:U220"/>
    <mergeCell ref="V220:AM220"/>
    <mergeCell ref="D221:J221"/>
    <mergeCell ref="N221:T221"/>
    <mergeCell ref="X221:AD221"/>
    <mergeCell ref="AH221:AM221"/>
    <mergeCell ref="C222:I222"/>
    <mergeCell ref="M222:S222"/>
    <mergeCell ref="W222:AC222"/>
    <mergeCell ref="AG222:AL222"/>
    <mergeCell ref="C225:U225"/>
    <mergeCell ref="V225:AM225"/>
    <mergeCell ref="D226:H226"/>
    <mergeCell ref="L226:P226"/>
    <mergeCell ref="T226:X226"/>
    <mergeCell ref="AB226:AF226"/>
    <mergeCell ref="AJ226:AM226"/>
    <mergeCell ref="C227:G227"/>
    <mergeCell ref="K227:O227"/>
    <mergeCell ref="S227:W227"/>
    <mergeCell ref="AA227:AE227"/>
    <mergeCell ref="AI227:AL227"/>
    <mergeCell ref="C230:Q230"/>
    <mergeCell ref="R230:AM230"/>
    <mergeCell ref="B231:AM231"/>
    <mergeCell ref="B232:AM232"/>
    <mergeCell ref="B233:AM233"/>
    <mergeCell ref="B236:K236"/>
    <mergeCell ref="L236:S236"/>
    <mergeCell ref="U236:AE236"/>
    <mergeCell ref="AF236:AM236"/>
    <mergeCell ref="B238:S238"/>
    <mergeCell ref="T238:AM238"/>
    <mergeCell ref="C240:AA240"/>
    <mergeCell ref="AE240:AK240"/>
    <mergeCell ref="C241:AA241"/>
    <mergeCell ref="AB241:AK241"/>
    <mergeCell ref="C242:AA242"/>
    <mergeCell ref="B246:N246"/>
    <mergeCell ref="P246:AA246"/>
    <mergeCell ref="AC246:AM246"/>
    <mergeCell ref="B247:N247"/>
    <mergeCell ref="P247:AA247"/>
    <mergeCell ref="AC247:AM247"/>
    <mergeCell ref="C249:O249"/>
    <mergeCell ref="P249:AM249"/>
    <mergeCell ref="D250:T250"/>
    <mergeCell ref="X250:AM250"/>
    <mergeCell ref="C251:S251"/>
    <mergeCell ref="W251:AL251"/>
    <mergeCell ref="C254:U254"/>
    <mergeCell ref="V254:AM254"/>
    <mergeCell ref="D255:J255"/>
    <mergeCell ref="N255:T255"/>
    <mergeCell ref="X255:AD255"/>
    <mergeCell ref="AH255:AM255"/>
    <mergeCell ref="C256:I256"/>
    <mergeCell ref="M256:S256"/>
    <mergeCell ref="W256:AC256"/>
    <mergeCell ref="AG256:AL256"/>
    <mergeCell ref="C259:U259"/>
    <mergeCell ref="V259:AM259"/>
    <mergeCell ref="D260:H260"/>
    <mergeCell ref="L260:P260"/>
    <mergeCell ref="T260:X260"/>
    <mergeCell ref="AB260:AF260"/>
    <mergeCell ref="AJ260:AM260"/>
    <mergeCell ref="C261:G261"/>
    <mergeCell ref="K261:O261"/>
    <mergeCell ref="S261:W261"/>
    <mergeCell ref="AA261:AE261"/>
    <mergeCell ref="AI261:AL261"/>
    <mergeCell ref="C264:Q264"/>
    <mergeCell ref="R264:AM264"/>
    <mergeCell ref="B265:AM265"/>
    <mergeCell ref="B266:AM266"/>
    <mergeCell ref="B267:AM267"/>
    <mergeCell ref="B270:K270"/>
    <mergeCell ref="L270:S270"/>
    <mergeCell ref="U270:AE270"/>
    <mergeCell ref="AF270:AM270"/>
    <mergeCell ref="B272:S272"/>
    <mergeCell ref="T272:AM272"/>
    <mergeCell ref="C274:AA274"/>
    <mergeCell ref="AE274:AK274"/>
    <mergeCell ref="C275:AA275"/>
    <mergeCell ref="AB275:AK275"/>
    <mergeCell ref="C276:AA276"/>
    <mergeCell ref="B280:N280"/>
    <mergeCell ref="P280:AA280"/>
    <mergeCell ref="AC280:AM280"/>
    <mergeCell ref="B281:N281"/>
    <mergeCell ref="P281:AA281"/>
    <mergeCell ref="AC281:AM281"/>
    <mergeCell ref="C283:O283"/>
    <mergeCell ref="P283:AM283"/>
    <mergeCell ref="D284:T284"/>
    <mergeCell ref="X284:AM284"/>
    <mergeCell ref="C285:S285"/>
    <mergeCell ref="W285:AL285"/>
    <mergeCell ref="C288:U288"/>
    <mergeCell ref="V288:AM288"/>
    <mergeCell ref="D289:J289"/>
    <mergeCell ref="N289:T289"/>
    <mergeCell ref="X289:AD289"/>
    <mergeCell ref="AH289:AM289"/>
    <mergeCell ref="C290:I290"/>
    <mergeCell ref="M290:S290"/>
    <mergeCell ref="W290:AC290"/>
    <mergeCell ref="AG290:AL290"/>
    <mergeCell ref="C293:U293"/>
    <mergeCell ref="V293:AM293"/>
    <mergeCell ref="D294:H294"/>
    <mergeCell ref="L294:P294"/>
    <mergeCell ref="T294:X294"/>
    <mergeCell ref="AB294:AF294"/>
    <mergeCell ref="AJ294:AM294"/>
    <mergeCell ref="C295:G295"/>
    <mergeCell ref="K295:O295"/>
    <mergeCell ref="S295:W295"/>
    <mergeCell ref="AA295:AE295"/>
    <mergeCell ref="AI295:AL295"/>
    <mergeCell ref="C298:Q298"/>
    <mergeCell ref="R298:AM298"/>
    <mergeCell ref="B299:AM299"/>
    <mergeCell ref="B300:AM300"/>
    <mergeCell ref="B301:AM301"/>
    <mergeCell ref="B304:K304"/>
    <mergeCell ref="L304:S304"/>
    <mergeCell ref="U304:AE304"/>
    <mergeCell ref="AF304:AM304"/>
    <mergeCell ref="B306:S306"/>
    <mergeCell ref="T306:AM306"/>
    <mergeCell ref="C308:AA308"/>
    <mergeCell ref="AE308:AK308"/>
    <mergeCell ref="C309:AA309"/>
    <mergeCell ref="AB309:AK309"/>
    <mergeCell ref="C310:AA310"/>
    <mergeCell ref="B314:N314"/>
    <mergeCell ref="P314:AA314"/>
    <mergeCell ref="AC314:AM314"/>
    <mergeCell ref="B315:N315"/>
    <mergeCell ref="P315:AA315"/>
    <mergeCell ref="AC315:AM315"/>
    <mergeCell ref="C317:O317"/>
    <mergeCell ref="P317:AM317"/>
    <mergeCell ref="D318:T318"/>
    <mergeCell ref="X318:AM318"/>
    <mergeCell ref="C319:S319"/>
    <mergeCell ref="W319:AL319"/>
    <mergeCell ref="C322:U322"/>
    <mergeCell ref="V322:AM322"/>
    <mergeCell ref="D323:J323"/>
    <mergeCell ref="N323:T323"/>
    <mergeCell ref="X323:AD323"/>
    <mergeCell ref="AH323:AM323"/>
    <mergeCell ref="C324:I324"/>
    <mergeCell ref="M324:S324"/>
    <mergeCell ref="W324:AC324"/>
    <mergeCell ref="AG324:AL324"/>
    <mergeCell ref="C327:U327"/>
    <mergeCell ref="V327:AM327"/>
    <mergeCell ref="D328:H328"/>
    <mergeCell ref="L328:P328"/>
    <mergeCell ref="T328:X328"/>
    <mergeCell ref="AB328:AF328"/>
    <mergeCell ref="AJ328:AM328"/>
    <mergeCell ref="C329:G329"/>
    <mergeCell ref="K329:O329"/>
    <mergeCell ref="S329:W329"/>
    <mergeCell ref="AA329:AE329"/>
    <mergeCell ref="AI329:AL329"/>
    <mergeCell ref="C332:Q332"/>
    <mergeCell ref="R332:AM332"/>
    <mergeCell ref="B333:AM333"/>
    <mergeCell ref="B334:AM334"/>
    <mergeCell ref="B335:AM335"/>
    <mergeCell ref="B338:K338"/>
    <mergeCell ref="L338:S338"/>
    <mergeCell ref="U338:AE338"/>
    <mergeCell ref="AF338:AM338"/>
    <mergeCell ref="B340:S340"/>
    <mergeCell ref="T340:AM340"/>
    <mergeCell ref="C342:AA342"/>
    <mergeCell ref="AE342:AK342"/>
    <mergeCell ref="C343:AA343"/>
    <mergeCell ref="AB343:AK343"/>
    <mergeCell ref="C344:AA344"/>
    <mergeCell ref="B348:N348"/>
    <mergeCell ref="P348:AA348"/>
    <mergeCell ref="AC348:AM348"/>
    <mergeCell ref="B349:N349"/>
    <mergeCell ref="P349:AA349"/>
    <mergeCell ref="AC349:AM349"/>
    <mergeCell ref="C351:O351"/>
    <mergeCell ref="P351:AM351"/>
    <mergeCell ref="D352:T352"/>
    <mergeCell ref="X352:AM352"/>
    <mergeCell ref="C353:S353"/>
    <mergeCell ref="W353:AL353"/>
    <mergeCell ref="C356:U356"/>
    <mergeCell ref="V356:AM356"/>
    <mergeCell ref="D357:J357"/>
    <mergeCell ref="N357:T357"/>
    <mergeCell ref="X357:AD357"/>
    <mergeCell ref="AH357:AM357"/>
    <mergeCell ref="C358:I358"/>
    <mergeCell ref="M358:S358"/>
    <mergeCell ref="W358:AC358"/>
    <mergeCell ref="AG358:AL358"/>
    <mergeCell ref="C361:U361"/>
    <mergeCell ref="V361:AM361"/>
    <mergeCell ref="D362:H362"/>
    <mergeCell ref="L362:P362"/>
    <mergeCell ref="T362:X362"/>
    <mergeCell ref="AB362:AF362"/>
    <mergeCell ref="AJ362:AM362"/>
    <mergeCell ref="C363:G363"/>
    <mergeCell ref="K363:O363"/>
    <mergeCell ref="S363:W363"/>
    <mergeCell ref="AA363:AE363"/>
    <mergeCell ref="AI363:AL363"/>
    <mergeCell ref="C366:Q366"/>
    <mergeCell ref="R366:AM366"/>
    <mergeCell ref="B367:AM367"/>
    <mergeCell ref="B368:AM368"/>
    <mergeCell ref="B369:AM369"/>
    <mergeCell ref="B372:K372"/>
    <mergeCell ref="L372:S372"/>
    <mergeCell ref="U372:AE372"/>
    <mergeCell ref="AF372:AM372"/>
    <mergeCell ref="B374:S374"/>
    <mergeCell ref="T374:AM374"/>
    <mergeCell ref="C376:AA376"/>
    <mergeCell ref="AE376:AK376"/>
    <mergeCell ref="C377:AA377"/>
    <mergeCell ref="AB377:AK377"/>
    <mergeCell ref="C378:AA378"/>
    <mergeCell ref="B382:N382"/>
    <mergeCell ref="P382:AA382"/>
    <mergeCell ref="AC382:AM382"/>
    <mergeCell ref="B383:N383"/>
    <mergeCell ref="P383:AA383"/>
    <mergeCell ref="AC383:AM383"/>
    <mergeCell ref="C385:O385"/>
    <mergeCell ref="P385:AM385"/>
    <mergeCell ref="D386:T386"/>
    <mergeCell ref="X386:AM386"/>
    <mergeCell ref="C387:S387"/>
    <mergeCell ref="W387:AL387"/>
    <mergeCell ref="C390:U390"/>
    <mergeCell ref="V390:AM390"/>
    <mergeCell ref="D391:J391"/>
    <mergeCell ref="N391:T391"/>
    <mergeCell ref="X391:AD391"/>
    <mergeCell ref="AH391:AM391"/>
    <mergeCell ref="C392:I392"/>
    <mergeCell ref="M392:S392"/>
    <mergeCell ref="W392:AC392"/>
    <mergeCell ref="AG392:AL392"/>
    <mergeCell ref="C395:U395"/>
    <mergeCell ref="V395:AM395"/>
    <mergeCell ref="D396:H396"/>
    <mergeCell ref="L396:P396"/>
    <mergeCell ref="T396:X396"/>
    <mergeCell ref="AB396:AF396"/>
    <mergeCell ref="AJ396:AM396"/>
    <mergeCell ref="C397:G397"/>
    <mergeCell ref="K397:O397"/>
    <mergeCell ref="S397:W397"/>
    <mergeCell ref="AA397:AE397"/>
    <mergeCell ref="AI397:AL397"/>
    <mergeCell ref="C400:Q400"/>
    <mergeCell ref="R400:AM400"/>
    <mergeCell ref="B401:AM401"/>
    <mergeCell ref="B402:AM402"/>
    <mergeCell ref="B403:AM403"/>
    <mergeCell ref="B406:K406"/>
    <mergeCell ref="L406:S406"/>
    <mergeCell ref="U406:AE406"/>
    <mergeCell ref="AF406:AM406"/>
    <mergeCell ref="B408:S408"/>
    <mergeCell ref="T408:AM408"/>
    <mergeCell ref="C410:AA410"/>
    <mergeCell ref="AE410:AK410"/>
    <mergeCell ref="C411:AA411"/>
    <mergeCell ref="AB411:AK411"/>
    <mergeCell ref="C412:AA412"/>
    <mergeCell ref="B416:N416"/>
    <mergeCell ref="P416:AA416"/>
    <mergeCell ref="AC416:AM416"/>
    <mergeCell ref="B417:N417"/>
    <mergeCell ref="P417:AA417"/>
    <mergeCell ref="AC417:AM417"/>
    <mergeCell ref="C419:O419"/>
    <mergeCell ref="P419:AM419"/>
    <mergeCell ref="D420:T420"/>
    <mergeCell ref="X420:AM420"/>
    <mergeCell ref="C421:S421"/>
    <mergeCell ref="W421:AL421"/>
    <mergeCell ref="C424:U424"/>
    <mergeCell ref="V424:AM424"/>
    <mergeCell ref="D425:J425"/>
    <mergeCell ref="N425:T425"/>
    <mergeCell ref="X425:AD425"/>
    <mergeCell ref="AH425:AM425"/>
    <mergeCell ref="C426:I426"/>
    <mergeCell ref="M426:S426"/>
    <mergeCell ref="W426:AC426"/>
    <mergeCell ref="AG426:AL426"/>
    <mergeCell ref="C429:U429"/>
    <mergeCell ref="V429:AM429"/>
    <mergeCell ref="D430:H430"/>
    <mergeCell ref="L430:P430"/>
    <mergeCell ref="T430:X430"/>
    <mergeCell ref="AB430:AF430"/>
    <mergeCell ref="AJ430:AM430"/>
    <mergeCell ref="C431:G431"/>
    <mergeCell ref="K431:O431"/>
    <mergeCell ref="S431:W431"/>
    <mergeCell ref="AA431:AE431"/>
    <mergeCell ref="AI431:AL431"/>
    <mergeCell ref="C434:Q434"/>
    <mergeCell ref="R434:AM434"/>
    <mergeCell ref="B435:AM435"/>
    <mergeCell ref="B436:AM436"/>
    <mergeCell ref="B437:AM437"/>
    <mergeCell ref="B440:K440"/>
    <mergeCell ref="L440:S440"/>
    <mergeCell ref="U440:AE440"/>
    <mergeCell ref="AF440:AM440"/>
    <mergeCell ref="B442:S442"/>
    <mergeCell ref="T442:AM442"/>
    <mergeCell ref="C444:AA444"/>
    <mergeCell ref="AE444:AK444"/>
    <mergeCell ref="C445:AA445"/>
    <mergeCell ref="AB445:AK445"/>
    <mergeCell ref="C446:AA446"/>
    <mergeCell ref="B450:N450"/>
    <mergeCell ref="P450:AA450"/>
    <mergeCell ref="AC450:AM450"/>
    <mergeCell ref="B451:N451"/>
    <mergeCell ref="P451:AA451"/>
    <mergeCell ref="AC451:AM451"/>
    <mergeCell ref="C453:O453"/>
    <mergeCell ref="P453:AM453"/>
    <mergeCell ref="D454:T454"/>
    <mergeCell ref="X454:AM454"/>
    <mergeCell ref="C455:S455"/>
    <mergeCell ref="W455:AL455"/>
    <mergeCell ref="C458:U458"/>
    <mergeCell ref="V458:AM458"/>
    <mergeCell ref="D459:J459"/>
    <mergeCell ref="N459:T459"/>
    <mergeCell ref="X459:AD459"/>
    <mergeCell ref="AH459:AM459"/>
    <mergeCell ref="C460:I460"/>
    <mergeCell ref="M460:S460"/>
    <mergeCell ref="W460:AC460"/>
    <mergeCell ref="AG460:AL460"/>
    <mergeCell ref="C463:U463"/>
    <mergeCell ref="V463:AM463"/>
    <mergeCell ref="D464:H464"/>
    <mergeCell ref="L464:P464"/>
    <mergeCell ref="T464:X464"/>
    <mergeCell ref="AB464:AF464"/>
    <mergeCell ref="AJ464:AM464"/>
    <mergeCell ref="C465:G465"/>
    <mergeCell ref="K465:O465"/>
    <mergeCell ref="S465:W465"/>
    <mergeCell ref="AA465:AE465"/>
    <mergeCell ref="AI465:AL465"/>
    <mergeCell ref="C468:Q468"/>
    <mergeCell ref="R468:AM468"/>
    <mergeCell ref="B469:AM469"/>
    <mergeCell ref="B470:AM470"/>
    <mergeCell ref="B471:AM471"/>
    <mergeCell ref="B474:K474"/>
    <mergeCell ref="L474:S474"/>
    <mergeCell ref="U474:AE474"/>
    <mergeCell ref="AF474:AM474"/>
    <mergeCell ref="B476:S476"/>
    <mergeCell ref="T476:AM476"/>
    <mergeCell ref="C478:AA478"/>
    <mergeCell ref="AE478:AK478"/>
    <mergeCell ref="C479:AA479"/>
    <mergeCell ref="AB479:AK479"/>
    <mergeCell ref="C480:AA480"/>
    <mergeCell ref="B484:N484"/>
    <mergeCell ref="P484:AA484"/>
    <mergeCell ref="AC484:AM484"/>
    <mergeCell ref="B485:N485"/>
    <mergeCell ref="P485:AA485"/>
    <mergeCell ref="AC485:AM485"/>
    <mergeCell ref="C487:O487"/>
    <mergeCell ref="P487:AM487"/>
    <mergeCell ref="D488:T488"/>
    <mergeCell ref="X488:AM488"/>
    <mergeCell ref="C489:S489"/>
    <mergeCell ref="W489:AL489"/>
    <mergeCell ref="C492:U492"/>
    <mergeCell ref="V492:AM492"/>
    <mergeCell ref="D493:J493"/>
    <mergeCell ref="N493:T493"/>
    <mergeCell ref="X493:AD493"/>
    <mergeCell ref="AH493:AM493"/>
    <mergeCell ref="C494:I494"/>
    <mergeCell ref="M494:S494"/>
    <mergeCell ref="W494:AC494"/>
    <mergeCell ref="AG494:AL494"/>
    <mergeCell ref="C497:U497"/>
    <mergeCell ref="V497:AM497"/>
    <mergeCell ref="D498:H498"/>
    <mergeCell ref="L498:P498"/>
    <mergeCell ref="T498:X498"/>
    <mergeCell ref="AB498:AF498"/>
    <mergeCell ref="AJ498:AM498"/>
    <mergeCell ref="C499:G499"/>
    <mergeCell ref="K499:O499"/>
    <mergeCell ref="S499:W499"/>
    <mergeCell ref="AA499:AE499"/>
    <mergeCell ref="AI499:AL499"/>
    <mergeCell ref="C502:Q502"/>
    <mergeCell ref="R502:AM502"/>
    <mergeCell ref="B503:AM503"/>
    <mergeCell ref="B504:AM504"/>
    <mergeCell ref="B505:AM505"/>
    <mergeCell ref="B508:K508"/>
    <mergeCell ref="L508:S508"/>
    <mergeCell ref="U508:AE508"/>
    <mergeCell ref="AF508:AM508"/>
    <mergeCell ref="B510:S510"/>
    <mergeCell ref="T510:AM510"/>
    <mergeCell ref="C512:AA512"/>
    <mergeCell ref="AE512:AK512"/>
    <mergeCell ref="C513:AA513"/>
    <mergeCell ref="AB513:AK513"/>
    <mergeCell ref="C514:AA514"/>
    <mergeCell ref="B518:N518"/>
    <mergeCell ref="P518:AA518"/>
    <mergeCell ref="AC518:AM518"/>
    <mergeCell ref="B519:N519"/>
    <mergeCell ref="P519:AA519"/>
    <mergeCell ref="AC519:AM519"/>
    <mergeCell ref="C521:O521"/>
    <mergeCell ref="P521:AM521"/>
    <mergeCell ref="D522:T522"/>
    <mergeCell ref="X522:AM522"/>
    <mergeCell ref="C523:S523"/>
    <mergeCell ref="W523:AL523"/>
    <mergeCell ref="C526:U526"/>
    <mergeCell ref="V526:AM526"/>
    <mergeCell ref="D527:J527"/>
    <mergeCell ref="N527:T527"/>
    <mergeCell ref="X527:AD527"/>
    <mergeCell ref="AH527:AM527"/>
    <mergeCell ref="C528:I528"/>
    <mergeCell ref="M528:S528"/>
    <mergeCell ref="W528:AC528"/>
    <mergeCell ref="AG528:AL528"/>
    <mergeCell ref="C531:U531"/>
    <mergeCell ref="V531:AM531"/>
    <mergeCell ref="D532:H532"/>
    <mergeCell ref="L532:P532"/>
    <mergeCell ref="T532:X532"/>
    <mergeCell ref="AB532:AF532"/>
    <mergeCell ref="AJ532:AM532"/>
    <mergeCell ref="C533:G533"/>
    <mergeCell ref="K533:O533"/>
    <mergeCell ref="S533:W533"/>
    <mergeCell ref="AA533:AE533"/>
    <mergeCell ref="AI533:AL533"/>
    <mergeCell ref="C536:Q536"/>
    <mergeCell ref="R536:AM536"/>
    <mergeCell ref="B537:AM537"/>
    <mergeCell ref="B538:AM538"/>
    <mergeCell ref="B539:AM539"/>
    <mergeCell ref="B542:K542"/>
    <mergeCell ref="L542:S542"/>
    <mergeCell ref="U542:AE542"/>
    <mergeCell ref="AF542:AM542"/>
    <mergeCell ref="B544:S544"/>
    <mergeCell ref="T544:AM544"/>
    <mergeCell ref="C546:AA546"/>
    <mergeCell ref="AE546:AK546"/>
    <mergeCell ref="C547:AA547"/>
    <mergeCell ref="AB547:AK547"/>
    <mergeCell ref="C548:AA548"/>
    <mergeCell ref="B552:N552"/>
    <mergeCell ref="P552:AA552"/>
    <mergeCell ref="AC552:AM552"/>
    <mergeCell ref="B553:N553"/>
    <mergeCell ref="P553:AA553"/>
    <mergeCell ref="AC553:AM553"/>
    <mergeCell ref="C555:O555"/>
    <mergeCell ref="P555:AM555"/>
    <mergeCell ref="D556:T556"/>
    <mergeCell ref="X556:AM556"/>
    <mergeCell ref="C557:S557"/>
    <mergeCell ref="W557:AL557"/>
    <mergeCell ref="C560:U560"/>
    <mergeCell ref="V560:AM560"/>
    <mergeCell ref="D561:J561"/>
    <mergeCell ref="N561:T561"/>
    <mergeCell ref="X561:AD561"/>
    <mergeCell ref="AH561:AM561"/>
    <mergeCell ref="C562:I562"/>
    <mergeCell ref="M562:S562"/>
    <mergeCell ref="W562:AC562"/>
    <mergeCell ref="AG562:AL562"/>
    <mergeCell ref="C565:U565"/>
    <mergeCell ref="V565:AM565"/>
    <mergeCell ref="D566:H566"/>
    <mergeCell ref="L566:P566"/>
    <mergeCell ref="T566:X566"/>
    <mergeCell ref="AB566:AF566"/>
    <mergeCell ref="AJ566:AM566"/>
    <mergeCell ref="C567:G567"/>
    <mergeCell ref="K567:O567"/>
    <mergeCell ref="S567:W567"/>
    <mergeCell ref="AA567:AE567"/>
    <mergeCell ref="AI567:AL567"/>
    <mergeCell ref="C570:Q570"/>
    <mergeCell ref="R570:AM570"/>
    <mergeCell ref="B571:AM571"/>
    <mergeCell ref="B572:AM572"/>
    <mergeCell ref="B573:AM573"/>
    <mergeCell ref="B576:K576"/>
    <mergeCell ref="L576:S576"/>
    <mergeCell ref="U576:AE576"/>
    <mergeCell ref="AF576:AM576"/>
    <mergeCell ref="B578:S578"/>
    <mergeCell ref="T578:AM578"/>
    <mergeCell ref="C580:AA580"/>
    <mergeCell ref="AE580:AK580"/>
    <mergeCell ref="C581:AA581"/>
    <mergeCell ref="AB581:AK581"/>
    <mergeCell ref="C582:AA582"/>
    <mergeCell ref="B586:N586"/>
    <mergeCell ref="P586:AA586"/>
    <mergeCell ref="AC586:AM586"/>
    <mergeCell ref="B587:N587"/>
    <mergeCell ref="P587:AA587"/>
    <mergeCell ref="AC587:AM587"/>
    <mergeCell ref="C589:O589"/>
    <mergeCell ref="P589:AM589"/>
    <mergeCell ref="D590:T590"/>
    <mergeCell ref="X590:AM590"/>
    <mergeCell ref="C591:S591"/>
    <mergeCell ref="W591:AL591"/>
    <mergeCell ref="C594:U594"/>
    <mergeCell ref="V594:AM594"/>
    <mergeCell ref="D595:J595"/>
    <mergeCell ref="N595:T595"/>
    <mergeCell ref="X595:AD595"/>
    <mergeCell ref="AH595:AM595"/>
    <mergeCell ref="C596:I596"/>
    <mergeCell ref="M596:S596"/>
    <mergeCell ref="W596:AC596"/>
    <mergeCell ref="AG596:AL596"/>
    <mergeCell ref="C599:U599"/>
    <mergeCell ref="V599:AM599"/>
    <mergeCell ref="D600:H600"/>
    <mergeCell ref="L600:P600"/>
    <mergeCell ref="T600:X600"/>
    <mergeCell ref="AB600:AF600"/>
    <mergeCell ref="AJ600:AM600"/>
    <mergeCell ref="C601:G601"/>
    <mergeCell ref="K601:O601"/>
    <mergeCell ref="S601:W601"/>
    <mergeCell ref="AA601:AE601"/>
    <mergeCell ref="AI601:AL601"/>
    <mergeCell ref="C604:Q604"/>
    <mergeCell ref="R604:AM604"/>
    <mergeCell ref="B605:AM605"/>
    <mergeCell ref="B606:AM606"/>
    <mergeCell ref="B607:AM607"/>
    <mergeCell ref="B610:K610"/>
    <mergeCell ref="L610:S610"/>
    <mergeCell ref="U610:AE610"/>
    <mergeCell ref="AF610:AM610"/>
    <mergeCell ref="B612:S612"/>
    <mergeCell ref="T612:AM612"/>
    <mergeCell ref="C614:AA614"/>
    <mergeCell ref="AE614:AK614"/>
    <mergeCell ref="C615:AA615"/>
    <mergeCell ref="AB615:AK615"/>
    <mergeCell ref="C616:AA616"/>
    <mergeCell ref="B620:N620"/>
    <mergeCell ref="P620:AA620"/>
    <mergeCell ref="AC620:AM620"/>
    <mergeCell ref="B621:N621"/>
    <mergeCell ref="P621:AA621"/>
    <mergeCell ref="AC621:AM621"/>
    <mergeCell ref="C623:O623"/>
    <mergeCell ref="P623:AM623"/>
    <mergeCell ref="D624:T624"/>
    <mergeCell ref="X624:AM624"/>
    <mergeCell ref="C625:S625"/>
    <mergeCell ref="W625:AL625"/>
    <mergeCell ref="C628:U628"/>
    <mergeCell ref="V628:AM628"/>
    <mergeCell ref="D629:J629"/>
    <mergeCell ref="N629:T629"/>
    <mergeCell ref="X629:AD629"/>
    <mergeCell ref="AH629:AM629"/>
    <mergeCell ref="C630:I630"/>
    <mergeCell ref="M630:S630"/>
    <mergeCell ref="W630:AC630"/>
    <mergeCell ref="AG630:AL630"/>
    <mergeCell ref="C633:U633"/>
    <mergeCell ref="V633:AM633"/>
    <mergeCell ref="D634:H634"/>
    <mergeCell ref="L634:P634"/>
    <mergeCell ref="T634:X634"/>
    <mergeCell ref="AB634:AF634"/>
    <mergeCell ref="AJ634:AM634"/>
    <mergeCell ref="C635:G635"/>
    <mergeCell ref="K635:O635"/>
    <mergeCell ref="S635:W635"/>
    <mergeCell ref="AA635:AE635"/>
    <mergeCell ref="AI635:AL635"/>
    <mergeCell ref="C638:Q638"/>
    <mergeCell ref="R638:AM638"/>
    <mergeCell ref="B639:AM639"/>
    <mergeCell ref="B640:AM640"/>
    <mergeCell ref="B641:AM641"/>
    <mergeCell ref="B644:K644"/>
    <mergeCell ref="L644:S644"/>
    <mergeCell ref="U644:AE644"/>
    <mergeCell ref="AF644:AM644"/>
    <mergeCell ref="B646:S646"/>
    <mergeCell ref="T646:AM646"/>
    <mergeCell ref="C648:AA648"/>
    <mergeCell ref="AE648:AK648"/>
    <mergeCell ref="C649:AA649"/>
    <mergeCell ref="AB649:AK649"/>
    <mergeCell ref="C650:AA650"/>
    <mergeCell ref="B654:N654"/>
    <mergeCell ref="P654:AA654"/>
    <mergeCell ref="AC654:AM654"/>
    <mergeCell ref="B655:N655"/>
    <mergeCell ref="P655:AA655"/>
    <mergeCell ref="AC655:AM655"/>
    <mergeCell ref="C657:O657"/>
    <mergeCell ref="P657:AM657"/>
    <mergeCell ref="D658:T658"/>
    <mergeCell ref="X658:AM658"/>
    <mergeCell ref="C659:S659"/>
    <mergeCell ref="W659:AL659"/>
    <mergeCell ref="C662:U662"/>
    <mergeCell ref="V662:AM662"/>
    <mergeCell ref="D663:J663"/>
    <mergeCell ref="N663:T663"/>
    <mergeCell ref="X663:AD663"/>
    <mergeCell ref="AH663:AM663"/>
    <mergeCell ref="C664:I664"/>
    <mergeCell ref="M664:S664"/>
    <mergeCell ref="W664:AC664"/>
    <mergeCell ref="AG664:AL664"/>
    <mergeCell ref="C667:U667"/>
    <mergeCell ref="V667:AM667"/>
    <mergeCell ref="D668:H668"/>
    <mergeCell ref="L668:P668"/>
    <mergeCell ref="T668:X668"/>
    <mergeCell ref="AB668:AF668"/>
    <mergeCell ref="AJ668:AM668"/>
    <mergeCell ref="C669:G669"/>
    <mergeCell ref="K669:O669"/>
    <mergeCell ref="S669:W669"/>
    <mergeCell ref="AA669:AE669"/>
    <mergeCell ref="AI669:AL669"/>
    <mergeCell ref="C672:Q672"/>
    <mergeCell ref="R672:AM672"/>
    <mergeCell ref="B673:AM673"/>
    <mergeCell ref="B674:AM674"/>
    <mergeCell ref="B675:AM675"/>
    <mergeCell ref="B678:K678"/>
    <mergeCell ref="L678:S678"/>
    <mergeCell ref="U678:AE678"/>
    <mergeCell ref="AF678:AM678"/>
    <mergeCell ref="B680:S680"/>
    <mergeCell ref="T680:AM680"/>
    <mergeCell ref="C682:AA682"/>
    <mergeCell ref="AE682:AK682"/>
    <mergeCell ref="C683:AA683"/>
    <mergeCell ref="AB683:AK683"/>
    <mergeCell ref="C684:AA684"/>
    <mergeCell ref="B688:N688"/>
    <mergeCell ref="P688:AA688"/>
    <mergeCell ref="AC688:AM688"/>
    <mergeCell ref="B689:N689"/>
    <mergeCell ref="P689:AA689"/>
    <mergeCell ref="AC689:AM689"/>
    <mergeCell ref="C691:O691"/>
    <mergeCell ref="P691:AM691"/>
    <mergeCell ref="D692:T692"/>
    <mergeCell ref="X692:AM692"/>
    <mergeCell ref="C693:S693"/>
    <mergeCell ref="W693:AL693"/>
    <mergeCell ref="C696:U696"/>
    <mergeCell ref="V696:AM696"/>
    <mergeCell ref="D697:J697"/>
    <mergeCell ref="N697:T697"/>
    <mergeCell ref="X697:AD697"/>
    <mergeCell ref="AH697:AM697"/>
    <mergeCell ref="C698:I698"/>
    <mergeCell ref="M698:S698"/>
    <mergeCell ref="W698:AC698"/>
    <mergeCell ref="AG698:AL698"/>
    <mergeCell ref="C701:U701"/>
    <mergeCell ref="V701:AM701"/>
    <mergeCell ref="D702:H702"/>
    <mergeCell ref="L702:P702"/>
    <mergeCell ref="T702:X702"/>
    <mergeCell ref="AB702:AF702"/>
    <mergeCell ref="AJ702:AM702"/>
    <mergeCell ref="C703:G703"/>
    <mergeCell ref="K703:O703"/>
    <mergeCell ref="S703:W703"/>
    <mergeCell ref="AA703:AE703"/>
    <mergeCell ref="AI703:AL703"/>
    <mergeCell ref="C706:Q706"/>
    <mergeCell ref="R706:AM706"/>
    <mergeCell ref="B707:AM707"/>
    <mergeCell ref="B708:AM708"/>
    <mergeCell ref="B709:AM709"/>
    <mergeCell ref="B712:K712"/>
    <mergeCell ref="L712:S712"/>
    <mergeCell ref="U712:AE712"/>
    <mergeCell ref="AF712:AM712"/>
    <mergeCell ref="B714:S714"/>
    <mergeCell ref="T714:AM714"/>
    <mergeCell ref="C716:AA716"/>
    <mergeCell ref="AE716:AK716"/>
    <mergeCell ref="C717:AA717"/>
    <mergeCell ref="AB717:AK717"/>
    <mergeCell ref="C718:AA718"/>
    <mergeCell ref="B722:N722"/>
    <mergeCell ref="P722:AA722"/>
    <mergeCell ref="AC722:AM722"/>
    <mergeCell ref="B723:N723"/>
    <mergeCell ref="P723:AA723"/>
    <mergeCell ref="AC723:AM723"/>
    <mergeCell ref="C725:O725"/>
    <mergeCell ref="P725:AM725"/>
    <mergeCell ref="D726:T726"/>
    <mergeCell ref="X726:AM726"/>
    <mergeCell ref="C727:S727"/>
    <mergeCell ref="W727:AL727"/>
    <mergeCell ref="C730:U730"/>
    <mergeCell ref="V730:AM730"/>
    <mergeCell ref="D731:J731"/>
    <mergeCell ref="N731:T731"/>
    <mergeCell ref="X731:AD731"/>
    <mergeCell ref="AH731:AM731"/>
    <mergeCell ref="C732:I732"/>
    <mergeCell ref="M732:S732"/>
    <mergeCell ref="W732:AC732"/>
    <mergeCell ref="AG732:AL732"/>
    <mergeCell ref="C735:U735"/>
    <mergeCell ref="V735:AM735"/>
    <mergeCell ref="D736:H736"/>
    <mergeCell ref="L736:P736"/>
    <mergeCell ref="T736:X736"/>
    <mergeCell ref="AB736:AF736"/>
    <mergeCell ref="AJ736:AM736"/>
    <mergeCell ref="C737:G737"/>
    <mergeCell ref="K737:O737"/>
    <mergeCell ref="S737:W737"/>
    <mergeCell ref="AA737:AE737"/>
    <mergeCell ref="AI737:AL737"/>
    <mergeCell ref="C740:Q740"/>
    <mergeCell ref="R740:AM740"/>
    <mergeCell ref="B741:AM741"/>
    <mergeCell ref="B742:AM742"/>
    <mergeCell ref="B743:AM743"/>
    <mergeCell ref="B746:K746"/>
    <mergeCell ref="L746:S746"/>
    <mergeCell ref="U746:AE746"/>
    <mergeCell ref="AF746:AM746"/>
    <mergeCell ref="B748:S748"/>
    <mergeCell ref="T748:AM748"/>
    <mergeCell ref="C750:AA750"/>
    <mergeCell ref="AE750:AK750"/>
    <mergeCell ref="C751:AA751"/>
    <mergeCell ref="AB751:AK751"/>
    <mergeCell ref="C752:AA752"/>
    <mergeCell ref="B756:N756"/>
    <mergeCell ref="P756:AA756"/>
    <mergeCell ref="AC756:AM756"/>
    <mergeCell ref="B757:N757"/>
    <mergeCell ref="P757:AA757"/>
    <mergeCell ref="AC757:AM757"/>
    <mergeCell ref="C759:O759"/>
    <mergeCell ref="P759:AM759"/>
    <mergeCell ref="D760:T760"/>
    <mergeCell ref="X760:AM760"/>
    <mergeCell ref="C761:S761"/>
    <mergeCell ref="W761:AL761"/>
    <mergeCell ref="C764:U764"/>
    <mergeCell ref="V764:AM764"/>
    <mergeCell ref="D765:J765"/>
    <mergeCell ref="N765:T765"/>
    <mergeCell ref="X765:AD765"/>
    <mergeCell ref="AH765:AM765"/>
    <mergeCell ref="C766:I766"/>
    <mergeCell ref="M766:S766"/>
    <mergeCell ref="W766:AC766"/>
    <mergeCell ref="AG766:AL766"/>
    <mergeCell ref="C769:U769"/>
    <mergeCell ref="V769:AM769"/>
    <mergeCell ref="D770:H770"/>
    <mergeCell ref="L770:P770"/>
    <mergeCell ref="T770:X770"/>
    <mergeCell ref="AB770:AF770"/>
    <mergeCell ref="AJ770:AM770"/>
    <mergeCell ref="C771:G771"/>
    <mergeCell ref="K771:O771"/>
    <mergeCell ref="S771:W771"/>
    <mergeCell ref="AA771:AE771"/>
    <mergeCell ref="AI771:AL771"/>
    <mergeCell ref="C774:Q774"/>
    <mergeCell ref="R774:AM774"/>
    <mergeCell ref="B775:AM775"/>
    <mergeCell ref="B776:AM776"/>
    <mergeCell ref="B777:AM777"/>
    <mergeCell ref="B780:K780"/>
    <mergeCell ref="L780:S780"/>
    <mergeCell ref="U780:AE780"/>
    <mergeCell ref="AF780:AM780"/>
    <mergeCell ref="B782:S782"/>
    <mergeCell ref="T782:AM782"/>
    <mergeCell ref="C784:AA784"/>
    <mergeCell ref="AE784:AK784"/>
    <mergeCell ref="C785:AA785"/>
    <mergeCell ref="AB785:AK785"/>
    <mergeCell ref="C786:AA786"/>
    <mergeCell ref="B790:N790"/>
    <mergeCell ref="P790:AA790"/>
    <mergeCell ref="AC790:AM790"/>
    <mergeCell ref="B791:N791"/>
    <mergeCell ref="P791:AA791"/>
    <mergeCell ref="AC791:AM791"/>
    <mergeCell ref="C793:O793"/>
    <mergeCell ref="P793:AM793"/>
    <mergeCell ref="D794:T794"/>
    <mergeCell ref="X794:AM794"/>
    <mergeCell ref="C795:S795"/>
    <mergeCell ref="W795:AL795"/>
    <mergeCell ref="C798:U798"/>
    <mergeCell ref="V798:AM798"/>
    <mergeCell ref="D799:J799"/>
    <mergeCell ref="N799:T799"/>
    <mergeCell ref="X799:AD799"/>
    <mergeCell ref="AH799:AM799"/>
    <mergeCell ref="C800:I800"/>
    <mergeCell ref="M800:S800"/>
    <mergeCell ref="W800:AC800"/>
    <mergeCell ref="AG800:AL800"/>
    <mergeCell ref="C803:U803"/>
    <mergeCell ref="V803:AM803"/>
    <mergeCell ref="D804:H804"/>
    <mergeCell ref="L804:P804"/>
    <mergeCell ref="T804:X804"/>
    <mergeCell ref="AB804:AF804"/>
    <mergeCell ref="AJ804:AM804"/>
    <mergeCell ref="C805:G805"/>
    <mergeCell ref="K805:O805"/>
    <mergeCell ref="S805:W805"/>
    <mergeCell ref="AA805:AE805"/>
    <mergeCell ref="AI805:AL805"/>
    <mergeCell ref="C808:Q808"/>
    <mergeCell ref="R808:AM808"/>
    <mergeCell ref="B809:AM809"/>
    <mergeCell ref="B810:AM810"/>
    <mergeCell ref="B811:AM811"/>
    <mergeCell ref="B814:K814"/>
    <mergeCell ref="L814:S814"/>
    <mergeCell ref="U814:AE814"/>
    <mergeCell ref="AF814:AM814"/>
    <mergeCell ref="B816:S816"/>
    <mergeCell ref="T816:AM816"/>
    <mergeCell ref="C818:AA818"/>
    <mergeCell ref="AE818:AK818"/>
    <mergeCell ref="C819:AA819"/>
    <mergeCell ref="AB819:AK819"/>
    <mergeCell ref="C820:AA820"/>
    <mergeCell ref="B824:N824"/>
    <mergeCell ref="P824:AA824"/>
    <mergeCell ref="AC824:AM824"/>
    <mergeCell ref="B825:N825"/>
    <mergeCell ref="P825:AA825"/>
    <mergeCell ref="AC825:AM825"/>
    <mergeCell ref="C827:O827"/>
    <mergeCell ref="P827:AM827"/>
    <mergeCell ref="D828:T828"/>
    <mergeCell ref="X828:AM828"/>
    <mergeCell ref="C829:S829"/>
    <mergeCell ref="W829:AL829"/>
    <mergeCell ref="C832:U832"/>
    <mergeCell ref="V832:AM832"/>
    <mergeCell ref="D833:J833"/>
    <mergeCell ref="N833:T833"/>
    <mergeCell ref="X833:AD833"/>
    <mergeCell ref="AH833:AM833"/>
    <mergeCell ref="C834:I834"/>
    <mergeCell ref="M834:S834"/>
    <mergeCell ref="W834:AC834"/>
    <mergeCell ref="AG834:AL834"/>
    <mergeCell ref="C837:U837"/>
    <mergeCell ref="V837:AM837"/>
    <mergeCell ref="D838:H838"/>
    <mergeCell ref="L838:P838"/>
    <mergeCell ref="T838:X838"/>
    <mergeCell ref="AB838:AF838"/>
    <mergeCell ref="AJ838:AM838"/>
    <mergeCell ref="C839:G839"/>
    <mergeCell ref="K839:O839"/>
    <mergeCell ref="S839:W839"/>
    <mergeCell ref="AA839:AE839"/>
    <mergeCell ref="AI839:AL839"/>
    <mergeCell ref="C842:Q842"/>
    <mergeCell ref="R842:AM842"/>
    <mergeCell ref="B843:AM843"/>
    <mergeCell ref="B844:AM844"/>
    <mergeCell ref="B845:AM845"/>
    <mergeCell ref="B848:K848"/>
    <mergeCell ref="L848:S848"/>
    <mergeCell ref="U848:AE848"/>
    <mergeCell ref="AF848:AM848"/>
    <mergeCell ref="B850:S850"/>
    <mergeCell ref="T850:AM850"/>
    <mergeCell ref="C852:AA852"/>
    <mergeCell ref="AE852:AK852"/>
    <mergeCell ref="C853:AA853"/>
    <mergeCell ref="AB853:AK853"/>
    <mergeCell ref="C854:AA854"/>
    <mergeCell ref="B858:N858"/>
    <mergeCell ref="P858:AA858"/>
    <mergeCell ref="AC858:AM858"/>
    <mergeCell ref="B859:N859"/>
    <mergeCell ref="P859:AA859"/>
    <mergeCell ref="AC859:AM859"/>
    <mergeCell ref="C861:O861"/>
    <mergeCell ref="P861:AM861"/>
    <mergeCell ref="D862:T862"/>
    <mergeCell ref="X862:AM862"/>
    <mergeCell ref="C863:S863"/>
    <mergeCell ref="W863:AL863"/>
    <mergeCell ref="C866:U866"/>
    <mergeCell ref="V866:AM866"/>
    <mergeCell ref="D867:J867"/>
    <mergeCell ref="N867:T867"/>
    <mergeCell ref="X867:AD867"/>
    <mergeCell ref="AH867:AM867"/>
    <mergeCell ref="C868:I868"/>
    <mergeCell ref="M868:S868"/>
    <mergeCell ref="W868:AC868"/>
    <mergeCell ref="AG868:AL868"/>
    <mergeCell ref="C871:U871"/>
    <mergeCell ref="V871:AM871"/>
    <mergeCell ref="D872:H872"/>
    <mergeCell ref="L872:P872"/>
    <mergeCell ref="T872:X872"/>
    <mergeCell ref="AB872:AF872"/>
    <mergeCell ref="AJ872:AM872"/>
    <mergeCell ref="C873:G873"/>
    <mergeCell ref="K873:O873"/>
    <mergeCell ref="S873:W873"/>
    <mergeCell ref="AA873:AE873"/>
    <mergeCell ref="AI873:AL873"/>
    <mergeCell ref="C876:Q876"/>
    <mergeCell ref="R876:AM876"/>
    <mergeCell ref="B877:AM877"/>
    <mergeCell ref="B878:AM878"/>
    <mergeCell ref="B879:AM879"/>
    <mergeCell ref="B882:K882"/>
    <mergeCell ref="L882:S882"/>
    <mergeCell ref="U882:AE882"/>
    <mergeCell ref="AF882:AM882"/>
    <mergeCell ref="B884:S884"/>
    <mergeCell ref="T884:AM884"/>
    <mergeCell ref="C886:AA886"/>
    <mergeCell ref="AE886:AK886"/>
    <mergeCell ref="C887:AA887"/>
    <mergeCell ref="AB887:AK887"/>
    <mergeCell ref="C888:AA888"/>
    <mergeCell ref="B892:N892"/>
    <mergeCell ref="P892:AA892"/>
    <mergeCell ref="AC892:AM892"/>
    <mergeCell ref="B893:N893"/>
    <mergeCell ref="P893:AA893"/>
    <mergeCell ref="AC893:AM893"/>
    <mergeCell ref="C895:O895"/>
    <mergeCell ref="P895:AM895"/>
    <mergeCell ref="D896:T896"/>
    <mergeCell ref="X896:AM896"/>
    <mergeCell ref="C897:S897"/>
    <mergeCell ref="W897:AL897"/>
    <mergeCell ref="C900:U900"/>
    <mergeCell ref="V900:AM900"/>
    <mergeCell ref="D901:J901"/>
    <mergeCell ref="N901:T901"/>
    <mergeCell ref="X901:AD901"/>
    <mergeCell ref="AH901:AM901"/>
    <mergeCell ref="C902:I902"/>
    <mergeCell ref="M902:S902"/>
    <mergeCell ref="W902:AC902"/>
    <mergeCell ref="AG902:AL902"/>
    <mergeCell ref="C905:U905"/>
    <mergeCell ref="V905:AM905"/>
    <mergeCell ref="D906:H906"/>
    <mergeCell ref="L906:P906"/>
    <mergeCell ref="T906:X906"/>
    <mergeCell ref="AB906:AF906"/>
    <mergeCell ref="AJ906:AM906"/>
    <mergeCell ref="C907:G907"/>
    <mergeCell ref="K907:O907"/>
    <mergeCell ref="S907:W907"/>
    <mergeCell ref="AA907:AE907"/>
    <mergeCell ref="AI907:AL907"/>
    <mergeCell ref="C910:Q910"/>
    <mergeCell ref="R910:AM910"/>
    <mergeCell ref="B911:AM911"/>
    <mergeCell ref="B912:AM912"/>
    <mergeCell ref="B913:AM913"/>
    <mergeCell ref="B916:K916"/>
    <mergeCell ref="L916:S916"/>
    <mergeCell ref="U916:AE916"/>
    <mergeCell ref="AF916:AM916"/>
    <mergeCell ref="B918:S918"/>
    <mergeCell ref="T918:AM918"/>
    <mergeCell ref="C920:AA920"/>
    <mergeCell ref="AE920:AK920"/>
    <mergeCell ref="C921:AA921"/>
    <mergeCell ref="AB921:AK921"/>
    <mergeCell ref="C922:AA922"/>
    <mergeCell ref="B926:N926"/>
    <mergeCell ref="P926:AA926"/>
    <mergeCell ref="AC926:AM926"/>
    <mergeCell ref="B927:N927"/>
    <mergeCell ref="P927:AA927"/>
    <mergeCell ref="AC927:AM927"/>
    <mergeCell ref="C929:O929"/>
    <mergeCell ref="P929:AM929"/>
    <mergeCell ref="D930:T930"/>
    <mergeCell ref="X930:AM930"/>
    <mergeCell ref="C931:S931"/>
    <mergeCell ref="W931:AL931"/>
    <mergeCell ref="C934:U934"/>
    <mergeCell ref="V934:AM934"/>
    <mergeCell ref="D935:J935"/>
    <mergeCell ref="N935:T935"/>
    <mergeCell ref="X935:AD935"/>
    <mergeCell ref="AH935:AM935"/>
    <mergeCell ref="C936:I936"/>
    <mergeCell ref="M936:S936"/>
    <mergeCell ref="W936:AC936"/>
    <mergeCell ref="AG936:AL936"/>
    <mergeCell ref="C939:U939"/>
    <mergeCell ref="V939:AM939"/>
    <mergeCell ref="D940:H940"/>
    <mergeCell ref="L940:P940"/>
    <mergeCell ref="T940:X940"/>
    <mergeCell ref="AB940:AF940"/>
    <mergeCell ref="AJ940:AM940"/>
    <mergeCell ref="C941:G941"/>
    <mergeCell ref="K941:O941"/>
    <mergeCell ref="S941:W941"/>
    <mergeCell ref="AA941:AE941"/>
    <mergeCell ref="AI941:AL941"/>
    <mergeCell ref="C944:Q944"/>
    <mergeCell ref="R944:AM944"/>
    <mergeCell ref="B945:AM945"/>
    <mergeCell ref="B946:AM946"/>
    <mergeCell ref="B947:AM947"/>
    <mergeCell ref="B950:K950"/>
    <mergeCell ref="L950:S950"/>
    <mergeCell ref="U950:AE950"/>
    <mergeCell ref="AF950:AM950"/>
    <mergeCell ref="B952:S952"/>
    <mergeCell ref="T952:AM952"/>
    <mergeCell ref="C954:AA954"/>
    <mergeCell ref="AE954:AK954"/>
    <mergeCell ref="C955:AA955"/>
    <mergeCell ref="AB955:AK955"/>
    <mergeCell ref="C956:AA956"/>
    <mergeCell ref="B960:N960"/>
    <mergeCell ref="P960:AA960"/>
    <mergeCell ref="AC960:AM960"/>
    <mergeCell ref="B961:N961"/>
    <mergeCell ref="P961:AA961"/>
    <mergeCell ref="AC961:AM961"/>
    <mergeCell ref="C963:O963"/>
    <mergeCell ref="P963:AM963"/>
    <mergeCell ref="D964:T964"/>
    <mergeCell ref="X964:AM964"/>
    <mergeCell ref="C965:S965"/>
    <mergeCell ref="W965:AL965"/>
    <mergeCell ref="C968:U968"/>
    <mergeCell ref="V968:AM968"/>
    <mergeCell ref="D969:J969"/>
    <mergeCell ref="N969:T969"/>
    <mergeCell ref="X969:AD969"/>
    <mergeCell ref="AH969:AM969"/>
    <mergeCell ref="C970:I970"/>
    <mergeCell ref="M970:S970"/>
    <mergeCell ref="W970:AC970"/>
    <mergeCell ref="AG970:AL970"/>
    <mergeCell ref="C973:U973"/>
    <mergeCell ref="V973:AM973"/>
    <mergeCell ref="D974:H974"/>
    <mergeCell ref="L974:P974"/>
    <mergeCell ref="T974:X974"/>
    <mergeCell ref="AB974:AF974"/>
    <mergeCell ref="AJ974:AM974"/>
    <mergeCell ref="C975:G975"/>
    <mergeCell ref="K975:O975"/>
    <mergeCell ref="S975:W975"/>
    <mergeCell ref="AA975:AE975"/>
    <mergeCell ref="AI975:AL975"/>
    <mergeCell ref="C978:Q978"/>
    <mergeCell ref="R978:AM978"/>
    <mergeCell ref="B979:AM979"/>
    <mergeCell ref="B980:AM980"/>
    <mergeCell ref="B981:AM981"/>
    <mergeCell ref="B984:K984"/>
    <mergeCell ref="L984:S984"/>
    <mergeCell ref="U984:AE984"/>
    <mergeCell ref="AF984:AM984"/>
    <mergeCell ref="B986:S986"/>
    <mergeCell ref="T986:AM986"/>
    <mergeCell ref="C988:AA988"/>
    <mergeCell ref="AE988:AK988"/>
    <mergeCell ref="C989:AA989"/>
    <mergeCell ref="AB989:AK989"/>
    <mergeCell ref="C990:AA990"/>
    <mergeCell ref="B994:N994"/>
    <mergeCell ref="P994:AA994"/>
    <mergeCell ref="AC994:AM994"/>
    <mergeCell ref="B995:N995"/>
    <mergeCell ref="P995:AA995"/>
    <mergeCell ref="AC995:AM995"/>
    <mergeCell ref="C997:O997"/>
    <mergeCell ref="P997:AM997"/>
    <mergeCell ref="D998:T998"/>
    <mergeCell ref="X998:AM998"/>
    <mergeCell ref="C999:S999"/>
    <mergeCell ref="W999:AL999"/>
    <mergeCell ref="C1002:U1002"/>
    <mergeCell ref="V1002:AM1002"/>
    <mergeCell ref="D1003:J1003"/>
    <mergeCell ref="N1003:T1003"/>
    <mergeCell ref="X1003:AD1003"/>
    <mergeCell ref="AH1003:AM1003"/>
    <mergeCell ref="C1004:I1004"/>
    <mergeCell ref="M1004:S1004"/>
    <mergeCell ref="W1004:AC1004"/>
    <mergeCell ref="AG1004:AL1004"/>
    <mergeCell ref="C1007:U1007"/>
    <mergeCell ref="V1007:AM1007"/>
    <mergeCell ref="D1008:H1008"/>
    <mergeCell ref="L1008:P1008"/>
    <mergeCell ref="T1008:X1008"/>
    <mergeCell ref="AB1008:AF1008"/>
    <mergeCell ref="AJ1008:AM1008"/>
    <mergeCell ref="C1009:G1009"/>
    <mergeCell ref="K1009:O1009"/>
    <mergeCell ref="S1009:W1009"/>
    <mergeCell ref="AA1009:AE1009"/>
    <mergeCell ref="AI1009:AL1009"/>
    <mergeCell ref="C1012:Q1012"/>
    <mergeCell ref="R1012:AM1012"/>
    <mergeCell ref="B1013:AM1013"/>
    <mergeCell ref="B1014:AM1014"/>
    <mergeCell ref="B1015:AM1015"/>
    <mergeCell ref="B1018:K1018"/>
    <mergeCell ref="L1018:S1018"/>
    <mergeCell ref="U1018:AE1018"/>
    <mergeCell ref="AF1018:AM1018"/>
    <mergeCell ref="B1020:S1020"/>
    <mergeCell ref="T1020:AM1020"/>
    <mergeCell ref="C1022:AA1022"/>
    <mergeCell ref="AE1022:AK1022"/>
    <mergeCell ref="C1023:AA1023"/>
    <mergeCell ref="AB1023:AK1023"/>
    <mergeCell ref="C1024:AA1024"/>
    <mergeCell ref="B1028:N1028"/>
    <mergeCell ref="P1028:AA1028"/>
    <mergeCell ref="AC1028:AM1028"/>
    <mergeCell ref="B1029:N1029"/>
    <mergeCell ref="P1029:AA1029"/>
    <mergeCell ref="AC1029:AM1029"/>
    <mergeCell ref="C1031:O1031"/>
    <mergeCell ref="P1031:AM1031"/>
    <mergeCell ref="D1032:T1032"/>
    <mergeCell ref="X1032:AM1032"/>
    <mergeCell ref="C1033:S1033"/>
    <mergeCell ref="W1033:AL1033"/>
    <mergeCell ref="C1036:U1036"/>
    <mergeCell ref="V1036:AM1036"/>
    <mergeCell ref="D1037:J1037"/>
    <mergeCell ref="N1037:T1037"/>
    <mergeCell ref="X1037:AD1037"/>
    <mergeCell ref="AH1037:AM1037"/>
    <mergeCell ref="C1038:I1038"/>
    <mergeCell ref="M1038:S1038"/>
    <mergeCell ref="W1038:AC1038"/>
    <mergeCell ref="AG1038:AL1038"/>
    <mergeCell ref="C1041:U1041"/>
    <mergeCell ref="V1041:AM1041"/>
    <mergeCell ref="D1042:H1042"/>
    <mergeCell ref="L1042:P1042"/>
    <mergeCell ref="T1042:X1042"/>
    <mergeCell ref="AB1042:AF1042"/>
    <mergeCell ref="AJ1042:AM1042"/>
    <mergeCell ref="C1043:G1043"/>
    <mergeCell ref="K1043:O1043"/>
    <mergeCell ref="S1043:W1043"/>
    <mergeCell ref="AA1043:AE1043"/>
    <mergeCell ref="AI1043:AL1043"/>
    <mergeCell ref="C1046:Q1046"/>
    <mergeCell ref="R1046:AM1046"/>
    <mergeCell ref="B1047:AM1047"/>
    <mergeCell ref="B1048:AM1048"/>
    <mergeCell ref="B1049:AM1049"/>
    <mergeCell ref="B1052:K1052"/>
    <mergeCell ref="L1052:S1052"/>
    <mergeCell ref="U1052:AE1052"/>
    <mergeCell ref="AF1052:AM1052"/>
    <mergeCell ref="B1054:S1054"/>
    <mergeCell ref="T1054:AM1054"/>
  </mergeCells>
  <printOptions headings="false" gridLines="false" gridLinesSet="true" horizontalCentered="true" verticalCentered="false"/>
  <pageMargins left="0.3" right="0.3" top="0.3" bottom="0.3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1" manualBreakCount="31">
    <brk id="34" man="true" max="16383" min="0"/>
    <brk id="68" man="true" max="16383" min="0"/>
    <brk id="102" man="true" max="16383" min="0"/>
    <brk id="136" man="true" max="16383" min="0"/>
    <brk id="170" man="true" max="16383" min="0"/>
    <brk id="204" man="true" max="16383" min="0"/>
    <brk id="238" man="true" max="16383" min="0"/>
    <brk id="272" man="true" max="16383" min="0"/>
    <brk id="306" man="true" max="16383" min="0"/>
    <brk id="340" man="true" max="16383" min="0"/>
    <brk id="374" man="true" max="16383" min="0"/>
    <brk id="408" man="true" max="16383" min="0"/>
    <brk id="442" man="true" max="16383" min="0"/>
    <brk id="476" man="true" max="16383" min="0"/>
    <brk id="510" man="true" max="16383" min="0"/>
    <brk id="544" man="true" max="16383" min="0"/>
    <brk id="578" man="true" max="16383" min="0"/>
    <brk id="612" man="true" max="16383" min="0"/>
    <brk id="646" man="true" max="16383" min="0"/>
    <brk id="680" man="true" max="16383" min="0"/>
    <brk id="714" man="true" max="16383" min="0"/>
    <brk id="748" man="true" max="16383" min="0"/>
    <brk id="782" man="true" max="16383" min="0"/>
    <brk id="816" man="true" max="16383" min="0"/>
    <brk id="850" man="true" max="16383" min="0"/>
    <brk id="884" man="true" max="16383" min="0"/>
    <brk id="918" man="true" max="16383" min="0"/>
    <brk id="952" man="true" max="16383" min="0"/>
    <brk id="986" man="true" max="16383" min="0"/>
    <brk id="1020" man="true" max="16383" min="0"/>
    <brk id="1054" man="true" max="16383" min="0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BC8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55" min="2" style="0" width="2.3"/>
    <col collapsed="false" customWidth="true" hidden="false" outlineLevel="0" max="56" min="56" style="0" width="1.2"/>
  </cols>
  <sheetData>
    <row r="1" customFormat="false" ht="7.5" hidden="false" customHeight="true" outlineLevel="0" collapsed="false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</row>
    <row r="2" customFormat="false" ht="19.5" hidden="false" customHeight="true" outlineLevel="0" collapsed="false">
      <c r="B2" s="1"/>
      <c r="C2" s="51" t="s">
        <v>114</v>
      </c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1"/>
      <c r="AO2" s="51"/>
      <c r="AP2" s="51"/>
      <c r="AQ2" s="51"/>
      <c r="AR2" s="1"/>
      <c r="AS2" s="1"/>
      <c r="AT2" s="1"/>
      <c r="AU2" s="52" t="s">
        <v>115</v>
      </c>
      <c r="AV2" s="52"/>
      <c r="AW2" s="52"/>
      <c r="AX2" s="52"/>
      <c r="AY2" s="52"/>
      <c r="AZ2" s="52"/>
      <c r="BA2" s="52"/>
      <c r="BB2" s="1"/>
      <c r="BC2" s="1"/>
    </row>
    <row r="3" customFormat="false" ht="30" hidden="false" customHeight="true" outlineLevel="0" collapsed="false">
      <c r="B3" s="1"/>
      <c r="C3" s="53" t="s">
        <v>116</v>
      </c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3"/>
      <c r="AC3" s="53"/>
      <c r="AD3" s="53"/>
      <c r="AE3" s="53"/>
      <c r="AF3" s="53"/>
      <c r="AG3" s="53"/>
      <c r="AH3" s="53"/>
      <c r="AI3" s="53"/>
      <c r="AJ3" s="53"/>
      <c r="AK3" s="53"/>
      <c r="AL3" s="53"/>
      <c r="AM3" s="53"/>
      <c r="AN3" s="53"/>
      <c r="AO3" s="53"/>
      <c r="AP3" s="53"/>
      <c r="AQ3" s="53"/>
      <c r="AR3" s="54" t="s">
        <v>117</v>
      </c>
      <c r="AS3" s="54"/>
      <c r="AT3" s="54"/>
      <c r="AU3" s="54"/>
      <c r="AV3" s="54"/>
      <c r="AW3" s="54"/>
      <c r="AX3" s="54"/>
      <c r="AY3" s="54"/>
      <c r="AZ3" s="54"/>
      <c r="BA3" s="54"/>
      <c r="BB3" s="1"/>
      <c r="BC3" s="1"/>
    </row>
    <row r="4" customFormat="false" ht="15.75" hidden="false" customHeight="true" outlineLevel="0" collapsed="false">
      <c r="B4" s="1"/>
      <c r="C4" s="55" t="s">
        <v>118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5"/>
      <c r="AP4" s="55"/>
      <c r="AQ4" s="55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</row>
    <row r="5" customFormat="false" ht="9.75" hidden="false" customHeight="true" outlineLevel="0" collapsed="false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</row>
    <row r="6" customFormat="false" ht="3.75" hidden="false" customHeight="true" outlineLevel="0" collapsed="false"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</row>
    <row r="7" customFormat="false" ht="7.5" hidden="false" customHeight="true" outlineLevel="0" collapsed="false"/>
    <row r="8" customFormat="false" ht="13.5" hidden="false" customHeight="true" outlineLevel="0" collapsed="false">
      <c r="B8" s="56" t="s">
        <v>83</v>
      </c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U8" s="56" t="s">
        <v>84</v>
      </c>
      <c r="V8" s="56"/>
      <c r="W8" s="56"/>
      <c r="X8" s="56"/>
      <c r="Y8" s="56"/>
      <c r="Z8" s="56"/>
      <c r="AA8" s="56"/>
      <c r="AB8" s="56"/>
      <c r="AC8" s="56"/>
      <c r="AD8" s="56"/>
      <c r="AE8" s="56"/>
      <c r="AG8" s="56" t="s">
        <v>119</v>
      </c>
      <c r="AH8" s="56"/>
      <c r="AI8" s="56"/>
      <c r="AJ8" s="56"/>
      <c r="AK8" s="56"/>
      <c r="AL8" s="56"/>
      <c r="AM8" s="56"/>
      <c r="AN8" s="56"/>
      <c r="AO8" s="56"/>
      <c r="AP8" s="56"/>
      <c r="AQ8" s="56"/>
      <c r="AS8" s="56" t="s">
        <v>120</v>
      </c>
      <c r="AT8" s="56"/>
      <c r="AU8" s="56"/>
      <c r="AV8" s="56"/>
      <c r="AW8" s="56"/>
      <c r="AX8" s="56"/>
      <c r="AY8" s="56"/>
      <c r="AZ8" s="56"/>
      <c r="BA8" s="56"/>
      <c r="BB8" s="56"/>
      <c r="BC8" s="56"/>
    </row>
    <row r="9" customFormat="false" ht="21.75" hidden="false" customHeight="true" outlineLevel="0" collapsed="false">
      <c r="B9" s="57" t="str">
        <f aca="false">Dashboard!$C$6</f>
        <v>Bindhya TB</v>
      </c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U9" s="57" t="str">
        <f aca="false">Dashboard!$C$7</f>
        <v>Tourism &amp; Business</v>
      </c>
      <c r="V9" s="57"/>
      <c r="W9" s="57"/>
      <c r="X9" s="57"/>
      <c r="Y9" s="57"/>
      <c r="Z9" s="57"/>
      <c r="AA9" s="57"/>
      <c r="AB9" s="57"/>
      <c r="AC9" s="57"/>
      <c r="AD9" s="57"/>
      <c r="AE9" s="57"/>
      <c r="AG9" s="58" t="n">
        <f aca="false">Cal!H2</f>
        <v>46296</v>
      </c>
      <c r="AH9" s="58"/>
      <c r="AI9" s="58"/>
      <c r="AJ9" s="58"/>
      <c r="AK9" s="58"/>
      <c r="AL9" s="58"/>
      <c r="AM9" s="58"/>
      <c r="AN9" s="58"/>
      <c r="AO9" s="58"/>
      <c r="AP9" s="58"/>
      <c r="AQ9" s="58"/>
      <c r="AS9" s="58" t="n">
        <f aca="false">Cal!I2</f>
        <v>46298</v>
      </c>
      <c r="AT9" s="58"/>
      <c r="AU9" s="58"/>
      <c r="AV9" s="58"/>
      <c r="AW9" s="58"/>
      <c r="AX9" s="58"/>
      <c r="AY9" s="58"/>
      <c r="AZ9" s="58"/>
      <c r="BA9" s="58"/>
      <c r="BB9" s="58"/>
      <c r="BC9" s="58"/>
    </row>
    <row r="10" customFormat="false" ht="9.75" hidden="false" customHeight="true" outlineLevel="0" collapsed="false"/>
    <row r="11" customFormat="false" ht="18" hidden="false" customHeight="true" outlineLevel="0" collapsed="false">
      <c r="B11" s="6"/>
      <c r="C11" s="78" t="s">
        <v>121</v>
      </c>
      <c r="D11" s="78"/>
      <c r="E11" s="78"/>
      <c r="F11" s="78"/>
      <c r="G11" s="78"/>
      <c r="H11" s="78"/>
      <c r="I11" s="78"/>
      <c r="J11" s="78"/>
      <c r="K11" s="78"/>
      <c r="L11" s="78"/>
      <c r="M11" s="78"/>
      <c r="N11" s="78"/>
      <c r="O11" s="78"/>
      <c r="P11" s="78"/>
      <c r="Q11" s="78"/>
      <c r="R11" s="78"/>
      <c r="S11" s="78"/>
      <c r="T11" s="78"/>
      <c r="U11" s="78"/>
      <c r="V11" s="78"/>
      <c r="W11" s="78"/>
      <c r="X11" s="78"/>
      <c r="Y11" s="78"/>
      <c r="Z11" s="78"/>
      <c r="AA11" s="78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8"/>
      <c r="AT11" s="78"/>
      <c r="AU11" s="78"/>
      <c r="AV11" s="78"/>
      <c r="AW11" s="78"/>
      <c r="AX11" s="78"/>
      <c r="AY11" s="78"/>
      <c r="AZ11" s="78"/>
      <c r="BA11" s="78"/>
      <c r="BB11" s="78"/>
      <c r="BC11" s="78"/>
    </row>
    <row r="12" customFormat="false" ht="18" hidden="false" customHeight="true" outlineLevel="0" collapsed="false">
      <c r="B12" s="6"/>
      <c r="C12" s="78"/>
      <c r="D12" s="78"/>
      <c r="E12" s="78"/>
      <c r="F12" s="78"/>
      <c r="G12" s="78"/>
      <c r="H12" s="78"/>
      <c r="I12" s="78"/>
      <c r="J12" s="78"/>
      <c r="K12" s="78"/>
      <c r="L12" s="78"/>
      <c r="M12" s="78"/>
      <c r="N12" s="78"/>
      <c r="O12" s="78"/>
      <c r="P12" s="78"/>
      <c r="Q12" s="78"/>
      <c r="R12" s="78"/>
      <c r="S12" s="78"/>
      <c r="T12" s="78"/>
      <c r="U12" s="78"/>
      <c r="V12" s="78"/>
      <c r="W12" s="78"/>
      <c r="X12" s="78"/>
      <c r="Y12" s="78"/>
      <c r="Z12" s="78"/>
      <c r="AA12" s="78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8"/>
      <c r="AT12" s="78"/>
      <c r="AU12" s="78"/>
      <c r="AV12" s="78"/>
      <c r="AW12" s="78"/>
      <c r="AX12" s="78"/>
      <c r="AY12" s="78"/>
      <c r="AZ12" s="78"/>
      <c r="BA12" s="78"/>
      <c r="BB12" s="78"/>
      <c r="BC12" s="78"/>
    </row>
    <row r="13" customFormat="false" ht="9.75" hidden="false" customHeight="true" outlineLevel="0" collapsed="false"/>
    <row r="14" customFormat="false" ht="21.75" hidden="false" customHeight="true" outlineLevel="0" collapsed="false">
      <c r="B14" s="6"/>
      <c r="C14" s="19" t="s">
        <v>122</v>
      </c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59" t="s">
        <v>123</v>
      </c>
      <c r="AM14" s="59"/>
      <c r="AN14" s="59"/>
      <c r="AO14" s="59"/>
      <c r="AP14" s="59"/>
      <c r="AQ14" s="59"/>
      <c r="AR14" s="59"/>
      <c r="AS14" s="59"/>
      <c r="AT14" s="59"/>
      <c r="AU14" s="59"/>
      <c r="AV14" s="59"/>
      <c r="AW14" s="59"/>
      <c r="AX14" s="59"/>
      <c r="AY14" s="59"/>
      <c r="AZ14" s="59"/>
      <c r="BA14" s="59"/>
      <c r="BB14" s="59"/>
      <c r="BC14" s="59"/>
    </row>
    <row r="15" customFormat="false" ht="27.75" hidden="false" customHeight="true" outlineLevel="0" collapsed="false">
      <c r="B15" s="79" t="s">
        <v>124</v>
      </c>
      <c r="C15" s="79"/>
      <c r="D15" s="80" t="s">
        <v>125</v>
      </c>
      <c r="E15" s="80"/>
      <c r="F15" s="80"/>
      <c r="G15" s="80"/>
      <c r="H15" s="80" t="s">
        <v>126</v>
      </c>
      <c r="I15" s="80"/>
      <c r="J15" s="80"/>
      <c r="K15" s="80"/>
      <c r="L15" s="80"/>
      <c r="M15" s="80"/>
      <c r="N15" s="80"/>
      <c r="O15" s="80" t="s">
        <v>127</v>
      </c>
      <c r="P15" s="80"/>
      <c r="Q15" s="80"/>
      <c r="R15" s="80"/>
      <c r="S15" s="80"/>
      <c r="T15" s="80"/>
      <c r="U15" s="80"/>
      <c r="V15" s="80" t="s">
        <v>128</v>
      </c>
      <c r="W15" s="80"/>
      <c r="X15" s="80"/>
      <c r="Y15" s="80"/>
      <c r="Z15" s="80" t="s">
        <v>129</v>
      </c>
      <c r="AA15" s="80"/>
      <c r="AB15" s="80"/>
      <c r="AC15" s="80"/>
      <c r="AD15" s="80"/>
      <c r="AE15" s="80"/>
      <c r="AF15" s="80"/>
      <c r="AG15" s="80"/>
      <c r="AH15" s="80"/>
      <c r="AI15" s="80"/>
      <c r="AJ15" s="80"/>
      <c r="AK15" s="80"/>
      <c r="AL15" s="80"/>
      <c r="AM15" s="80"/>
      <c r="AN15" s="80"/>
      <c r="AO15" s="80"/>
      <c r="AP15" s="80"/>
      <c r="AQ15" s="80"/>
      <c r="AR15" s="80"/>
      <c r="AS15" s="80"/>
      <c r="AT15" s="80"/>
      <c r="AU15" s="80"/>
      <c r="AV15" s="80"/>
      <c r="AW15" s="80"/>
      <c r="AX15" s="80"/>
      <c r="AY15" s="80"/>
      <c r="AZ15" s="80"/>
      <c r="BA15" s="80"/>
      <c r="BB15" s="80"/>
      <c r="BC15" s="80"/>
    </row>
    <row r="16" customFormat="false" ht="24.75" hidden="false" customHeight="true" outlineLevel="0" collapsed="false">
      <c r="B16" s="81" t="n">
        <v>1</v>
      </c>
      <c r="C16" s="81"/>
      <c r="D16" s="82" t="n">
        <v>46296</v>
      </c>
      <c r="E16" s="82"/>
      <c r="F16" s="82"/>
      <c r="G16" s="82"/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  <c r="Z16" s="83" t="s">
        <v>130</v>
      </c>
      <c r="AA16" s="83"/>
      <c r="AB16" s="83"/>
      <c r="AC16" s="83"/>
      <c r="AD16" s="83"/>
      <c r="AE16" s="83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</row>
    <row r="17" customFormat="false" ht="24.75" hidden="false" customHeight="true" outlineLevel="0" collapsed="false">
      <c r="B17" s="81" t="n">
        <v>2</v>
      </c>
      <c r="C17" s="81"/>
      <c r="D17" s="82" t="n">
        <v>46297</v>
      </c>
      <c r="E17" s="82"/>
      <c r="F17" s="82"/>
      <c r="G17" s="82"/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  <c r="Z17" s="83" t="s">
        <v>131</v>
      </c>
      <c r="AA17" s="83"/>
      <c r="AB17" s="83"/>
      <c r="AC17" s="83"/>
      <c r="AD17" s="83"/>
      <c r="AE17" s="83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</row>
    <row r="18" customFormat="false" ht="24.75" hidden="false" customHeight="true" outlineLevel="0" collapsed="false">
      <c r="B18" s="81" t="n">
        <v>3</v>
      </c>
      <c r="C18" s="81"/>
      <c r="D18" s="82"/>
      <c r="E18" s="82"/>
      <c r="F18" s="82"/>
      <c r="G18" s="82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  <c r="AA18" s="83"/>
      <c r="AB18" s="83"/>
      <c r="AC18" s="83"/>
      <c r="AD18" s="83"/>
      <c r="AE18" s="83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</row>
    <row r="19" customFormat="false" ht="24.75" hidden="false" customHeight="true" outlineLevel="0" collapsed="false">
      <c r="B19" s="81" t="n">
        <v>4</v>
      </c>
      <c r="C19" s="81"/>
      <c r="D19" s="82"/>
      <c r="E19" s="82"/>
      <c r="F19" s="82"/>
      <c r="G19" s="82"/>
      <c r="H19" s="83"/>
      <c r="I19" s="83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</row>
    <row r="20" customFormat="false" ht="24.75" hidden="false" customHeight="true" outlineLevel="0" collapsed="false">
      <c r="B20" s="81" t="n">
        <v>5</v>
      </c>
      <c r="C20" s="81"/>
      <c r="D20" s="82"/>
      <c r="E20" s="82"/>
      <c r="F20" s="82"/>
      <c r="G20" s="82"/>
      <c r="H20" s="83"/>
      <c r="I20" s="83"/>
      <c r="J20" s="83"/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83"/>
      <c r="V20" s="83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</row>
    <row r="21" customFormat="false" ht="24.75" hidden="false" customHeight="true" outlineLevel="0" collapsed="false">
      <c r="B21" s="81" t="n">
        <v>6</v>
      </c>
      <c r="C21" s="81"/>
      <c r="D21" s="82"/>
      <c r="E21" s="82"/>
      <c r="F21" s="82"/>
      <c r="G21" s="82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</row>
    <row r="22" customFormat="false" ht="24.75" hidden="false" customHeight="true" outlineLevel="0" collapsed="false">
      <c r="B22" s="81" t="n">
        <v>7</v>
      </c>
      <c r="C22" s="81"/>
      <c r="D22" s="82"/>
      <c r="E22" s="82"/>
      <c r="F22" s="82"/>
      <c r="G22" s="82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</row>
    <row r="23" customFormat="false" ht="24.75" hidden="false" customHeight="true" outlineLevel="0" collapsed="false">
      <c r="B23" s="81" t="n">
        <v>8</v>
      </c>
      <c r="C23" s="81"/>
      <c r="D23" s="82"/>
      <c r="E23" s="82"/>
      <c r="F23" s="82"/>
      <c r="G23" s="82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</row>
    <row r="24" customFormat="false" ht="24.75" hidden="false" customHeight="true" outlineLevel="0" collapsed="false">
      <c r="B24" s="81" t="n">
        <v>9</v>
      </c>
      <c r="C24" s="81"/>
      <c r="D24" s="82"/>
      <c r="E24" s="82"/>
      <c r="F24" s="82"/>
      <c r="G24" s="82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</row>
    <row r="25" customFormat="false" ht="24.75" hidden="false" customHeight="true" outlineLevel="0" collapsed="false">
      <c r="B25" s="81" t="n">
        <v>10</v>
      </c>
      <c r="C25" s="81"/>
      <c r="D25" s="82"/>
      <c r="E25" s="82"/>
      <c r="F25" s="82"/>
      <c r="G25" s="82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</row>
    <row r="26" customFormat="false" ht="24.75" hidden="false" customHeight="true" outlineLevel="0" collapsed="false">
      <c r="B26" s="81" t="n">
        <v>11</v>
      </c>
      <c r="C26" s="81"/>
      <c r="D26" s="82"/>
      <c r="E26" s="82"/>
      <c r="F26" s="82"/>
      <c r="G26" s="82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</row>
    <row r="27" customFormat="false" ht="24" hidden="false" customHeight="true" outlineLevel="0" collapsed="false">
      <c r="B27" s="84" t="s">
        <v>132</v>
      </c>
      <c r="C27" s="84"/>
      <c r="E27" s="85" t="s">
        <v>133</v>
      </c>
      <c r="F27" s="85"/>
      <c r="G27" s="85"/>
      <c r="H27" s="85"/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  <c r="AE27" s="85"/>
      <c r="AF27" s="85"/>
      <c r="AG27" s="85"/>
      <c r="AH27" s="85"/>
      <c r="AI27" s="85"/>
      <c r="AJ27" s="85"/>
      <c r="AK27" s="85"/>
      <c r="AL27" s="85"/>
      <c r="AM27" s="85"/>
      <c r="AN27" s="85"/>
      <c r="AO27" s="85"/>
      <c r="AP27" s="85"/>
      <c r="AQ27" s="85"/>
      <c r="AR27" s="85"/>
      <c r="AS27" s="85"/>
      <c r="AT27" s="85"/>
      <c r="AU27" s="85"/>
      <c r="AV27" s="85"/>
      <c r="AW27" s="85"/>
      <c r="AX27" s="85"/>
      <c r="AY27" s="85"/>
      <c r="AZ27" s="85"/>
      <c r="BA27" s="85"/>
      <c r="BB27" s="85"/>
      <c r="BC27" s="85"/>
    </row>
    <row r="28" customFormat="false" ht="30" hidden="false" customHeight="true" outlineLevel="0" collapsed="false"/>
    <row r="29" customFormat="false" ht="18" hidden="false" customHeight="true" outlineLevel="0" collapsed="false">
      <c r="B29" s="75" t="s">
        <v>134</v>
      </c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6" t="s">
        <v>135</v>
      </c>
      <c r="AC29" s="76"/>
      <c r="AD29" s="76"/>
      <c r="AE29" s="76"/>
      <c r="AF29" s="76"/>
      <c r="AG29" s="76"/>
      <c r="AH29" s="76"/>
      <c r="AI29" s="76"/>
      <c r="AJ29" s="76"/>
      <c r="AK29" s="76"/>
      <c r="AL29" s="76"/>
      <c r="AM29" s="76"/>
      <c r="AN29" s="76"/>
      <c r="AO29" s="76"/>
      <c r="AP29" s="76"/>
      <c r="AQ29" s="76"/>
      <c r="AR29" s="76"/>
      <c r="AS29" s="76"/>
      <c r="AT29" s="76"/>
      <c r="AU29" s="76"/>
      <c r="AV29" s="76"/>
      <c r="AW29" s="76"/>
      <c r="AX29" s="76"/>
      <c r="AY29" s="76"/>
      <c r="AZ29" s="76"/>
      <c r="BA29" s="76"/>
      <c r="BB29" s="76"/>
      <c r="BC29" s="76"/>
    </row>
    <row r="30" customFormat="false" ht="7.5" hidden="false" customHeight="true" outlineLevel="0" collapsed="false"/>
    <row r="31" customFormat="false" ht="24" hidden="false" customHeight="true" outlineLevel="0" collapsed="false">
      <c r="B31" s="86" t="s">
        <v>115</v>
      </c>
      <c r="C31" s="86"/>
      <c r="D31" s="86"/>
      <c r="E31" s="86"/>
      <c r="F31" s="86"/>
      <c r="H31" s="87" t="s">
        <v>116</v>
      </c>
      <c r="I31" s="87"/>
      <c r="J31" s="87"/>
      <c r="K31" s="87"/>
      <c r="L31" s="87"/>
      <c r="M31" s="87"/>
      <c r="N31" s="87"/>
      <c r="O31" s="87"/>
      <c r="P31" s="87"/>
      <c r="AA31" s="88" t="s">
        <v>136</v>
      </c>
      <c r="AB31" s="88"/>
      <c r="AC31" s="88"/>
      <c r="AD31" s="88"/>
      <c r="AE31" s="88"/>
      <c r="AF31" s="89" t="str">
        <f aca="false">Dashboard!$C$6</f>
        <v>Bindhya TB</v>
      </c>
      <c r="AG31" s="89"/>
      <c r="AH31" s="89"/>
      <c r="AI31" s="89"/>
      <c r="AJ31" s="89"/>
      <c r="AK31" s="89"/>
      <c r="AL31" s="89"/>
      <c r="AM31" s="89"/>
      <c r="AN31" s="89"/>
      <c r="AO31" s="89"/>
      <c r="AP31" s="89"/>
      <c r="AR31" s="88" t="s">
        <v>137</v>
      </c>
      <c r="AS31" s="88"/>
      <c r="AT31" s="89" t="str">
        <f aca="false">TEXT(Cal!H2,"dd mmm")&amp;" to "&amp;TEXT(Cal!I2,"dd mmm yy")</f>
        <v>01 Oct to 03 Oct 26</v>
      </c>
      <c r="AU31" s="89"/>
      <c r="AV31" s="89"/>
      <c r="AW31" s="89"/>
      <c r="AX31" s="89"/>
      <c r="AY31" s="89"/>
      <c r="AZ31" s="89"/>
      <c r="BA31" s="89"/>
      <c r="BB31" s="89"/>
      <c r="BC31" s="89"/>
    </row>
    <row r="32" customFormat="false" ht="3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</row>
    <row r="33" customFormat="false" ht="9.75" hidden="false" customHeight="true" outlineLevel="0" collapsed="false"/>
    <row r="34" customFormat="false" ht="21.75" hidden="false" customHeight="true" outlineLevel="0" collapsed="false">
      <c r="B34" s="6"/>
      <c r="C34" s="19" t="s">
        <v>138</v>
      </c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59" t="s">
        <v>139</v>
      </c>
      <c r="AM34" s="59"/>
      <c r="AN34" s="59"/>
      <c r="AO34" s="59"/>
      <c r="AP34" s="59"/>
      <c r="AQ34" s="59"/>
      <c r="AR34" s="59"/>
      <c r="AS34" s="59"/>
      <c r="AT34" s="59"/>
      <c r="AU34" s="59"/>
      <c r="AV34" s="59"/>
      <c r="AW34" s="59"/>
      <c r="AX34" s="59"/>
      <c r="AY34" s="59"/>
      <c r="AZ34" s="59"/>
      <c r="BA34" s="59"/>
      <c r="BB34" s="59"/>
      <c r="BC34" s="59"/>
    </row>
    <row r="35" customFormat="false" ht="27.75" hidden="false" customHeight="true" outlineLevel="0" collapsed="false">
      <c r="B35" s="79" t="s">
        <v>124</v>
      </c>
      <c r="C35" s="79"/>
      <c r="D35" s="80" t="s">
        <v>140</v>
      </c>
      <c r="E35" s="80"/>
      <c r="F35" s="80"/>
      <c r="G35" s="80"/>
      <c r="H35" s="80" t="s">
        <v>126</v>
      </c>
      <c r="I35" s="80"/>
      <c r="J35" s="80"/>
      <c r="K35" s="80"/>
      <c r="L35" s="80"/>
      <c r="M35" s="80"/>
      <c r="N35" s="80"/>
      <c r="O35" s="80"/>
      <c r="P35" s="80" t="s">
        <v>141</v>
      </c>
      <c r="Q35" s="80"/>
      <c r="R35" s="80"/>
      <c r="S35" s="80"/>
      <c r="T35" s="80" t="s">
        <v>142</v>
      </c>
      <c r="U35" s="80"/>
      <c r="V35" s="80"/>
      <c r="W35" s="80"/>
      <c r="X35" s="80"/>
      <c r="Y35" s="80"/>
      <c r="Z35" s="80"/>
      <c r="AA35" s="80"/>
      <c r="AB35" s="80"/>
      <c r="AC35" s="80"/>
      <c r="AD35" s="80"/>
      <c r="AE35" s="80"/>
      <c r="AF35" s="80"/>
      <c r="AG35" s="80"/>
      <c r="AH35" s="80"/>
      <c r="AI35" s="80"/>
      <c r="AJ35" s="80"/>
      <c r="AK35" s="80"/>
      <c r="AL35" s="80"/>
      <c r="AM35" s="80"/>
      <c r="AN35" s="80" t="s">
        <v>143</v>
      </c>
      <c r="AO35" s="80"/>
      <c r="AP35" s="80"/>
      <c r="AQ35" s="80"/>
      <c r="AR35" s="80"/>
      <c r="AS35" s="80"/>
      <c r="AT35" s="80"/>
      <c r="AU35" s="80"/>
      <c r="AV35" s="80"/>
      <c r="AW35" s="80"/>
      <c r="AX35" s="80"/>
      <c r="AY35" s="80"/>
      <c r="AZ35" s="80"/>
      <c r="BA35" s="80"/>
      <c r="BB35" s="80"/>
      <c r="BC35" s="80"/>
    </row>
    <row r="36" customFormat="false" ht="27.75" hidden="false" customHeight="true" outlineLevel="0" collapsed="false">
      <c r="B36" s="81" t="n">
        <v>1</v>
      </c>
      <c r="C36" s="81"/>
      <c r="D36" s="82" t="n">
        <v>46296</v>
      </c>
      <c r="E36" s="82"/>
      <c r="F36" s="82"/>
      <c r="G36" s="82"/>
      <c r="H36" s="83" t="s">
        <v>47</v>
      </c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  <c r="AA36" s="83"/>
      <c r="AB36" s="83"/>
      <c r="AC36" s="83"/>
      <c r="AD36" s="83"/>
      <c r="AE36" s="83"/>
      <c r="AF36" s="83"/>
      <c r="AG36" s="83"/>
      <c r="AH36" s="83"/>
      <c r="AI36" s="83"/>
      <c r="AJ36" s="83"/>
      <c r="AK36" s="83"/>
      <c r="AL36" s="83"/>
      <c r="AM36" s="83"/>
      <c r="AN36" s="83"/>
      <c r="AO36" s="83"/>
      <c r="AP36" s="83"/>
      <c r="AQ36" s="83"/>
      <c r="AR36" s="83"/>
      <c r="AS36" s="83"/>
      <c r="AT36" s="83"/>
      <c r="AU36" s="83"/>
      <c r="AV36" s="83"/>
      <c r="AW36" s="83"/>
      <c r="AX36" s="83"/>
      <c r="AY36" s="83"/>
      <c r="AZ36" s="83"/>
      <c r="BA36" s="83"/>
      <c r="BB36" s="83"/>
      <c r="BC36" s="83"/>
    </row>
    <row r="37" customFormat="false" ht="27.75" hidden="false" customHeight="true" outlineLevel="0" collapsed="false">
      <c r="B37" s="81" t="n">
        <v>2</v>
      </c>
      <c r="C37" s="81"/>
      <c r="D37" s="82" t="n">
        <v>46296</v>
      </c>
      <c r="E37" s="82"/>
      <c r="F37" s="82"/>
      <c r="G37" s="82"/>
      <c r="H37" s="83" t="s">
        <v>45</v>
      </c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83"/>
      <c r="AI37" s="83"/>
      <c r="AJ37" s="83"/>
      <c r="AK37" s="83"/>
      <c r="AL37" s="83"/>
      <c r="AM37" s="83"/>
      <c r="AN37" s="83"/>
      <c r="AO37" s="83"/>
      <c r="AP37" s="83"/>
      <c r="AQ37" s="83"/>
      <c r="AR37" s="83"/>
      <c r="AS37" s="83"/>
      <c r="AT37" s="83"/>
      <c r="AU37" s="83"/>
      <c r="AV37" s="83"/>
      <c r="AW37" s="83"/>
      <c r="AX37" s="83"/>
      <c r="AY37" s="83"/>
      <c r="AZ37" s="83"/>
      <c r="BA37" s="83"/>
      <c r="BB37" s="83"/>
      <c r="BC37" s="83"/>
    </row>
    <row r="38" customFormat="false" ht="27.75" hidden="false" customHeight="true" outlineLevel="0" collapsed="false">
      <c r="B38" s="81" t="n">
        <v>3</v>
      </c>
      <c r="C38" s="81"/>
      <c r="D38" s="82" t="n">
        <v>46297</v>
      </c>
      <c r="E38" s="82"/>
      <c r="F38" s="82"/>
      <c r="G38" s="82"/>
      <c r="H38" s="83" t="s">
        <v>47</v>
      </c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83"/>
      <c r="AI38" s="83"/>
      <c r="AJ38" s="83"/>
      <c r="AK38" s="83"/>
      <c r="AL38" s="83"/>
      <c r="AM38" s="83"/>
      <c r="AN38" s="83"/>
      <c r="AO38" s="83"/>
      <c r="AP38" s="83"/>
      <c r="AQ38" s="83"/>
      <c r="AR38" s="83"/>
      <c r="AS38" s="83"/>
      <c r="AT38" s="83"/>
      <c r="AU38" s="83"/>
      <c r="AV38" s="83"/>
      <c r="AW38" s="83"/>
      <c r="AX38" s="83"/>
      <c r="AY38" s="83"/>
      <c r="AZ38" s="83"/>
      <c r="BA38" s="83"/>
      <c r="BB38" s="83"/>
      <c r="BC38" s="83"/>
    </row>
    <row r="39" customFormat="false" ht="27.75" hidden="false" customHeight="true" outlineLevel="0" collapsed="false">
      <c r="B39" s="81" t="n">
        <v>4</v>
      </c>
      <c r="C39" s="81"/>
      <c r="D39" s="82" t="n">
        <v>46297</v>
      </c>
      <c r="E39" s="82"/>
      <c r="F39" s="82"/>
      <c r="G39" s="82"/>
      <c r="H39" s="83" t="s">
        <v>43</v>
      </c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83"/>
      <c r="AI39" s="83"/>
      <c r="AJ39" s="83"/>
      <c r="AK39" s="83"/>
      <c r="AL39" s="83"/>
      <c r="AM39" s="83"/>
      <c r="AN39" s="83"/>
      <c r="AO39" s="83"/>
      <c r="AP39" s="83"/>
      <c r="AQ39" s="83"/>
      <c r="AR39" s="83"/>
      <c r="AS39" s="83"/>
      <c r="AT39" s="83"/>
      <c r="AU39" s="83"/>
      <c r="AV39" s="83"/>
      <c r="AW39" s="83"/>
      <c r="AX39" s="83"/>
      <c r="AY39" s="83"/>
      <c r="AZ39" s="83"/>
      <c r="BA39" s="83"/>
      <c r="BB39" s="83"/>
      <c r="BC39" s="83"/>
    </row>
    <row r="40" customFormat="false" ht="27.75" hidden="false" customHeight="true" outlineLevel="0" collapsed="false">
      <c r="B40" s="81" t="n">
        <v>5</v>
      </c>
      <c r="C40" s="81"/>
      <c r="D40" s="82"/>
      <c r="E40" s="82"/>
      <c r="F40" s="82"/>
      <c r="G40" s="82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83"/>
      <c r="AI40" s="83"/>
      <c r="AJ40" s="83"/>
      <c r="AK40" s="83"/>
      <c r="AL40" s="83"/>
      <c r="AM40" s="83"/>
      <c r="AN40" s="83"/>
      <c r="AO40" s="83"/>
      <c r="AP40" s="83"/>
      <c r="AQ40" s="83"/>
      <c r="AR40" s="83"/>
      <c r="AS40" s="83"/>
      <c r="AT40" s="83"/>
      <c r="AU40" s="83"/>
      <c r="AV40" s="83"/>
      <c r="AW40" s="83"/>
      <c r="AX40" s="83"/>
      <c r="AY40" s="83"/>
      <c r="AZ40" s="83"/>
      <c r="BA40" s="83"/>
      <c r="BB40" s="83"/>
      <c r="BC40" s="83"/>
    </row>
    <row r="41" customFormat="false" ht="27.75" hidden="false" customHeight="true" outlineLevel="0" collapsed="false">
      <c r="B41" s="81" t="n">
        <v>6</v>
      </c>
      <c r="C41" s="81"/>
      <c r="D41" s="82"/>
      <c r="E41" s="82"/>
      <c r="F41" s="82"/>
      <c r="G41" s="82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83"/>
      <c r="AI41" s="83"/>
      <c r="AJ41" s="83"/>
      <c r="AK41" s="83"/>
      <c r="AL41" s="83"/>
      <c r="AM41" s="83"/>
      <c r="AN41" s="83"/>
      <c r="AO41" s="83"/>
      <c r="AP41" s="83"/>
      <c r="AQ41" s="83"/>
      <c r="AR41" s="83"/>
      <c r="AS41" s="83"/>
      <c r="AT41" s="83"/>
      <c r="AU41" s="83"/>
      <c r="AV41" s="83"/>
      <c r="AW41" s="83"/>
      <c r="AX41" s="83"/>
      <c r="AY41" s="83"/>
      <c r="AZ41" s="83"/>
      <c r="BA41" s="83"/>
      <c r="BB41" s="83"/>
      <c r="BC41" s="83"/>
    </row>
    <row r="42" customFormat="false" ht="27.75" hidden="false" customHeight="true" outlineLevel="0" collapsed="false">
      <c r="B42" s="81" t="n">
        <v>7</v>
      </c>
      <c r="C42" s="81"/>
      <c r="D42" s="82"/>
      <c r="E42" s="82"/>
      <c r="F42" s="82"/>
      <c r="G42" s="82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  <c r="AA42" s="83"/>
      <c r="AB42" s="83"/>
      <c r="AC42" s="83"/>
      <c r="AD42" s="83"/>
      <c r="AE42" s="83"/>
      <c r="AF42" s="83"/>
      <c r="AG42" s="83"/>
      <c r="AH42" s="83"/>
      <c r="AI42" s="83"/>
      <c r="AJ42" s="83"/>
      <c r="AK42" s="83"/>
      <c r="AL42" s="83"/>
      <c r="AM42" s="83"/>
      <c r="AN42" s="83"/>
      <c r="AO42" s="83"/>
      <c r="AP42" s="83"/>
      <c r="AQ42" s="83"/>
      <c r="AR42" s="83"/>
      <c r="AS42" s="83"/>
      <c r="AT42" s="83"/>
      <c r="AU42" s="83"/>
      <c r="AV42" s="83"/>
      <c r="AW42" s="83"/>
      <c r="AX42" s="83"/>
      <c r="AY42" s="83"/>
      <c r="AZ42" s="83"/>
      <c r="BA42" s="83"/>
      <c r="BB42" s="83"/>
      <c r="BC42" s="83"/>
    </row>
    <row r="43" customFormat="false" ht="27.75" hidden="false" customHeight="true" outlineLevel="0" collapsed="false">
      <c r="B43" s="81" t="n">
        <v>8</v>
      </c>
      <c r="C43" s="81"/>
      <c r="D43" s="82"/>
      <c r="E43" s="82"/>
      <c r="F43" s="82"/>
      <c r="G43" s="82"/>
      <c r="H43" s="83"/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83"/>
      <c r="AI43" s="83"/>
      <c r="AJ43" s="83"/>
      <c r="AK43" s="83"/>
      <c r="AL43" s="83"/>
      <c r="AM43" s="83"/>
      <c r="AN43" s="83"/>
      <c r="AO43" s="83"/>
      <c r="AP43" s="83"/>
      <c r="AQ43" s="83"/>
      <c r="AR43" s="83"/>
      <c r="AS43" s="83"/>
      <c r="AT43" s="83"/>
      <c r="AU43" s="83"/>
      <c r="AV43" s="83"/>
      <c r="AW43" s="83"/>
      <c r="AX43" s="83"/>
      <c r="AY43" s="83"/>
      <c r="AZ43" s="83"/>
      <c r="BA43" s="83"/>
      <c r="BB43" s="83"/>
      <c r="BC43" s="83"/>
    </row>
    <row r="44" customFormat="false" ht="27.75" hidden="false" customHeight="true" outlineLevel="0" collapsed="false">
      <c r="B44" s="81" t="n">
        <v>9</v>
      </c>
      <c r="C44" s="81"/>
      <c r="D44" s="82"/>
      <c r="E44" s="82"/>
      <c r="F44" s="82"/>
      <c r="G44" s="82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83"/>
      <c r="AI44" s="83"/>
      <c r="AJ44" s="83"/>
      <c r="AK44" s="83"/>
      <c r="AL44" s="83"/>
      <c r="AM44" s="83"/>
      <c r="AN44" s="83"/>
      <c r="AO44" s="83"/>
      <c r="AP44" s="83"/>
      <c r="AQ44" s="83"/>
      <c r="AR44" s="83"/>
      <c r="AS44" s="83"/>
      <c r="AT44" s="83"/>
      <c r="AU44" s="83"/>
      <c r="AV44" s="83"/>
      <c r="AW44" s="83"/>
      <c r="AX44" s="83"/>
      <c r="AY44" s="83"/>
      <c r="AZ44" s="83"/>
      <c r="BA44" s="83"/>
      <c r="BB44" s="83"/>
      <c r="BC44" s="83"/>
    </row>
    <row r="45" customFormat="false" ht="27.75" hidden="false" customHeight="true" outlineLevel="0" collapsed="false">
      <c r="B45" s="81" t="n">
        <v>10</v>
      </c>
      <c r="C45" s="81"/>
      <c r="D45" s="82"/>
      <c r="E45" s="82"/>
      <c r="F45" s="82"/>
      <c r="G45" s="82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83"/>
      <c r="AI45" s="83"/>
      <c r="AJ45" s="83"/>
      <c r="AK45" s="83"/>
      <c r="AL45" s="83"/>
      <c r="AM45" s="83"/>
      <c r="AN45" s="83"/>
      <c r="AO45" s="83"/>
      <c r="AP45" s="83"/>
      <c r="AQ45" s="83"/>
      <c r="AR45" s="83"/>
      <c r="AS45" s="83"/>
      <c r="AT45" s="83"/>
      <c r="AU45" s="83"/>
      <c r="AV45" s="83"/>
      <c r="AW45" s="83"/>
      <c r="AX45" s="83"/>
      <c r="AY45" s="83"/>
      <c r="AZ45" s="83"/>
      <c r="BA45" s="83"/>
      <c r="BB45" s="83"/>
      <c r="BC45" s="83"/>
    </row>
    <row r="46" customFormat="false" ht="27.75" hidden="false" customHeight="true" outlineLevel="0" collapsed="false">
      <c r="B46" s="81" t="n">
        <v>11</v>
      </c>
      <c r="C46" s="81"/>
      <c r="D46" s="82"/>
      <c r="E46" s="82"/>
      <c r="F46" s="82"/>
      <c r="G46" s="82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83"/>
      <c r="AI46" s="83"/>
      <c r="AJ46" s="83"/>
      <c r="AK46" s="83"/>
      <c r="AL46" s="83"/>
      <c r="AM46" s="83"/>
      <c r="AN46" s="83"/>
      <c r="AO46" s="83"/>
      <c r="AP46" s="83"/>
      <c r="AQ46" s="83"/>
      <c r="AR46" s="83"/>
      <c r="AS46" s="83"/>
      <c r="AT46" s="83"/>
      <c r="AU46" s="83"/>
      <c r="AV46" s="83"/>
      <c r="AW46" s="83"/>
      <c r="AX46" s="83"/>
      <c r="AY46" s="83"/>
      <c r="AZ46" s="83"/>
      <c r="BA46" s="83"/>
      <c r="BB46" s="83"/>
      <c r="BC46" s="83"/>
    </row>
    <row r="47" customFormat="false" ht="24" hidden="false" customHeight="true" outlineLevel="0" collapsed="false">
      <c r="B47" s="84" t="s">
        <v>132</v>
      </c>
      <c r="C47" s="84"/>
      <c r="E47" s="85" t="s">
        <v>144</v>
      </c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  <c r="AE47" s="85"/>
      <c r="AF47" s="85"/>
      <c r="AG47" s="85"/>
      <c r="AH47" s="85"/>
      <c r="AI47" s="85"/>
      <c r="AJ47" s="85"/>
      <c r="AK47" s="85"/>
      <c r="AL47" s="85"/>
      <c r="AM47" s="85"/>
      <c r="AN47" s="85"/>
      <c r="AO47" s="85"/>
      <c r="AP47" s="85"/>
      <c r="AQ47" s="85"/>
      <c r="AR47" s="85"/>
      <c r="AS47" s="85"/>
      <c r="AT47" s="85"/>
      <c r="AU47" s="85"/>
      <c r="AV47" s="85"/>
      <c r="AW47" s="85"/>
      <c r="AX47" s="85"/>
      <c r="AY47" s="85"/>
      <c r="AZ47" s="85"/>
      <c r="BA47" s="85"/>
      <c r="BB47" s="85"/>
      <c r="BC47" s="85"/>
    </row>
    <row r="48" customFormat="false" ht="139.5" hidden="false" customHeight="true" outlineLevel="0" collapsed="false"/>
    <row r="49" customFormat="false" ht="18" hidden="false" customHeight="true" outlineLevel="0" collapsed="false">
      <c r="B49" s="75" t="s">
        <v>134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  <c r="AA49" s="75"/>
      <c r="AB49" s="76" t="s">
        <v>145</v>
      </c>
      <c r="AC49" s="76"/>
      <c r="AD49" s="76"/>
      <c r="AE49" s="76"/>
      <c r="AF49" s="76"/>
      <c r="AG49" s="76"/>
      <c r="AH49" s="76"/>
      <c r="AI49" s="76"/>
      <c r="AJ49" s="76"/>
      <c r="AK49" s="76"/>
      <c r="AL49" s="76"/>
      <c r="AM49" s="76"/>
      <c r="AN49" s="76"/>
      <c r="AO49" s="76"/>
      <c r="AP49" s="76"/>
      <c r="AQ49" s="76"/>
      <c r="AR49" s="76"/>
      <c r="AS49" s="76"/>
      <c r="AT49" s="76"/>
      <c r="AU49" s="76"/>
      <c r="AV49" s="76"/>
      <c r="AW49" s="76"/>
      <c r="AX49" s="76"/>
      <c r="AY49" s="76"/>
      <c r="AZ49" s="76"/>
      <c r="BA49" s="76"/>
      <c r="BB49" s="76"/>
      <c r="BC49" s="76"/>
    </row>
    <row r="50" customFormat="false" ht="7.5" hidden="false" customHeight="true" outlineLevel="0" collapsed="false"/>
    <row r="51" customFormat="false" ht="24" hidden="false" customHeight="true" outlineLevel="0" collapsed="false">
      <c r="B51" s="86" t="s">
        <v>115</v>
      </c>
      <c r="C51" s="86"/>
      <c r="D51" s="86"/>
      <c r="E51" s="86"/>
      <c r="F51" s="86"/>
      <c r="H51" s="87" t="s">
        <v>116</v>
      </c>
      <c r="I51" s="87"/>
      <c r="J51" s="87"/>
      <c r="K51" s="87"/>
      <c r="L51" s="87"/>
      <c r="M51" s="87"/>
      <c r="N51" s="87"/>
      <c r="O51" s="87"/>
      <c r="P51" s="87"/>
      <c r="AA51" s="88" t="s">
        <v>136</v>
      </c>
      <c r="AB51" s="88"/>
      <c r="AC51" s="88"/>
      <c r="AD51" s="88"/>
      <c r="AE51" s="88"/>
      <c r="AF51" s="89" t="str">
        <f aca="false">Dashboard!$C$6</f>
        <v>Bindhya TB</v>
      </c>
      <c r="AG51" s="89"/>
      <c r="AH51" s="89"/>
      <c r="AI51" s="89"/>
      <c r="AJ51" s="89"/>
      <c r="AK51" s="89"/>
      <c r="AL51" s="89"/>
      <c r="AM51" s="89"/>
      <c r="AN51" s="89"/>
      <c r="AO51" s="89"/>
      <c r="AP51" s="89"/>
      <c r="AR51" s="88" t="s">
        <v>137</v>
      </c>
      <c r="AS51" s="88"/>
      <c r="AT51" s="89" t="str">
        <f aca="false">TEXT(Cal!H2,"dd mmm")&amp;" to "&amp;TEXT(Cal!I2,"dd mmm yy")</f>
        <v>01 Oct to 03 Oct 26</v>
      </c>
      <c r="AU51" s="89"/>
      <c r="AV51" s="89"/>
      <c r="AW51" s="89"/>
      <c r="AX51" s="89"/>
      <c r="AY51" s="89"/>
      <c r="AZ51" s="89"/>
      <c r="BA51" s="89"/>
      <c r="BB51" s="89"/>
      <c r="BC51" s="89"/>
    </row>
    <row r="52" customFormat="false" ht="3" hidden="false" customHeight="true" outlineLevel="0" collapsed="false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</row>
    <row r="53" customFormat="false" ht="9.75" hidden="false" customHeight="true" outlineLevel="0" collapsed="false"/>
    <row r="54" customFormat="false" ht="21.75" hidden="false" customHeight="true" outlineLevel="0" collapsed="false">
      <c r="B54" s="6"/>
      <c r="C54" s="19" t="s">
        <v>146</v>
      </c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59" t="s">
        <v>147</v>
      </c>
      <c r="AM54" s="59"/>
      <c r="AN54" s="59"/>
      <c r="AO54" s="59"/>
      <c r="AP54" s="59"/>
      <c r="AQ54" s="59"/>
      <c r="AR54" s="59"/>
      <c r="AS54" s="59"/>
      <c r="AT54" s="59"/>
      <c r="AU54" s="59"/>
      <c r="AV54" s="59"/>
      <c r="AW54" s="59"/>
      <c r="AX54" s="59"/>
      <c r="AY54" s="59"/>
      <c r="AZ54" s="59"/>
      <c r="BA54" s="59"/>
      <c r="BB54" s="59"/>
      <c r="BC54" s="59"/>
    </row>
    <row r="55" customFormat="false" ht="27.75" hidden="false" customHeight="true" outlineLevel="0" collapsed="false">
      <c r="B55" s="79" t="s">
        <v>124</v>
      </c>
      <c r="C55" s="79"/>
      <c r="D55" s="80" t="s">
        <v>140</v>
      </c>
      <c r="E55" s="80"/>
      <c r="F55" s="80"/>
      <c r="G55" s="80"/>
      <c r="H55" s="80" t="s">
        <v>127</v>
      </c>
      <c r="I55" s="80"/>
      <c r="J55" s="80"/>
      <c r="K55" s="80"/>
      <c r="L55" s="80"/>
      <c r="M55" s="80"/>
      <c r="N55" s="80"/>
      <c r="O55" s="80"/>
      <c r="P55" s="80" t="s">
        <v>126</v>
      </c>
      <c r="Q55" s="80"/>
      <c r="R55" s="80"/>
      <c r="S55" s="80"/>
      <c r="T55" s="80"/>
      <c r="U55" s="80"/>
      <c r="V55" s="80"/>
      <c r="W55" s="80" t="s">
        <v>148</v>
      </c>
      <c r="X55" s="80"/>
      <c r="Y55" s="80"/>
      <c r="Z55" s="80"/>
      <c r="AA55" s="80"/>
      <c r="AB55" s="80"/>
      <c r="AC55" s="80" t="s">
        <v>149</v>
      </c>
      <c r="AD55" s="80"/>
      <c r="AE55" s="80"/>
      <c r="AF55" s="80"/>
      <c r="AG55" s="80" t="s">
        <v>150</v>
      </c>
      <c r="AH55" s="80"/>
      <c r="AI55" s="80"/>
      <c r="AJ55" s="80"/>
      <c r="AK55" s="80"/>
      <c r="AL55" s="80"/>
      <c r="AM55" s="80"/>
      <c r="AN55" s="80"/>
      <c r="AO55" s="80"/>
      <c r="AP55" s="80"/>
      <c r="AQ55" s="80"/>
      <c r="AR55" s="80"/>
      <c r="AS55" s="80"/>
      <c r="AT55" s="80"/>
      <c r="AU55" s="80"/>
      <c r="AV55" s="80"/>
      <c r="AW55" s="80"/>
      <c r="AX55" s="80"/>
      <c r="AY55" s="80"/>
      <c r="AZ55" s="80"/>
      <c r="BA55" s="80"/>
      <c r="BB55" s="80"/>
      <c r="BC55" s="80"/>
    </row>
    <row r="56" customFormat="false" ht="27.75" hidden="false" customHeight="true" outlineLevel="0" collapsed="false">
      <c r="B56" s="81" t="n">
        <v>1</v>
      </c>
      <c r="C56" s="81"/>
      <c r="D56" s="82"/>
      <c r="E56" s="82"/>
      <c r="F56" s="82"/>
      <c r="G56" s="82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90"/>
      <c r="X56" s="90"/>
      <c r="Y56" s="90"/>
      <c r="Z56" s="90"/>
      <c r="AA56" s="90"/>
      <c r="AB56" s="90"/>
      <c r="AC56" s="83"/>
      <c r="AD56" s="83"/>
      <c r="AE56" s="83"/>
      <c r="AF56" s="83"/>
      <c r="AG56" s="83"/>
      <c r="AH56" s="83"/>
      <c r="AI56" s="83"/>
      <c r="AJ56" s="83"/>
      <c r="AK56" s="83"/>
      <c r="AL56" s="83"/>
      <c r="AM56" s="83"/>
      <c r="AN56" s="83"/>
      <c r="AO56" s="83"/>
      <c r="AP56" s="83"/>
      <c r="AQ56" s="83"/>
      <c r="AR56" s="83"/>
      <c r="AS56" s="83"/>
      <c r="AT56" s="83"/>
      <c r="AU56" s="83"/>
      <c r="AV56" s="83"/>
      <c r="AW56" s="83"/>
      <c r="AX56" s="83"/>
      <c r="AY56" s="83"/>
      <c r="AZ56" s="83"/>
      <c r="BA56" s="83"/>
      <c r="BB56" s="83"/>
      <c r="BC56" s="83"/>
    </row>
    <row r="57" customFormat="false" ht="27.75" hidden="false" customHeight="true" outlineLevel="0" collapsed="false">
      <c r="B57" s="81" t="n">
        <v>2</v>
      </c>
      <c r="C57" s="81"/>
      <c r="D57" s="82"/>
      <c r="E57" s="82"/>
      <c r="F57" s="82"/>
      <c r="G57" s="82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90"/>
      <c r="X57" s="90"/>
      <c r="Y57" s="90"/>
      <c r="Z57" s="90"/>
      <c r="AA57" s="90"/>
      <c r="AB57" s="90"/>
      <c r="AC57" s="83"/>
      <c r="AD57" s="83"/>
      <c r="AE57" s="83"/>
      <c r="AF57" s="83"/>
      <c r="AG57" s="83"/>
      <c r="AH57" s="83"/>
      <c r="AI57" s="83"/>
      <c r="AJ57" s="83"/>
      <c r="AK57" s="83"/>
      <c r="AL57" s="83"/>
      <c r="AM57" s="83"/>
      <c r="AN57" s="83"/>
      <c r="AO57" s="83"/>
      <c r="AP57" s="83"/>
      <c r="AQ57" s="83"/>
      <c r="AR57" s="83"/>
      <c r="AS57" s="83"/>
      <c r="AT57" s="83"/>
      <c r="AU57" s="83"/>
      <c r="AV57" s="83"/>
      <c r="AW57" s="83"/>
      <c r="AX57" s="83"/>
      <c r="AY57" s="83"/>
      <c r="AZ57" s="83"/>
      <c r="BA57" s="83"/>
      <c r="BB57" s="83"/>
      <c r="BC57" s="83"/>
    </row>
    <row r="58" customFormat="false" ht="27.75" hidden="false" customHeight="true" outlineLevel="0" collapsed="false">
      <c r="B58" s="81" t="n">
        <v>3</v>
      </c>
      <c r="C58" s="81"/>
      <c r="D58" s="82"/>
      <c r="E58" s="82"/>
      <c r="F58" s="82"/>
      <c r="G58" s="82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90"/>
      <c r="X58" s="90"/>
      <c r="Y58" s="90"/>
      <c r="Z58" s="90"/>
      <c r="AA58" s="90"/>
      <c r="AB58" s="90"/>
      <c r="AC58" s="83"/>
      <c r="AD58" s="83"/>
      <c r="AE58" s="83"/>
      <c r="AF58" s="83"/>
      <c r="AG58" s="83"/>
      <c r="AH58" s="83"/>
      <c r="AI58" s="83"/>
      <c r="AJ58" s="83"/>
      <c r="AK58" s="83"/>
      <c r="AL58" s="83"/>
      <c r="AM58" s="83"/>
      <c r="AN58" s="83"/>
      <c r="AO58" s="83"/>
      <c r="AP58" s="83"/>
      <c r="AQ58" s="83"/>
      <c r="AR58" s="83"/>
      <c r="AS58" s="83"/>
      <c r="AT58" s="83"/>
      <c r="AU58" s="83"/>
      <c r="AV58" s="83"/>
      <c r="AW58" s="83"/>
      <c r="AX58" s="83"/>
      <c r="AY58" s="83"/>
      <c r="AZ58" s="83"/>
      <c r="BA58" s="83"/>
      <c r="BB58" s="83"/>
      <c r="BC58" s="83"/>
    </row>
    <row r="59" customFormat="false" ht="27.75" hidden="false" customHeight="true" outlineLevel="0" collapsed="false">
      <c r="B59" s="81" t="n">
        <v>4</v>
      </c>
      <c r="C59" s="81"/>
      <c r="D59" s="82"/>
      <c r="E59" s="82"/>
      <c r="F59" s="82"/>
      <c r="G59" s="82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90"/>
      <c r="X59" s="90"/>
      <c r="Y59" s="90"/>
      <c r="Z59" s="90"/>
      <c r="AA59" s="90"/>
      <c r="AB59" s="90"/>
      <c r="AC59" s="83"/>
      <c r="AD59" s="83"/>
      <c r="AE59" s="83"/>
      <c r="AF59" s="83"/>
      <c r="AG59" s="83"/>
      <c r="AH59" s="83"/>
      <c r="AI59" s="83"/>
      <c r="AJ59" s="83"/>
      <c r="AK59" s="83"/>
      <c r="AL59" s="83"/>
      <c r="AM59" s="83"/>
      <c r="AN59" s="83"/>
      <c r="AO59" s="83"/>
      <c r="AP59" s="83"/>
      <c r="AQ59" s="83"/>
      <c r="AR59" s="83"/>
      <c r="AS59" s="83"/>
      <c r="AT59" s="83"/>
      <c r="AU59" s="83"/>
      <c r="AV59" s="83"/>
      <c r="AW59" s="83"/>
      <c r="AX59" s="83"/>
      <c r="AY59" s="83"/>
      <c r="AZ59" s="83"/>
      <c r="BA59" s="83"/>
      <c r="BB59" s="83"/>
      <c r="BC59" s="83"/>
    </row>
    <row r="60" customFormat="false" ht="27.75" hidden="false" customHeight="true" outlineLevel="0" collapsed="false">
      <c r="B60" s="81" t="n">
        <v>5</v>
      </c>
      <c r="C60" s="81"/>
      <c r="D60" s="82"/>
      <c r="E60" s="82"/>
      <c r="F60" s="82"/>
      <c r="G60" s="82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90"/>
      <c r="X60" s="90"/>
      <c r="Y60" s="90"/>
      <c r="Z60" s="90"/>
      <c r="AA60" s="90"/>
      <c r="AB60" s="90"/>
      <c r="AC60" s="83"/>
      <c r="AD60" s="83"/>
      <c r="AE60" s="83"/>
      <c r="AF60" s="83"/>
      <c r="AG60" s="83"/>
      <c r="AH60" s="83"/>
      <c r="AI60" s="83"/>
      <c r="AJ60" s="83"/>
      <c r="AK60" s="83"/>
      <c r="AL60" s="83"/>
      <c r="AM60" s="83"/>
      <c r="AN60" s="83"/>
      <c r="AO60" s="83"/>
      <c r="AP60" s="83"/>
      <c r="AQ60" s="83"/>
      <c r="AR60" s="83"/>
      <c r="AS60" s="83"/>
      <c r="AT60" s="83"/>
      <c r="AU60" s="83"/>
      <c r="AV60" s="83"/>
      <c r="AW60" s="83"/>
      <c r="AX60" s="83"/>
      <c r="AY60" s="83"/>
      <c r="AZ60" s="83"/>
      <c r="BA60" s="83"/>
      <c r="BB60" s="83"/>
      <c r="BC60" s="83"/>
    </row>
    <row r="61" customFormat="false" ht="27.75" hidden="false" customHeight="true" outlineLevel="0" collapsed="false">
      <c r="B61" s="81" t="n">
        <v>6</v>
      </c>
      <c r="C61" s="81"/>
      <c r="D61" s="82"/>
      <c r="E61" s="82"/>
      <c r="F61" s="82"/>
      <c r="G61" s="82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90"/>
      <c r="X61" s="90"/>
      <c r="Y61" s="90"/>
      <c r="Z61" s="90"/>
      <c r="AA61" s="90"/>
      <c r="AB61" s="90"/>
      <c r="AC61" s="83"/>
      <c r="AD61" s="83"/>
      <c r="AE61" s="83"/>
      <c r="AF61" s="83"/>
      <c r="AG61" s="83"/>
      <c r="AH61" s="83"/>
      <c r="AI61" s="83"/>
      <c r="AJ61" s="83"/>
      <c r="AK61" s="83"/>
      <c r="AL61" s="83"/>
      <c r="AM61" s="83"/>
      <c r="AN61" s="83"/>
      <c r="AO61" s="83"/>
      <c r="AP61" s="83"/>
      <c r="AQ61" s="83"/>
      <c r="AR61" s="83"/>
      <c r="AS61" s="83"/>
      <c r="AT61" s="83"/>
      <c r="AU61" s="83"/>
      <c r="AV61" s="83"/>
      <c r="AW61" s="83"/>
      <c r="AX61" s="83"/>
      <c r="AY61" s="83"/>
      <c r="AZ61" s="83"/>
      <c r="BA61" s="83"/>
      <c r="BB61" s="83"/>
      <c r="BC61" s="83"/>
    </row>
    <row r="62" customFormat="false" ht="24" hidden="false" customHeight="true" outlineLevel="0" collapsed="false">
      <c r="B62" s="84" t="s">
        <v>132</v>
      </c>
      <c r="C62" s="84"/>
      <c r="E62" s="85" t="s">
        <v>151</v>
      </c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  <c r="AD62" s="85"/>
      <c r="AE62" s="85"/>
      <c r="AF62" s="85"/>
      <c r="AG62" s="85"/>
      <c r="AH62" s="85"/>
      <c r="AI62" s="85"/>
      <c r="AJ62" s="85"/>
      <c r="AK62" s="85"/>
      <c r="AL62" s="85"/>
      <c r="AM62" s="85"/>
      <c r="AN62" s="85"/>
      <c r="AO62" s="85"/>
      <c r="AP62" s="85"/>
      <c r="AQ62" s="85"/>
      <c r="AR62" s="85"/>
      <c r="AS62" s="85"/>
      <c r="AT62" s="85"/>
      <c r="AU62" s="85"/>
      <c r="AV62" s="85"/>
      <c r="AW62" s="85"/>
      <c r="AX62" s="85"/>
      <c r="AY62" s="85"/>
      <c r="AZ62" s="85"/>
      <c r="BA62" s="85"/>
      <c r="BB62" s="85"/>
      <c r="BC62" s="85"/>
    </row>
    <row r="63" customFormat="false" ht="9.75" hidden="false" customHeight="true" outlineLevel="0" collapsed="false"/>
    <row r="64" customFormat="false" ht="21.75" hidden="false" customHeight="true" outlineLevel="0" collapsed="false">
      <c r="B64" s="6"/>
      <c r="C64" s="19" t="s">
        <v>152</v>
      </c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59" t="s">
        <v>153</v>
      </c>
      <c r="AM64" s="59"/>
      <c r="AN64" s="59"/>
      <c r="AO64" s="59"/>
      <c r="AP64" s="59"/>
      <c r="AQ64" s="59"/>
      <c r="AR64" s="59"/>
      <c r="AS64" s="59"/>
      <c r="AT64" s="59"/>
      <c r="AU64" s="59"/>
      <c r="AV64" s="59"/>
      <c r="AW64" s="59"/>
      <c r="AX64" s="59"/>
      <c r="AY64" s="59"/>
      <c r="AZ64" s="59"/>
      <c r="BA64" s="59"/>
      <c r="BB64" s="59"/>
      <c r="BC64" s="59"/>
    </row>
    <row r="65" customFormat="false" ht="27.75" hidden="false" customHeight="true" outlineLevel="0" collapsed="false">
      <c r="B65" s="79" t="s">
        <v>124</v>
      </c>
      <c r="C65" s="79"/>
      <c r="D65" s="80" t="s">
        <v>140</v>
      </c>
      <c r="E65" s="80"/>
      <c r="F65" s="80"/>
      <c r="G65" s="80"/>
      <c r="H65" s="80" t="s">
        <v>127</v>
      </c>
      <c r="I65" s="80"/>
      <c r="J65" s="80"/>
      <c r="K65" s="80"/>
      <c r="L65" s="80"/>
      <c r="M65" s="80"/>
      <c r="N65" s="80"/>
      <c r="O65" s="80"/>
      <c r="P65" s="80" t="s">
        <v>126</v>
      </c>
      <c r="Q65" s="80"/>
      <c r="R65" s="80"/>
      <c r="S65" s="80"/>
      <c r="T65" s="80"/>
      <c r="U65" s="80"/>
      <c r="V65" s="80"/>
      <c r="W65" s="80" t="s">
        <v>154</v>
      </c>
      <c r="X65" s="80"/>
      <c r="Y65" s="80"/>
      <c r="Z65" s="80"/>
      <c r="AA65" s="80"/>
      <c r="AB65" s="80"/>
      <c r="AC65" s="80" t="s">
        <v>149</v>
      </c>
      <c r="AD65" s="80"/>
      <c r="AE65" s="80"/>
      <c r="AF65" s="80"/>
      <c r="AG65" s="80" t="s">
        <v>150</v>
      </c>
      <c r="AH65" s="80"/>
      <c r="AI65" s="80"/>
      <c r="AJ65" s="80"/>
      <c r="AK65" s="80"/>
      <c r="AL65" s="80"/>
      <c r="AM65" s="80"/>
      <c r="AN65" s="80"/>
      <c r="AO65" s="80"/>
      <c r="AP65" s="80"/>
      <c r="AQ65" s="80"/>
      <c r="AR65" s="80"/>
      <c r="AS65" s="80"/>
      <c r="AT65" s="80"/>
      <c r="AU65" s="80"/>
      <c r="AV65" s="80"/>
      <c r="AW65" s="80"/>
      <c r="AX65" s="80"/>
      <c r="AY65" s="80"/>
      <c r="AZ65" s="80"/>
      <c r="BA65" s="80"/>
      <c r="BB65" s="80"/>
      <c r="BC65" s="80"/>
    </row>
    <row r="66" customFormat="false" ht="27.75" hidden="false" customHeight="true" outlineLevel="0" collapsed="false">
      <c r="B66" s="81" t="n">
        <v>1</v>
      </c>
      <c r="C66" s="81"/>
      <c r="D66" s="82"/>
      <c r="E66" s="82"/>
      <c r="F66" s="82"/>
      <c r="G66" s="82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90"/>
      <c r="X66" s="90"/>
      <c r="Y66" s="90"/>
      <c r="Z66" s="90"/>
      <c r="AA66" s="90"/>
      <c r="AB66" s="90"/>
      <c r="AC66" s="83"/>
      <c r="AD66" s="83"/>
      <c r="AE66" s="83"/>
      <c r="AF66" s="83"/>
      <c r="AG66" s="83"/>
      <c r="AH66" s="83"/>
      <c r="AI66" s="83"/>
      <c r="AJ66" s="83"/>
      <c r="AK66" s="83"/>
      <c r="AL66" s="83"/>
      <c r="AM66" s="83"/>
      <c r="AN66" s="83"/>
      <c r="AO66" s="83"/>
      <c r="AP66" s="83"/>
      <c r="AQ66" s="83"/>
      <c r="AR66" s="83"/>
      <c r="AS66" s="83"/>
      <c r="AT66" s="83"/>
      <c r="AU66" s="83"/>
      <c r="AV66" s="83"/>
      <c r="AW66" s="83"/>
      <c r="AX66" s="83"/>
      <c r="AY66" s="83"/>
      <c r="AZ66" s="83"/>
      <c r="BA66" s="83"/>
      <c r="BB66" s="83"/>
      <c r="BC66" s="83"/>
    </row>
    <row r="67" customFormat="false" ht="27.75" hidden="false" customHeight="true" outlineLevel="0" collapsed="false">
      <c r="B67" s="81" t="n">
        <v>2</v>
      </c>
      <c r="C67" s="81"/>
      <c r="D67" s="82"/>
      <c r="E67" s="82"/>
      <c r="F67" s="82"/>
      <c r="G67" s="82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90"/>
      <c r="X67" s="90"/>
      <c r="Y67" s="90"/>
      <c r="Z67" s="90"/>
      <c r="AA67" s="90"/>
      <c r="AB67" s="90"/>
      <c r="AC67" s="83"/>
      <c r="AD67" s="83"/>
      <c r="AE67" s="83"/>
      <c r="AF67" s="83"/>
      <c r="AG67" s="83"/>
      <c r="AH67" s="83"/>
      <c r="AI67" s="83"/>
      <c r="AJ67" s="83"/>
      <c r="AK67" s="83"/>
      <c r="AL67" s="83"/>
      <c r="AM67" s="83"/>
      <c r="AN67" s="83"/>
      <c r="AO67" s="83"/>
      <c r="AP67" s="83"/>
      <c r="AQ67" s="83"/>
      <c r="AR67" s="83"/>
      <c r="AS67" s="83"/>
      <c r="AT67" s="83"/>
      <c r="AU67" s="83"/>
      <c r="AV67" s="83"/>
      <c r="AW67" s="83"/>
      <c r="AX67" s="83"/>
      <c r="AY67" s="83"/>
      <c r="AZ67" s="83"/>
      <c r="BA67" s="83"/>
      <c r="BB67" s="83"/>
      <c r="BC67" s="83"/>
    </row>
    <row r="68" customFormat="false" ht="27.75" hidden="false" customHeight="true" outlineLevel="0" collapsed="false">
      <c r="B68" s="81" t="n">
        <v>3</v>
      </c>
      <c r="C68" s="81"/>
      <c r="D68" s="82"/>
      <c r="E68" s="82"/>
      <c r="F68" s="82"/>
      <c r="G68" s="82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90"/>
      <c r="X68" s="90"/>
      <c r="Y68" s="90"/>
      <c r="Z68" s="90"/>
      <c r="AA68" s="90"/>
      <c r="AB68" s="90"/>
      <c r="AC68" s="83"/>
      <c r="AD68" s="83"/>
      <c r="AE68" s="83"/>
      <c r="AF68" s="83"/>
      <c r="AG68" s="83"/>
      <c r="AH68" s="83"/>
      <c r="AI68" s="83"/>
      <c r="AJ68" s="83"/>
      <c r="AK68" s="83"/>
      <c r="AL68" s="83"/>
      <c r="AM68" s="83"/>
      <c r="AN68" s="83"/>
      <c r="AO68" s="83"/>
      <c r="AP68" s="83"/>
      <c r="AQ68" s="83"/>
      <c r="AR68" s="83"/>
      <c r="AS68" s="83"/>
      <c r="AT68" s="83"/>
      <c r="AU68" s="83"/>
      <c r="AV68" s="83"/>
      <c r="AW68" s="83"/>
      <c r="AX68" s="83"/>
      <c r="AY68" s="83"/>
      <c r="AZ68" s="83"/>
      <c r="BA68" s="83"/>
      <c r="BB68" s="83"/>
      <c r="BC68" s="83"/>
    </row>
    <row r="69" customFormat="false" ht="27.75" hidden="false" customHeight="true" outlineLevel="0" collapsed="false">
      <c r="B69" s="81" t="n">
        <v>4</v>
      </c>
      <c r="C69" s="81"/>
      <c r="D69" s="82"/>
      <c r="E69" s="82"/>
      <c r="F69" s="82"/>
      <c r="G69" s="82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90"/>
      <c r="X69" s="90"/>
      <c r="Y69" s="90"/>
      <c r="Z69" s="90"/>
      <c r="AA69" s="90"/>
      <c r="AB69" s="90"/>
      <c r="AC69" s="83"/>
      <c r="AD69" s="83"/>
      <c r="AE69" s="83"/>
      <c r="AF69" s="83"/>
      <c r="AG69" s="83"/>
      <c r="AH69" s="83"/>
      <c r="AI69" s="83"/>
      <c r="AJ69" s="83"/>
      <c r="AK69" s="83"/>
      <c r="AL69" s="83"/>
      <c r="AM69" s="83"/>
      <c r="AN69" s="83"/>
      <c r="AO69" s="83"/>
      <c r="AP69" s="83"/>
      <c r="AQ69" s="83"/>
      <c r="AR69" s="83"/>
      <c r="AS69" s="83"/>
      <c r="AT69" s="83"/>
      <c r="AU69" s="83"/>
      <c r="AV69" s="83"/>
      <c r="AW69" s="83"/>
      <c r="AX69" s="83"/>
      <c r="AY69" s="83"/>
      <c r="AZ69" s="83"/>
      <c r="BA69" s="83"/>
      <c r="BB69" s="83"/>
      <c r="BC69" s="83"/>
    </row>
    <row r="70" customFormat="false" ht="27.75" hidden="false" customHeight="true" outlineLevel="0" collapsed="false">
      <c r="B70" s="81" t="n">
        <v>5</v>
      </c>
      <c r="C70" s="81"/>
      <c r="D70" s="82"/>
      <c r="E70" s="82"/>
      <c r="F70" s="82"/>
      <c r="G70" s="82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90"/>
      <c r="X70" s="90"/>
      <c r="Y70" s="90"/>
      <c r="Z70" s="90"/>
      <c r="AA70" s="90"/>
      <c r="AB70" s="90"/>
      <c r="AC70" s="83"/>
      <c r="AD70" s="83"/>
      <c r="AE70" s="83"/>
      <c r="AF70" s="83"/>
      <c r="AG70" s="83"/>
      <c r="AH70" s="83"/>
      <c r="AI70" s="83"/>
      <c r="AJ70" s="83"/>
      <c r="AK70" s="83"/>
      <c r="AL70" s="83"/>
      <c r="AM70" s="83"/>
      <c r="AN70" s="83"/>
      <c r="AO70" s="83"/>
      <c r="AP70" s="83"/>
      <c r="AQ70" s="83"/>
      <c r="AR70" s="83"/>
      <c r="AS70" s="83"/>
      <c r="AT70" s="83"/>
      <c r="AU70" s="83"/>
      <c r="AV70" s="83"/>
      <c r="AW70" s="83"/>
      <c r="AX70" s="83"/>
      <c r="AY70" s="83"/>
      <c r="AZ70" s="83"/>
      <c r="BA70" s="83"/>
      <c r="BB70" s="83"/>
      <c r="BC70" s="83"/>
    </row>
    <row r="71" customFormat="false" ht="24" hidden="false" customHeight="true" outlineLevel="0" collapsed="false">
      <c r="B71" s="84" t="s">
        <v>132</v>
      </c>
      <c r="C71" s="84"/>
      <c r="E71" s="85" t="s">
        <v>155</v>
      </c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  <c r="AE71" s="85"/>
      <c r="AF71" s="85"/>
      <c r="AG71" s="85"/>
      <c r="AH71" s="85"/>
      <c r="AI71" s="85"/>
      <c r="AJ71" s="85"/>
      <c r="AK71" s="85"/>
      <c r="AL71" s="85"/>
      <c r="AM71" s="85"/>
      <c r="AN71" s="85"/>
      <c r="AO71" s="85"/>
      <c r="AP71" s="85"/>
      <c r="AQ71" s="85"/>
      <c r="AR71" s="85"/>
      <c r="AS71" s="85"/>
      <c r="AT71" s="85"/>
      <c r="AU71" s="85"/>
      <c r="AV71" s="85"/>
      <c r="AW71" s="85"/>
      <c r="AX71" s="85"/>
      <c r="AY71" s="85"/>
      <c r="AZ71" s="85"/>
      <c r="BA71" s="85"/>
      <c r="BB71" s="85"/>
      <c r="BC71" s="85"/>
    </row>
    <row r="72" customFormat="false" ht="55.5" hidden="false" customHeight="true" outlineLevel="0" collapsed="false"/>
    <row r="73" customFormat="false" ht="18" hidden="false" customHeight="true" outlineLevel="0" collapsed="false">
      <c r="B73" s="75" t="s">
        <v>134</v>
      </c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  <c r="AA73" s="75"/>
      <c r="AB73" s="76" t="s">
        <v>156</v>
      </c>
      <c r="AC73" s="76"/>
      <c r="AD73" s="76"/>
      <c r="AE73" s="76"/>
      <c r="AF73" s="76"/>
      <c r="AG73" s="76"/>
      <c r="AH73" s="76"/>
      <c r="AI73" s="76"/>
      <c r="AJ73" s="76"/>
      <c r="AK73" s="76"/>
      <c r="AL73" s="76"/>
      <c r="AM73" s="76"/>
      <c r="AN73" s="76"/>
      <c r="AO73" s="76"/>
      <c r="AP73" s="76"/>
      <c r="AQ73" s="76"/>
      <c r="AR73" s="76"/>
      <c r="AS73" s="76"/>
      <c r="AT73" s="76"/>
      <c r="AU73" s="76"/>
      <c r="AV73" s="76"/>
      <c r="AW73" s="76"/>
      <c r="AX73" s="76"/>
      <c r="AY73" s="76"/>
      <c r="AZ73" s="76"/>
      <c r="BA73" s="76"/>
      <c r="BB73" s="76"/>
      <c r="BC73" s="76"/>
    </row>
    <row r="74" customFormat="false" ht="7.5" hidden="false" customHeight="true" outlineLevel="0" collapsed="false"/>
    <row r="75" customFormat="false" ht="24" hidden="false" customHeight="true" outlineLevel="0" collapsed="false">
      <c r="B75" s="86" t="s">
        <v>115</v>
      </c>
      <c r="C75" s="86"/>
      <c r="D75" s="86"/>
      <c r="E75" s="86"/>
      <c r="F75" s="86"/>
      <c r="H75" s="87" t="s">
        <v>116</v>
      </c>
      <c r="I75" s="87"/>
      <c r="J75" s="87"/>
      <c r="K75" s="87"/>
      <c r="L75" s="87"/>
      <c r="M75" s="87"/>
      <c r="N75" s="87"/>
      <c r="O75" s="87"/>
      <c r="P75" s="87"/>
      <c r="AA75" s="88" t="s">
        <v>136</v>
      </c>
      <c r="AB75" s="88"/>
      <c r="AC75" s="88"/>
      <c r="AD75" s="88"/>
      <c r="AE75" s="88"/>
      <c r="AF75" s="89" t="str">
        <f aca="false">Dashboard!$C$6</f>
        <v>Bindhya TB</v>
      </c>
      <c r="AG75" s="89"/>
      <c r="AH75" s="89"/>
      <c r="AI75" s="89"/>
      <c r="AJ75" s="89"/>
      <c r="AK75" s="89"/>
      <c r="AL75" s="89"/>
      <c r="AM75" s="89"/>
      <c r="AN75" s="89"/>
      <c r="AO75" s="89"/>
      <c r="AP75" s="89"/>
      <c r="AR75" s="88" t="s">
        <v>137</v>
      </c>
      <c r="AS75" s="88"/>
      <c r="AT75" s="89" t="str">
        <f aca="false">TEXT(Cal!H2,"dd mmm")&amp;" to "&amp;TEXT(Cal!I2,"dd mmm yy")</f>
        <v>01 Oct to 03 Oct 26</v>
      </c>
      <c r="AU75" s="89"/>
      <c r="AV75" s="89"/>
      <c r="AW75" s="89"/>
      <c r="AX75" s="89"/>
      <c r="AY75" s="89"/>
      <c r="AZ75" s="89"/>
      <c r="BA75" s="89"/>
      <c r="BB75" s="89"/>
      <c r="BC75" s="89"/>
    </row>
    <row r="76" customFormat="false" ht="3" hidden="false" customHeight="true" outlineLevel="0" collapsed="false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</row>
    <row r="77" customFormat="false" ht="9.75" hidden="false" customHeight="true" outlineLevel="0" collapsed="false"/>
    <row r="78" customFormat="false" ht="21.75" hidden="false" customHeight="true" outlineLevel="0" collapsed="false">
      <c r="B78" s="6"/>
      <c r="C78" s="19" t="s">
        <v>157</v>
      </c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59" t="s">
        <v>158</v>
      </c>
      <c r="AM78" s="59"/>
      <c r="AN78" s="59"/>
      <c r="AO78" s="59"/>
      <c r="AP78" s="59"/>
      <c r="AQ78" s="59"/>
      <c r="AR78" s="59"/>
      <c r="AS78" s="59"/>
      <c r="AT78" s="59"/>
      <c r="AU78" s="59"/>
      <c r="AV78" s="59"/>
      <c r="AW78" s="59"/>
      <c r="AX78" s="59"/>
      <c r="AY78" s="59"/>
      <c r="AZ78" s="59"/>
      <c r="BA78" s="59"/>
      <c r="BB78" s="59"/>
      <c r="BC78" s="59"/>
    </row>
    <row r="79" customFormat="false" ht="27.75" hidden="false" customHeight="true" outlineLevel="0" collapsed="false">
      <c r="B79" s="79" t="s">
        <v>124</v>
      </c>
      <c r="C79" s="79"/>
      <c r="D79" s="80" t="s">
        <v>140</v>
      </c>
      <c r="E79" s="80"/>
      <c r="F79" s="80"/>
      <c r="G79" s="80"/>
      <c r="H79" s="80" t="s">
        <v>126</v>
      </c>
      <c r="I79" s="80"/>
      <c r="J79" s="80"/>
      <c r="K79" s="80"/>
      <c r="L79" s="80"/>
      <c r="M79" s="80"/>
      <c r="N79" s="80"/>
      <c r="O79" s="80" t="s">
        <v>159</v>
      </c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  <c r="AA79" s="80"/>
      <c r="AB79" s="80"/>
      <c r="AC79" s="80"/>
      <c r="AD79" s="80"/>
      <c r="AE79" s="80" t="s">
        <v>160</v>
      </c>
      <c r="AF79" s="80"/>
      <c r="AG79" s="80"/>
      <c r="AH79" s="80"/>
      <c r="AI79" s="80" t="s">
        <v>161</v>
      </c>
      <c r="AJ79" s="80"/>
      <c r="AK79" s="80"/>
      <c r="AL79" s="80"/>
      <c r="AM79" s="80"/>
      <c r="AN79" s="80"/>
      <c r="AO79" s="80"/>
      <c r="AP79" s="80"/>
      <c r="AQ79" s="80"/>
      <c r="AR79" s="80"/>
      <c r="AS79" s="80"/>
      <c r="AT79" s="80"/>
      <c r="AU79" s="80"/>
      <c r="AV79" s="80"/>
      <c r="AW79" s="80" t="s">
        <v>162</v>
      </c>
      <c r="AX79" s="80"/>
      <c r="AY79" s="80"/>
      <c r="AZ79" s="80"/>
      <c r="BA79" s="80"/>
      <c r="BB79" s="80"/>
      <c r="BC79" s="80"/>
    </row>
    <row r="80" customFormat="false" ht="27.75" hidden="false" customHeight="true" outlineLevel="0" collapsed="false">
      <c r="B80" s="81" t="n">
        <v>1</v>
      </c>
      <c r="C80" s="81"/>
      <c r="D80" s="82"/>
      <c r="E80" s="82"/>
      <c r="F80" s="82"/>
      <c r="G80" s="82"/>
      <c r="H80" s="83"/>
      <c r="I80" s="83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  <c r="AA80" s="83"/>
      <c r="AB80" s="83"/>
      <c r="AC80" s="83"/>
      <c r="AD80" s="83"/>
      <c r="AE80" s="83"/>
      <c r="AF80" s="83"/>
      <c r="AG80" s="83"/>
      <c r="AH80" s="83"/>
      <c r="AI80" s="83"/>
      <c r="AJ80" s="83"/>
      <c r="AK80" s="83"/>
      <c r="AL80" s="83"/>
      <c r="AM80" s="83"/>
      <c r="AN80" s="83"/>
      <c r="AO80" s="83"/>
      <c r="AP80" s="83"/>
      <c r="AQ80" s="83"/>
      <c r="AR80" s="83"/>
      <c r="AS80" s="83"/>
      <c r="AT80" s="83"/>
      <c r="AU80" s="83"/>
      <c r="AV80" s="83"/>
      <c r="AW80" s="83"/>
      <c r="AX80" s="83"/>
      <c r="AY80" s="83"/>
      <c r="AZ80" s="83"/>
      <c r="BA80" s="83"/>
      <c r="BB80" s="83"/>
      <c r="BC80" s="83"/>
    </row>
    <row r="81" customFormat="false" ht="27.75" hidden="false" customHeight="true" outlineLevel="0" collapsed="false">
      <c r="B81" s="81" t="n">
        <v>2</v>
      </c>
      <c r="C81" s="81"/>
      <c r="D81" s="82"/>
      <c r="E81" s="82"/>
      <c r="F81" s="82"/>
      <c r="G81" s="82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  <c r="AA81" s="83"/>
      <c r="AB81" s="83"/>
      <c r="AC81" s="83"/>
      <c r="AD81" s="83"/>
      <c r="AE81" s="83"/>
      <c r="AF81" s="83"/>
      <c r="AG81" s="83"/>
      <c r="AH81" s="83"/>
      <c r="AI81" s="83"/>
      <c r="AJ81" s="83"/>
      <c r="AK81" s="83"/>
      <c r="AL81" s="83"/>
      <c r="AM81" s="83"/>
      <c r="AN81" s="83"/>
      <c r="AO81" s="83"/>
      <c r="AP81" s="83"/>
      <c r="AQ81" s="83"/>
      <c r="AR81" s="83"/>
      <c r="AS81" s="83"/>
      <c r="AT81" s="83"/>
      <c r="AU81" s="83"/>
      <c r="AV81" s="83"/>
      <c r="AW81" s="83"/>
      <c r="AX81" s="83"/>
      <c r="AY81" s="83"/>
      <c r="AZ81" s="83"/>
      <c r="BA81" s="83"/>
      <c r="BB81" s="83"/>
      <c r="BC81" s="83"/>
    </row>
    <row r="82" customFormat="false" ht="27.75" hidden="false" customHeight="true" outlineLevel="0" collapsed="false">
      <c r="B82" s="81" t="n">
        <v>3</v>
      </c>
      <c r="C82" s="81"/>
      <c r="D82" s="82"/>
      <c r="E82" s="82"/>
      <c r="F82" s="82"/>
      <c r="G82" s="82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  <c r="AA82" s="83"/>
      <c r="AB82" s="83"/>
      <c r="AC82" s="83"/>
      <c r="AD82" s="83"/>
      <c r="AE82" s="83"/>
      <c r="AF82" s="83"/>
      <c r="AG82" s="83"/>
      <c r="AH82" s="83"/>
      <c r="AI82" s="83"/>
      <c r="AJ82" s="83"/>
      <c r="AK82" s="83"/>
      <c r="AL82" s="83"/>
      <c r="AM82" s="83"/>
      <c r="AN82" s="83"/>
      <c r="AO82" s="83"/>
      <c r="AP82" s="83"/>
      <c r="AQ82" s="83"/>
      <c r="AR82" s="83"/>
      <c r="AS82" s="83"/>
      <c r="AT82" s="83"/>
      <c r="AU82" s="83"/>
      <c r="AV82" s="83"/>
      <c r="AW82" s="83"/>
      <c r="AX82" s="83"/>
      <c r="AY82" s="83"/>
      <c r="AZ82" s="83"/>
      <c r="BA82" s="83"/>
      <c r="BB82" s="83"/>
      <c r="BC82" s="83"/>
    </row>
    <row r="83" customFormat="false" ht="27.75" hidden="false" customHeight="true" outlineLevel="0" collapsed="false">
      <c r="B83" s="81" t="n">
        <v>4</v>
      </c>
      <c r="C83" s="81"/>
      <c r="D83" s="82"/>
      <c r="E83" s="82"/>
      <c r="F83" s="82"/>
      <c r="G83" s="82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  <c r="AA83" s="83"/>
      <c r="AB83" s="83"/>
      <c r="AC83" s="83"/>
      <c r="AD83" s="83"/>
      <c r="AE83" s="83"/>
      <c r="AF83" s="83"/>
      <c r="AG83" s="83"/>
      <c r="AH83" s="83"/>
      <c r="AI83" s="83"/>
      <c r="AJ83" s="83"/>
      <c r="AK83" s="83"/>
      <c r="AL83" s="83"/>
      <c r="AM83" s="83"/>
      <c r="AN83" s="83"/>
      <c r="AO83" s="83"/>
      <c r="AP83" s="83"/>
      <c r="AQ83" s="83"/>
      <c r="AR83" s="83"/>
      <c r="AS83" s="83"/>
      <c r="AT83" s="83"/>
      <c r="AU83" s="83"/>
      <c r="AV83" s="83"/>
      <c r="AW83" s="83"/>
      <c r="AX83" s="83"/>
      <c r="AY83" s="83"/>
      <c r="AZ83" s="83"/>
      <c r="BA83" s="83"/>
      <c r="BB83" s="83"/>
      <c r="BC83" s="83"/>
    </row>
    <row r="84" customFormat="false" ht="27.75" hidden="false" customHeight="true" outlineLevel="0" collapsed="false">
      <c r="B84" s="81" t="n">
        <v>5</v>
      </c>
      <c r="C84" s="81"/>
      <c r="D84" s="82"/>
      <c r="E84" s="82"/>
      <c r="F84" s="82"/>
      <c r="G84" s="82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  <c r="AA84" s="83"/>
      <c r="AB84" s="83"/>
      <c r="AC84" s="83"/>
      <c r="AD84" s="83"/>
      <c r="AE84" s="83"/>
      <c r="AF84" s="83"/>
      <c r="AG84" s="83"/>
      <c r="AH84" s="83"/>
      <c r="AI84" s="83"/>
      <c r="AJ84" s="83"/>
      <c r="AK84" s="83"/>
      <c r="AL84" s="83"/>
      <c r="AM84" s="83"/>
      <c r="AN84" s="83"/>
      <c r="AO84" s="83"/>
      <c r="AP84" s="83"/>
      <c r="AQ84" s="83"/>
      <c r="AR84" s="83"/>
      <c r="AS84" s="83"/>
      <c r="AT84" s="83"/>
      <c r="AU84" s="83"/>
      <c r="AV84" s="83"/>
      <c r="AW84" s="83"/>
      <c r="AX84" s="83"/>
      <c r="AY84" s="83"/>
      <c r="AZ84" s="83"/>
      <c r="BA84" s="83"/>
      <c r="BB84" s="83"/>
      <c r="BC84" s="83"/>
    </row>
    <row r="85" customFormat="false" ht="24" hidden="false" customHeight="true" outlineLevel="0" collapsed="false">
      <c r="B85" s="84" t="s">
        <v>132</v>
      </c>
      <c r="C85" s="84"/>
      <c r="E85" s="85" t="s">
        <v>163</v>
      </c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85"/>
      <c r="AH85" s="85"/>
      <c r="AI85" s="85"/>
      <c r="AJ85" s="85"/>
      <c r="AK85" s="85"/>
      <c r="AL85" s="85"/>
      <c r="AM85" s="85"/>
      <c r="AN85" s="85"/>
      <c r="AO85" s="85"/>
      <c r="AP85" s="85"/>
      <c r="AQ85" s="85"/>
      <c r="AR85" s="85"/>
      <c r="AS85" s="85"/>
      <c r="AT85" s="85"/>
      <c r="AU85" s="85"/>
      <c r="AV85" s="85"/>
      <c r="AW85" s="85"/>
      <c r="AX85" s="85"/>
      <c r="AY85" s="85"/>
      <c r="AZ85" s="85"/>
      <c r="BA85" s="85"/>
      <c r="BB85" s="85"/>
      <c r="BC85" s="85"/>
    </row>
    <row r="86" customFormat="false" ht="9.75" hidden="false" customHeight="true" outlineLevel="0" collapsed="false"/>
    <row r="87" customFormat="false" ht="21.75" hidden="false" customHeight="true" outlineLevel="0" collapsed="false">
      <c r="B87" s="6"/>
      <c r="C87" s="19" t="s">
        <v>164</v>
      </c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59" t="s">
        <v>165</v>
      </c>
      <c r="AM87" s="59"/>
      <c r="AN87" s="59"/>
      <c r="AO87" s="59"/>
      <c r="AP87" s="59"/>
      <c r="AQ87" s="59"/>
      <c r="AR87" s="59"/>
      <c r="AS87" s="59"/>
      <c r="AT87" s="59"/>
      <c r="AU87" s="59"/>
      <c r="AV87" s="59"/>
      <c r="AW87" s="59"/>
      <c r="AX87" s="59"/>
      <c r="AY87" s="59"/>
      <c r="AZ87" s="59"/>
      <c r="BA87" s="59"/>
      <c r="BB87" s="59"/>
      <c r="BC87" s="59"/>
    </row>
    <row r="88" customFormat="false" ht="27.75" hidden="false" customHeight="true" outlineLevel="0" collapsed="false">
      <c r="B88" s="79" t="s">
        <v>124</v>
      </c>
      <c r="C88" s="79"/>
      <c r="D88" s="80" t="s">
        <v>140</v>
      </c>
      <c r="E88" s="80"/>
      <c r="F88" s="80"/>
      <c r="G88" s="80"/>
      <c r="H88" s="80" t="s">
        <v>127</v>
      </c>
      <c r="I88" s="80"/>
      <c r="J88" s="80"/>
      <c r="K88" s="80"/>
      <c r="L88" s="80"/>
      <c r="M88" s="80"/>
      <c r="N88" s="80"/>
      <c r="O88" s="80"/>
      <c r="P88" s="80"/>
      <c r="Q88" s="80" t="s">
        <v>126</v>
      </c>
      <c r="R88" s="80"/>
      <c r="S88" s="80"/>
      <c r="T88" s="80"/>
      <c r="U88" s="80"/>
      <c r="V88" s="80"/>
      <c r="W88" s="80"/>
      <c r="X88" s="80" t="s">
        <v>166</v>
      </c>
      <c r="Y88" s="80"/>
      <c r="Z88" s="80"/>
      <c r="AA88" s="80"/>
      <c r="AB88" s="80"/>
      <c r="AC88" s="80" t="s">
        <v>167</v>
      </c>
      <c r="AD88" s="80"/>
      <c r="AE88" s="80"/>
      <c r="AF88" s="80"/>
      <c r="AG88" s="80"/>
      <c r="AH88" s="80" t="s">
        <v>149</v>
      </c>
      <c r="AI88" s="80"/>
      <c r="AJ88" s="80"/>
      <c r="AK88" s="80"/>
      <c r="AL88" s="80" t="s">
        <v>168</v>
      </c>
      <c r="AM88" s="80"/>
      <c r="AN88" s="80"/>
      <c r="AO88" s="80"/>
      <c r="AP88" s="80"/>
      <c r="AQ88" s="80"/>
      <c r="AR88" s="80"/>
      <c r="AS88" s="80"/>
      <c r="AT88" s="80"/>
      <c r="AU88" s="80"/>
      <c r="AV88" s="80"/>
      <c r="AW88" s="80"/>
      <c r="AX88" s="80"/>
      <c r="AY88" s="80"/>
      <c r="AZ88" s="80"/>
      <c r="BA88" s="80"/>
      <c r="BB88" s="80"/>
      <c r="BC88" s="80"/>
    </row>
    <row r="89" customFormat="false" ht="27.75" hidden="false" customHeight="true" outlineLevel="0" collapsed="false">
      <c r="B89" s="81" t="n">
        <v>1</v>
      </c>
      <c r="C89" s="81"/>
      <c r="D89" s="82"/>
      <c r="E89" s="82"/>
      <c r="F89" s="82"/>
      <c r="G89" s="82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  <c r="AA89" s="83"/>
      <c r="AB89" s="83"/>
      <c r="AC89" s="83"/>
      <c r="AD89" s="83"/>
      <c r="AE89" s="83"/>
      <c r="AF89" s="83"/>
      <c r="AG89" s="83"/>
      <c r="AH89" s="83"/>
      <c r="AI89" s="83"/>
      <c r="AJ89" s="83"/>
      <c r="AK89" s="83"/>
      <c r="AL89" s="83"/>
      <c r="AM89" s="83"/>
      <c r="AN89" s="83"/>
      <c r="AO89" s="83"/>
      <c r="AP89" s="83"/>
      <c r="AQ89" s="83"/>
      <c r="AR89" s="83"/>
      <c r="AS89" s="83"/>
      <c r="AT89" s="83"/>
      <c r="AU89" s="83"/>
      <c r="AV89" s="83"/>
      <c r="AW89" s="83"/>
      <c r="AX89" s="83"/>
      <c r="AY89" s="83"/>
      <c r="AZ89" s="83"/>
      <c r="BA89" s="83"/>
      <c r="BB89" s="83"/>
      <c r="BC89" s="83"/>
    </row>
    <row r="90" customFormat="false" ht="27.75" hidden="false" customHeight="true" outlineLevel="0" collapsed="false">
      <c r="B90" s="81" t="n">
        <v>2</v>
      </c>
      <c r="C90" s="81"/>
      <c r="D90" s="82"/>
      <c r="E90" s="82"/>
      <c r="F90" s="82"/>
      <c r="G90" s="82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  <c r="AA90" s="83"/>
      <c r="AB90" s="83"/>
      <c r="AC90" s="83"/>
      <c r="AD90" s="83"/>
      <c r="AE90" s="83"/>
      <c r="AF90" s="83"/>
      <c r="AG90" s="83"/>
      <c r="AH90" s="83"/>
      <c r="AI90" s="83"/>
      <c r="AJ90" s="83"/>
      <c r="AK90" s="83"/>
      <c r="AL90" s="83"/>
      <c r="AM90" s="83"/>
      <c r="AN90" s="83"/>
      <c r="AO90" s="83"/>
      <c r="AP90" s="83"/>
      <c r="AQ90" s="83"/>
      <c r="AR90" s="83"/>
      <c r="AS90" s="83"/>
      <c r="AT90" s="83"/>
      <c r="AU90" s="83"/>
      <c r="AV90" s="83"/>
      <c r="AW90" s="83"/>
      <c r="AX90" s="83"/>
      <c r="AY90" s="83"/>
      <c r="AZ90" s="83"/>
      <c r="BA90" s="83"/>
      <c r="BB90" s="83"/>
      <c r="BC90" s="83"/>
    </row>
    <row r="91" customFormat="false" ht="27.75" hidden="false" customHeight="true" outlineLevel="0" collapsed="false">
      <c r="B91" s="81" t="n">
        <v>3</v>
      </c>
      <c r="C91" s="81"/>
      <c r="D91" s="82"/>
      <c r="E91" s="82"/>
      <c r="F91" s="82"/>
      <c r="G91" s="82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  <c r="AA91" s="83"/>
      <c r="AB91" s="83"/>
      <c r="AC91" s="83"/>
      <c r="AD91" s="83"/>
      <c r="AE91" s="83"/>
      <c r="AF91" s="83"/>
      <c r="AG91" s="83"/>
      <c r="AH91" s="83"/>
      <c r="AI91" s="83"/>
      <c r="AJ91" s="83"/>
      <c r="AK91" s="83"/>
      <c r="AL91" s="83"/>
      <c r="AM91" s="83"/>
      <c r="AN91" s="83"/>
      <c r="AO91" s="83"/>
      <c r="AP91" s="83"/>
      <c r="AQ91" s="83"/>
      <c r="AR91" s="83"/>
      <c r="AS91" s="83"/>
      <c r="AT91" s="83"/>
      <c r="AU91" s="83"/>
      <c r="AV91" s="83"/>
      <c r="AW91" s="83"/>
      <c r="AX91" s="83"/>
      <c r="AY91" s="83"/>
      <c r="AZ91" s="83"/>
      <c r="BA91" s="83"/>
      <c r="BB91" s="83"/>
      <c r="BC91" s="83"/>
    </row>
    <row r="92" customFormat="false" ht="27.75" hidden="false" customHeight="true" outlineLevel="0" collapsed="false">
      <c r="B92" s="81" t="n">
        <v>4</v>
      </c>
      <c r="C92" s="81"/>
      <c r="D92" s="82"/>
      <c r="E92" s="82"/>
      <c r="F92" s="82"/>
      <c r="G92" s="82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  <c r="AA92" s="83"/>
      <c r="AB92" s="83"/>
      <c r="AC92" s="83"/>
      <c r="AD92" s="83"/>
      <c r="AE92" s="83"/>
      <c r="AF92" s="83"/>
      <c r="AG92" s="83"/>
      <c r="AH92" s="83"/>
      <c r="AI92" s="83"/>
      <c r="AJ92" s="83"/>
      <c r="AK92" s="83"/>
      <c r="AL92" s="83"/>
      <c r="AM92" s="83"/>
      <c r="AN92" s="83"/>
      <c r="AO92" s="83"/>
      <c r="AP92" s="83"/>
      <c r="AQ92" s="83"/>
      <c r="AR92" s="83"/>
      <c r="AS92" s="83"/>
      <c r="AT92" s="83"/>
      <c r="AU92" s="83"/>
      <c r="AV92" s="83"/>
      <c r="AW92" s="83"/>
      <c r="AX92" s="83"/>
      <c r="AY92" s="83"/>
      <c r="AZ92" s="83"/>
      <c r="BA92" s="83"/>
      <c r="BB92" s="83"/>
      <c r="BC92" s="83"/>
    </row>
    <row r="93" customFormat="false" ht="27.75" hidden="false" customHeight="true" outlineLevel="0" collapsed="false">
      <c r="B93" s="81" t="n">
        <v>5</v>
      </c>
      <c r="C93" s="81"/>
      <c r="D93" s="82"/>
      <c r="E93" s="82"/>
      <c r="F93" s="82"/>
      <c r="G93" s="82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  <c r="AA93" s="83"/>
      <c r="AB93" s="83"/>
      <c r="AC93" s="83"/>
      <c r="AD93" s="83"/>
      <c r="AE93" s="83"/>
      <c r="AF93" s="83"/>
      <c r="AG93" s="83"/>
      <c r="AH93" s="83"/>
      <c r="AI93" s="83"/>
      <c r="AJ93" s="83"/>
      <c r="AK93" s="83"/>
      <c r="AL93" s="83"/>
      <c r="AM93" s="83"/>
      <c r="AN93" s="83"/>
      <c r="AO93" s="83"/>
      <c r="AP93" s="83"/>
      <c r="AQ93" s="83"/>
      <c r="AR93" s="83"/>
      <c r="AS93" s="83"/>
      <c r="AT93" s="83"/>
      <c r="AU93" s="83"/>
      <c r="AV93" s="83"/>
      <c r="AW93" s="83"/>
      <c r="AX93" s="83"/>
      <c r="AY93" s="83"/>
      <c r="AZ93" s="83"/>
      <c r="BA93" s="83"/>
      <c r="BB93" s="83"/>
      <c r="BC93" s="83"/>
    </row>
    <row r="94" customFormat="false" ht="24" hidden="false" customHeight="true" outlineLevel="0" collapsed="false">
      <c r="B94" s="84" t="s">
        <v>132</v>
      </c>
      <c r="C94" s="84"/>
      <c r="E94" s="85" t="s">
        <v>169</v>
      </c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  <c r="AG94" s="85"/>
      <c r="AH94" s="85"/>
      <c r="AI94" s="85"/>
      <c r="AJ94" s="85"/>
      <c r="AK94" s="85"/>
      <c r="AL94" s="85"/>
      <c r="AM94" s="85"/>
      <c r="AN94" s="85"/>
      <c r="AO94" s="85"/>
      <c r="AP94" s="85"/>
      <c r="AQ94" s="85"/>
      <c r="AR94" s="85"/>
      <c r="AS94" s="85"/>
      <c r="AT94" s="85"/>
      <c r="AU94" s="85"/>
      <c r="AV94" s="85"/>
      <c r="AW94" s="85"/>
      <c r="AX94" s="85"/>
      <c r="AY94" s="85"/>
      <c r="AZ94" s="85"/>
      <c r="BA94" s="85"/>
      <c r="BB94" s="85"/>
      <c r="BC94" s="85"/>
    </row>
    <row r="95" customFormat="false" ht="84" hidden="false" customHeight="true" outlineLevel="0" collapsed="false"/>
    <row r="96" customFormat="false" ht="18" hidden="false" customHeight="true" outlineLevel="0" collapsed="false">
      <c r="B96" s="75" t="s">
        <v>134</v>
      </c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  <c r="AA96" s="75"/>
      <c r="AB96" s="76" t="s">
        <v>170</v>
      </c>
      <c r="AC96" s="76"/>
      <c r="AD96" s="76"/>
      <c r="AE96" s="76"/>
      <c r="AF96" s="76"/>
      <c r="AG96" s="76"/>
      <c r="AH96" s="76"/>
      <c r="AI96" s="76"/>
      <c r="AJ96" s="76"/>
      <c r="AK96" s="76"/>
      <c r="AL96" s="76"/>
      <c r="AM96" s="76"/>
      <c r="AN96" s="76"/>
      <c r="AO96" s="76"/>
      <c r="AP96" s="76"/>
      <c r="AQ96" s="76"/>
      <c r="AR96" s="76"/>
      <c r="AS96" s="76"/>
      <c r="AT96" s="76"/>
      <c r="AU96" s="76"/>
      <c r="AV96" s="76"/>
      <c r="AW96" s="76"/>
      <c r="AX96" s="76"/>
      <c r="AY96" s="76"/>
      <c r="AZ96" s="76"/>
      <c r="BA96" s="76"/>
      <c r="BB96" s="76"/>
      <c r="BC96" s="76"/>
    </row>
    <row r="97" customFormat="false" ht="7.5" hidden="false" customHeight="true" outlineLevel="0" collapsed="false"/>
    <row r="98" customFormat="false" ht="24" hidden="false" customHeight="true" outlineLevel="0" collapsed="false">
      <c r="B98" s="86" t="s">
        <v>115</v>
      </c>
      <c r="C98" s="86"/>
      <c r="D98" s="86"/>
      <c r="E98" s="86"/>
      <c r="F98" s="86"/>
      <c r="H98" s="87" t="s">
        <v>116</v>
      </c>
      <c r="I98" s="87"/>
      <c r="J98" s="87"/>
      <c r="K98" s="87"/>
      <c r="L98" s="87"/>
      <c r="M98" s="87"/>
      <c r="N98" s="87"/>
      <c r="O98" s="87"/>
      <c r="P98" s="87"/>
      <c r="AA98" s="88" t="s">
        <v>136</v>
      </c>
      <c r="AB98" s="88"/>
      <c r="AC98" s="88"/>
      <c r="AD98" s="88"/>
      <c r="AE98" s="88"/>
      <c r="AF98" s="89" t="str">
        <f aca="false">Dashboard!$C$6</f>
        <v>Bindhya TB</v>
      </c>
      <c r="AG98" s="89"/>
      <c r="AH98" s="89"/>
      <c r="AI98" s="89"/>
      <c r="AJ98" s="89"/>
      <c r="AK98" s="89"/>
      <c r="AL98" s="89"/>
      <c r="AM98" s="89"/>
      <c r="AN98" s="89"/>
      <c r="AO98" s="89"/>
      <c r="AP98" s="89"/>
      <c r="AR98" s="88" t="s">
        <v>137</v>
      </c>
      <c r="AS98" s="88"/>
      <c r="AT98" s="89" t="str">
        <f aca="false">TEXT(Cal!H2,"dd mmm")&amp;" to "&amp;TEXT(Cal!I2,"dd mmm yy")</f>
        <v>01 Oct to 03 Oct 26</v>
      </c>
      <c r="AU98" s="89"/>
      <c r="AV98" s="89"/>
      <c r="AW98" s="89"/>
      <c r="AX98" s="89"/>
      <c r="AY98" s="89"/>
      <c r="AZ98" s="89"/>
      <c r="BA98" s="89"/>
      <c r="BB98" s="89"/>
      <c r="BC98" s="89"/>
    </row>
    <row r="99" customFormat="false" ht="3" hidden="false" customHeight="true" outlineLevel="0" collapsed="false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</row>
    <row r="100" customFormat="false" ht="9.75" hidden="false" customHeight="true" outlineLevel="0" collapsed="false"/>
    <row r="101" customFormat="false" ht="21.75" hidden="false" customHeight="true" outlineLevel="0" collapsed="false">
      <c r="B101" s="6"/>
      <c r="C101" s="19" t="s">
        <v>171</v>
      </c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59" t="s">
        <v>172</v>
      </c>
      <c r="AM101" s="59"/>
      <c r="AN101" s="59"/>
      <c r="AO101" s="59"/>
      <c r="AP101" s="59"/>
      <c r="AQ101" s="59"/>
      <c r="AR101" s="59"/>
      <c r="AS101" s="59"/>
      <c r="AT101" s="59"/>
      <c r="AU101" s="59"/>
      <c r="AV101" s="59"/>
      <c r="AW101" s="59"/>
      <c r="AX101" s="59"/>
      <c r="AY101" s="59"/>
      <c r="AZ101" s="59"/>
      <c r="BA101" s="59"/>
      <c r="BB101" s="59"/>
      <c r="BC101" s="59"/>
    </row>
    <row r="102" customFormat="false" ht="27.75" hidden="false" customHeight="true" outlineLevel="0" collapsed="false">
      <c r="B102" s="79" t="s">
        <v>124</v>
      </c>
      <c r="C102" s="79"/>
      <c r="D102" s="80" t="s">
        <v>140</v>
      </c>
      <c r="E102" s="80"/>
      <c r="F102" s="80"/>
      <c r="G102" s="80"/>
      <c r="H102" s="80" t="s">
        <v>173</v>
      </c>
      <c r="I102" s="80"/>
      <c r="J102" s="80"/>
      <c r="K102" s="80"/>
      <c r="L102" s="80" t="s">
        <v>159</v>
      </c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 t="s">
        <v>174</v>
      </c>
      <c r="AI102" s="80"/>
      <c r="AJ102" s="80"/>
      <c r="AK102" s="80"/>
      <c r="AL102" s="80" t="s">
        <v>175</v>
      </c>
      <c r="AM102" s="80"/>
      <c r="AN102" s="80"/>
      <c r="AO102" s="80"/>
      <c r="AP102" s="80"/>
      <c r="AQ102" s="80"/>
      <c r="AR102" s="80"/>
      <c r="AS102" s="80"/>
      <c r="AT102" s="80"/>
      <c r="AU102" s="80"/>
      <c r="AV102" s="80" t="s">
        <v>162</v>
      </c>
      <c r="AW102" s="80"/>
      <c r="AX102" s="80"/>
      <c r="AY102" s="80"/>
      <c r="AZ102" s="80"/>
      <c r="BA102" s="80"/>
      <c r="BB102" s="80"/>
      <c r="BC102" s="80"/>
    </row>
    <row r="103" customFormat="false" ht="27.75" hidden="false" customHeight="true" outlineLevel="0" collapsed="false">
      <c r="B103" s="81" t="n">
        <v>1</v>
      </c>
      <c r="C103" s="81"/>
      <c r="D103" s="82" t="n">
        <v>46296</v>
      </c>
      <c r="E103" s="82"/>
      <c r="F103" s="82"/>
      <c r="G103" s="82"/>
      <c r="H103" s="83"/>
      <c r="I103" s="83"/>
      <c r="J103" s="83"/>
      <c r="K103" s="83"/>
      <c r="L103" s="83" t="s">
        <v>176</v>
      </c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  <c r="AI103" s="83"/>
      <c r="AJ103" s="83"/>
      <c r="AK103" s="83"/>
      <c r="AL103" s="83"/>
      <c r="AM103" s="83"/>
      <c r="AN103" s="83"/>
      <c r="AO103" s="83"/>
      <c r="AP103" s="83"/>
      <c r="AQ103" s="83"/>
      <c r="AR103" s="83"/>
      <c r="AS103" s="83"/>
      <c r="AT103" s="83"/>
      <c r="AU103" s="83"/>
      <c r="AV103" s="83"/>
      <c r="AW103" s="83"/>
      <c r="AX103" s="83"/>
      <c r="AY103" s="83"/>
      <c r="AZ103" s="83"/>
      <c r="BA103" s="83"/>
      <c r="BB103" s="83"/>
      <c r="BC103" s="83"/>
    </row>
    <row r="104" customFormat="false" ht="27.75" hidden="false" customHeight="true" outlineLevel="0" collapsed="false">
      <c r="B104" s="81" t="n">
        <v>2</v>
      </c>
      <c r="C104" s="81"/>
      <c r="D104" s="82"/>
      <c r="E104" s="82"/>
      <c r="F104" s="82"/>
      <c r="G104" s="82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  <c r="AI104" s="83"/>
      <c r="AJ104" s="83"/>
      <c r="AK104" s="83"/>
      <c r="AL104" s="83"/>
      <c r="AM104" s="83"/>
      <c r="AN104" s="83"/>
      <c r="AO104" s="83"/>
      <c r="AP104" s="83"/>
      <c r="AQ104" s="83"/>
      <c r="AR104" s="83"/>
      <c r="AS104" s="83"/>
      <c r="AT104" s="83"/>
      <c r="AU104" s="83"/>
      <c r="AV104" s="83"/>
      <c r="AW104" s="83"/>
      <c r="AX104" s="83"/>
      <c r="AY104" s="83"/>
      <c r="AZ104" s="83"/>
      <c r="BA104" s="83"/>
      <c r="BB104" s="83"/>
      <c r="BC104" s="83"/>
    </row>
    <row r="105" customFormat="false" ht="27.75" hidden="false" customHeight="true" outlineLevel="0" collapsed="false">
      <c r="B105" s="81" t="n">
        <v>3</v>
      </c>
      <c r="C105" s="81"/>
      <c r="D105" s="82"/>
      <c r="E105" s="82"/>
      <c r="F105" s="82"/>
      <c r="G105" s="82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  <c r="AI105" s="83"/>
      <c r="AJ105" s="83"/>
      <c r="AK105" s="83"/>
      <c r="AL105" s="83"/>
      <c r="AM105" s="83"/>
      <c r="AN105" s="83"/>
      <c r="AO105" s="83"/>
      <c r="AP105" s="83"/>
      <c r="AQ105" s="83"/>
      <c r="AR105" s="83"/>
      <c r="AS105" s="83"/>
      <c r="AT105" s="83"/>
      <c r="AU105" s="83"/>
      <c r="AV105" s="83"/>
      <c r="AW105" s="83"/>
      <c r="AX105" s="83"/>
      <c r="AY105" s="83"/>
      <c r="AZ105" s="83"/>
      <c r="BA105" s="83"/>
      <c r="BB105" s="83"/>
      <c r="BC105" s="83"/>
    </row>
    <row r="106" customFormat="false" ht="27.75" hidden="false" customHeight="true" outlineLevel="0" collapsed="false">
      <c r="B106" s="81" t="n">
        <v>4</v>
      </c>
      <c r="C106" s="81"/>
      <c r="D106" s="82"/>
      <c r="E106" s="82"/>
      <c r="F106" s="82"/>
      <c r="G106" s="82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  <c r="AI106" s="83"/>
      <c r="AJ106" s="83"/>
      <c r="AK106" s="83"/>
      <c r="AL106" s="83"/>
      <c r="AM106" s="83"/>
      <c r="AN106" s="83"/>
      <c r="AO106" s="83"/>
      <c r="AP106" s="83"/>
      <c r="AQ106" s="83"/>
      <c r="AR106" s="83"/>
      <c r="AS106" s="83"/>
      <c r="AT106" s="83"/>
      <c r="AU106" s="83"/>
      <c r="AV106" s="83"/>
      <c r="AW106" s="83"/>
      <c r="AX106" s="83"/>
      <c r="AY106" s="83"/>
      <c r="AZ106" s="83"/>
      <c r="BA106" s="83"/>
      <c r="BB106" s="83"/>
      <c r="BC106" s="83"/>
    </row>
    <row r="107" customFormat="false" ht="27.75" hidden="false" customHeight="true" outlineLevel="0" collapsed="false">
      <c r="B107" s="81" t="n">
        <v>5</v>
      </c>
      <c r="C107" s="81"/>
      <c r="D107" s="82"/>
      <c r="E107" s="82"/>
      <c r="F107" s="82"/>
      <c r="G107" s="82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  <c r="AI107" s="83"/>
      <c r="AJ107" s="83"/>
      <c r="AK107" s="83"/>
      <c r="AL107" s="83"/>
      <c r="AM107" s="83"/>
      <c r="AN107" s="83"/>
      <c r="AO107" s="83"/>
      <c r="AP107" s="83"/>
      <c r="AQ107" s="83"/>
      <c r="AR107" s="83"/>
      <c r="AS107" s="83"/>
      <c r="AT107" s="83"/>
      <c r="AU107" s="83"/>
      <c r="AV107" s="83"/>
      <c r="AW107" s="83"/>
      <c r="AX107" s="83"/>
      <c r="AY107" s="83"/>
      <c r="AZ107" s="83"/>
      <c r="BA107" s="83"/>
      <c r="BB107" s="83"/>
      <c r="BC107" s="83"/>
    </row>
    <row r="108" customFormat="false" ht="27.75" hidden="false" customHeight="true" outlineLevel="0" collapsed="false">
      <c r="B108" s="81" t="n">
        <v>6</v>
      </c>
      <c r="C108" s="81"/>
      <c r="D108" s="82"/>
      <c r="E108" s="82"/>
      <c r="F108" s="82"/>
      <c r="G108" s="82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  <c r="AI108" s="83"/>
      <c r="AJ108" s="83"/>
      <c r="AK108" s="83"/>
      <c r="AL108" s="83"/>
      <c r="AM108" s="83"/>
      <c r="AN108" s="83"/>
      <c r="AO108" s="83"/>
      <c r="AP108" s="83"/>
      <c r="AQ108" s="83"/>
      <c r="AR108" s="83"/>
      <c r="AS108" s="83"/>
      <c r="AT108" s="83"/>
      <c r="AU108" s="83"/>
      <c r="AV108" s="83"/>
      <c r="AW108" s="83"/>
      <c r="AX108" s="83"/>
      <c r="AY108" s="83"/>
      <c r="AZ108" s="83"/>
      <c r="BA108" s="83"/>
      <c r="BB108" s="83"/>
      <c r="BC108" s="83"/>
    </row>
    <row r="109" customFormat="false" ht="24" hidden="false" customHeight="true" outlineLevel="0" collapsed="false">
      <c r="B109" s="84" t="s">
        <v>132</v>
      </c>
      <c r="C109" s="84"/>
      <c r="E109" s="85" t="s">
        <v>177</v>
      </c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  <c r="AI109" s="85"/>
      <c r="AJ109" s="85"/>
      <c r="AK109" s="85"/>
      <c r="AL109" s="85"/>
      <c r="AM109" s="85"/>
      <c r="AN109" s="85"/>
      <c r="AO109" s="85"/>
      <c r="AP109" s="85"/>
      <c r="AQ109" s="85"/>
      <c r="AR109" s="85"/>
      <c r="AS109" s="85"/>
      <c r="AT109" s="85"/>
      <c r="AU109" s="85"/>
      <c r="AV109" s="85"/>
      <c r="AW109" s="85"/>
      <c r="AX109" s="85"/>
      <c r="AY109" s="85"/>
      <c r="AZ109" s="85"/>
      <c r="BA109" s="85"/>
      <c r="BB109" s="85"/>
      <c r="BC109" s="85"/>
    </row>
    <row r="110" customFormat="false" ht="9.75" hidden="false" customHeight="true" outlineLevel="0" collapsed="false"/>
    <row r="111" customFormat="false" ht="21.75" hidden="false" customHeight="true" outlineLevel="0" collapsed="false">
      <c r="B111" s="6"/>
      <c r="C111" s="19" t="s">
        <v>178</v>
      </c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59" t="s">
        <v>179</v>
      </c>
      <c r="AM111" s="59"/>
      <c r="AN111" s="59"/>
      <c r="AO111" s="59"/>
      <c r="AP111" s="59"/>
      <c r="AQ111" s="59"/>
      <c r="AR111" s="59"/>
      <c r="AS111" s="59"/>
      <c r="AT111" s="59"/>
      <c r="AU111" s="59"/>
      <c r="AV111" s="59"/>
      <c r="AW111" s="59"/>
      <c r="AX111" s="59"/>
      <c r="AY111" s="59"/>
      <c r="AZ111" s="59"/>
      <c r="BA111" s="59"/>
      <c r="BB111" s="59"/>
      <c r="BC111" s="59"/>
    </row>
    <row r="112" customFormat="false" ht="27.75" hidden="false" customHeight="true" outlineLevel="0" collapsed="false">
      <c r="B112" s="79" t="s">
        <v>124</v>
      </c>
      <c r="C112" s="79"/>
      <c r="D112" s="80" t="s">
        <v>140</v>
      </c>
      <c r="E112" s="80"/>
      <c r="F112" s="80"/>
      <c r="G112" s="80"/>
      <c r="H112" s="80" t="s">
        <v>180</v>
      </c>
      <c r="I112" s="80"/>
      <c r="J112" s="80"/>
      <c r="K112" s="80"/>
      <c r="L112" s="80"/>
      <c r="M112" s="80"/>
      <c r="N112" s="80"/>
      <c r="O112" s="80"/>
      <c r="P112" s="80" t="s">
        <v>181</v>
      </c>
      <c r="Q112" s="80"/>
      <c r="R112" s="80"/>
      <c r="S112" s="80"/>
      <c r="T112" s="80" t="s">
        <v>182</v>
      </c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 t="s">
        <v>183</v>
      </c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  <c r="AQ112" s="80"/>
      <c r="AR112" s="80"/>
      <c r="AS112" s="80"/>
      <c r="AT112" s="80"/>
      <c r="AU112" s="80"/>
      <c r="AV112" s="80"/>
      <c r="AW112" s="80"/>
      <c r="AX112" s="80"/>
      <c r="AY112" s="80"/>
      <c r="AZ112" s="80"/>
      <c r="BA112" s="80"/>
      <c r="BB112" s="80"/>
      <c r="BC112" s="80"/>
    </row>
    <row r="113" customFormat="false" ht="24" hidden="false" customHeight="true" outlineLevel="0" collapsed="false">
      <c r="B113" s="81" t="n">
        <v>1</v>
      </c>
      <c r="C113" s="81"/>
      <c r="D113" s="82" t="n">
        <v>46296</v>
      </c>
      <c r="E113" s="82"/>
      <c r="F113" s="82"/>
      <c r="G113" s="82"/>
      <c r="H113" s="83" t="s">
        <v>97</v>
      </c>
      <c r="I113" s="83"/>
      <c r="J113" s="83"/>
      <c r="K113" s="83"/>
      <c r="L113" s="83"/>
      <c r="M113" s="83"/>
      <c r="N113" s="83"/>
      <c r="O113" s="83"/>
      <c r="P113" s="83" t="n">
        <v>0</v>
      </c>
      <c r="Q113" s="83"/>
      <c r="R113" s="83"/>
      <c r="S113" s="83"/>
      <c r="T113" s="83"/>
      <c r="U113" s="83"/>
      <c r="V113" s="83"/>
      <c r="W113" s="83"/>
      <c r="X113" s="83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  <c r="AI113" s="83"/>
      <c r="AJ113" s="83"/>
      <c r="AK113" s="83"/>
      <c r="AL113" s="83"/>
      <c r="AM113" s="83"/>
      <c r="AN113" s="83"/>
      <c r="AO113" s="83"/>
      <c r="AP113" s="83"/>
      <c r="AQ113" s="83"/>
      <c r="AR113" s="83"/>
      <c r="AS113" s="83"/>
      <c r="AT113" s="83"/>
      <c r="AU113" s="83"/>
      <c r="AV113" s="83"/>
      <c r="AW113" s="83"/>
      <c r="AX113" s="83"/>
      <c r="AY113" s="83"/>
      <c r="AZ113" s="83"/>
      <c r="BA113" s="83"/>
      <c r="BB113" s="83"/>
      <c r="BC113" s="83"/>
    </row>
    <row r="114" customFormat="false" ht="24" hidden="false" customHeight="true" outlineLevel="0" collapsed="false">
      <c r="B114" s="81" t="n">
        <v>2</v>
      </c>
      <c r="C114" s="81"/>
      <c r="D114" s="82" t="n">
        <v>46297</v>
      </c>
      <c r="E114" s="82"/>
      <c r="F114" s="82"/>
      <c r="G114" s="82"/>
      <c r="H114" s="83" t="s">
        <v>113</v>
      </c>
      <c r="I114" s="83"/>
      <c r="J114" s="83"/>
      <c r="K114" s="83"/>
      <c r="L114" s="83"/>
      <c r="M114" s="83"/>
      <c r="N114" s="83"/>
      <c r="O114" s="83"/>
      <c r="P114" s="83"/>
      <c r="Q114" s="83"/>
      <c r="R114" s="83"/>
      <c r="S114" s="83"/>
      <c r="T114" s="83"/>
      <c r="U114" s="83"/>
      <c r="V114" s="83"/>
      <c r="W114" s="83"/>
      <c r="X114" s="83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  <c r="AI114" s="83"/>
      <c r="AJ114" s="83"/>
      <c r="AK114" s="83"/>
      <c r="AL114" s="83"/>
      <c r="AM114" s="83"/>
      <c r="AN114" s="83"/>
      <c r="AO114" s="83"/>
      <c r="AP114" s="83"/>
      <c r="AQ114" s="83"/>
      <c r="AR114" s="83"/>
      <c r="AS114" s="83"/>
      <c r="AT114" s="83"/>
      <c r="AU114" s="83"/>
      <c r="AV114" s="83"/>
      <c r="AW114" s="83"/>
      <c r="AX114" s="83"/>
      <c r="AY114" s="83"/>
      <c r="AZ114" s="83"/>
      <c r="BA114" s="83"/>
      <c r="BB114" s="83"/>
      <c r="BC114" s="83"/>
    </row>
    <row r="115" customFormat="false" ht="24" hidden="false" customHeight="true" outlineLevel="0" collapsed="false">
      <c r="B115" s="81" t="n">
        <v>3</v>
      </c>
      <c r="C115" s="81"/>
      <c r="D115" s="82"/>
      <c r="E115" s="82"/>
      <c r="F115" s="82"/>
      <c r="G115" s="82"/>
      <c r="H115" s="83"/>
      <c r="I115" s="83"/>
      <c r="J115" s="83"/>
      <c r="K115" s="83"/>
      <c r="L115" s="83"/>
      <c r="M115" s="83"/>
      <c r="N115" s="83"/>
      <c r="O115" s="83"/>
      <c r="P115" s="83"/>
      <c r="Q115" s="83"/>
      <c r="R115" s="83"/>
      <c r="S115" s="83"/>
      <c r="T115" s="83"/>
      <c r="U115" s="83"/>
      <c r="V115" s="83"/>
      <c r="W115" s="83"/>
      <c r="X115" s="83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  <c r="AI115" s="83"/>
      <c r="AJ115" s="83"/>
      <c r="AK115" s="83"/>
      <c r="AL115" s="83"/>
      <c r="AM115" s="83"/>
      <c r="AN115" s="83"/>
      <c r="AO115" s="83"/>
      <c r="AP115" s="83"/>
      <c r="AQ115" s="83"/>
      <c r="AR115" s="83"/>
      <c r="AS115" s="83"/>
      <c r="AT115" s="83"/>
      <c r="AU115" s="83"/>
      <c r="AV115" s="83"/>
      <c r="AW115" s="83"/>
      <c r="AX115" s="83"/>
      <c r="AY115" s="83"/>
      <c r="AZ115" s="83"/>
      <c r="BA115" s="83"/>
      <c r="BB115" s="83"/>
      <c r="BC115" s="83"/>
    </row>
    <row r="116" customFormat="false" ht="24" hidden="false" customHeight="true" outlineLevel="0" collapsed="false">
      <c r="B116" s="81" t="n">
        <v>4</v>
      </c>
      <c r="C116" s="81"/>
      <c r="D116" s="82"/>
      <c r="E116" s="82"/>
      <c r="F116" s="82"/>
      <c r="G116" s="82"/>
      <c r="H116" s="83"/>
      <c r="I116" s="83"/>
      <c r="J116" s="83"/>
      <c r="K116" s="83"/>
      <c r="L116" s="83"/>
      <c r="M116" s="83"/>
      <c r="N116" s="83"/>
      <c r="O116" s="83"/>
      <c r="P116" s="83"/>
      <c r="Q116" s="83"/>
      <c r="R116" s="83"/>
      <c r="S116" s="83"/>
      <c r="T116" s="83"/>
      <c r="U116" s="83"/>
      <c r="V116" s="83"/>
      <c r="W116" s="83"/>
      <c r="X116" s="83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  <c r="AI116" s="83"/>
      <c r="AJ116" s="83"/>
      <c r="AK116" s="83"/>
      <c r="AL116" s="83"/>
      <c r="AM116" s="83"/>
      <c r="AN116" s="83"/>
      <c r="AO116" s="83"/>
      <c r="AP116" s="83"/>
      <c r="AQ116" s="83"/>
      <c r="AR116" s="83"/>
      <c r="AS116" s="83"/>
      <c r="AT116" s="83"/>
      <c r="AU116" s="83"/>
      <c r="AV116" s="83"/>
      <c r="AW116" s="83"/>
      <c r="AX116" s="83"/>
      <c r="AY116" s="83"/>
      <c r="AZ116" s="83"/>
      <c r="BA116" s="83"/>
      <c r="BB116" s="83"/>
      <c r="BC116" s="83"/>
    </row>
    <row r="117" customFormat="false" ht="24" hidden="false" customHeight="true" outlineLevel="0" collapsed="false">
      <c r="B117" s="81" t="n">
        <v>5</v>
      </c>
      <c r="C117" s="81"/>
      <c r="D117" s="82"/>
      <c r="E117" s="82"/>
      <c r="F117" s="82"/>
      <c r="G117" s="82"/>
      <c r="H117" s="83"/>
      <c r="I117" s="83"/>
      <c r="J117" s="83"/>
      <c r="K117" s="83"/>
      <c r="L117" s="83"/>
      <c r="M117" s="83"/>
      <c r="N117" s="83"/>
      <c r="O117" s="83"/>
      <c r="P117" s="83"/>
      <c r="Q117" s="83"/>
      <c r="R117" s="83"/>
      <c r="S117" s="83"/>
      <c r="T117" s="83"/>
      <c r="U117" s="83"/>
      <c r="V117" s="83"/>
      <c r="W117" s="83"/>
      <c r="X117" s="83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  <c r="AI117" s="83"/>
      <c r="AJ117" s="83"/>
      <c r="AK117" s="83"/>
      <c r="AL117" s="83"/>
      <c r="AM117" s="83"/>
      <c r="AN117" s="83"/>
      <c r="AO117" s="83"/>
      <c r="AP117" s="83"/>
      <c r="AQ117" s="83"/>
      <c r="AR117" s="83"/>
      <c r="AS117" s="83"/>
      <c r="AT117" s="83"/>
      <c r="AU117" s="83"/>
      <c r="AV117" s="83"/>
      <c r="AW117" s="83"/>
      <c r="AX117" s="83"/>
      <c r="AY117" s="83"/>
      <c r="AZ117" s="83"/>
      <c r="BA117" s="83"/>
      <c r="BB117" s="83"/>
      <c r="BC117" s="83"/>
    </row>
    <row r="118" customFormat="false" ht="24" hidden="false" customHeight="true" outlineLevel="0" collapsed="false">
      <c r="B118" s="81" t="n">
        <v>6</v>
      </c>
      <c r="C118" s="81"/>
      <c r="D118" s="82"/>
      <c r="E118" s="82"/>
      <c r="F118" s="82"/>
      <c r="G118" s="82"/>
      <c r="H118" s="83"/>
      <c r="I118" s="83"/>
      <c r="J118" s="83"/>
      <c r="K118" s="83"/>
      <c r="L118" s="83"/>
      <c r="M118" s="83"/>
      <c r="N118" s="83"/>
      <c r="O118" s="83"/>
      <c r="P118" s="83"/>
      <c r="Q118" s="83"/>
      <c r="R118" s="83"/>
      <c r="S118" s="83"/>
      <c r="T118" s="83"/>
      <c r="U118" s="83"/>
      <c r="V118" s="83"/>
      <c r="W118" s="83"/>
      <c r="X118" s="83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  <c r="AI118" s="83"/>
      <c r="AJ118" s="83"/>
      <c r="AK118" s="83"/>
      <c r="AL118" s="83"/>
      <c r="AM118" s="83"/>
      <c r="AN118" s="83"/>
      <c r="AO118" s="83"/>
      <c r="AP118" s="83"/>
      <c r="AQ118" s="83"/>
      <c r="AR118" s="83"/>
      <c r="AS118" s="83"/>
      <c r="AT118" s="83"/>
      <c r="AU118" s="83"/>
      <c r="AV118" s="83"/>
      <c r="AW118" s="83"/>
      <c r="AX118" s="83"/>
      <c r="AY118" s="83"/>
      <c r="AZ118" s="83"/>
      <c r="BA118" s="83"/>
      <c r="BB118" s="83"/>
      <c r="BC118" s="83"/>
    </row>
    <row r="119" customFormat="false" ht="24" hidden="false" customHeight="true" outlineLevel="0" collapsed="false">
      <c r="B119" s="81" t="n">
        <v>7</v>
      </c>
      <c r="C119" s="81"/>
      <c r="D119" s="82"/>
      <c r="E119" s="82"/>
      <c r="F119" s="82"/>
      <c r="G119" s="82"/>
      <c r="H119" s="83"/>
      <c r="I119" s="83"/>
      <c r="J119" s="83"/>
      <c r="K119" s="83"/>
      <c r="L119" s="83"/>
      <c r="M119" s="83"/>
      <c r="N119" s="83"/>
      <c r="O119" s="83"/>
      <c r="P119" s="83"/>
      <c r="Q119" s="83"/>
      <c r="R119" s="83"/>
      <c r="S119" s="83"/>
      <c r="T119" s="83"/>
      <c r="U119" s="83"/>
      <c r="V119" s="83"/>
      <c r="W119" s="83"/>
      <c r="X119" s="83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  <c r="AI119" s="83"/>
      <c r="AJ119" s="83"/>
      <c r="AK119" s="83"/>
      <c r="AL119" s="83"/>
      <c r="AM119" s="83"/>
      <c r="AN119" s="83"/>
      <c r="AO119" s="83"/>
      <c r="AP119" s="83"/>
      <c r="AQ119" s="83"/>
      <c r="AR119" s="83"/>
      <c r="AS119" s="83"/>
      <c r="AT119" s="83"/>
      <c r="AU119" s="83"/>
      <c r="AV119" s="83"/>
      <c r="AW119" s="83"/>
      <c r="AX119" s="83"/>
      <c r="AY119" s="83"/>
      <c r="AZ119" s="83"/>
      <c r="BA119" s="83"/>
      <c r="BB119" s="83"/>
      <c r="BC119" s="83"/>
    </row>
    <row r="120" customFormat="false" ht="24" hidden="false" customHeight="true" outlineLevel="0" collapsed="false">
      <c r="B120" s="84" t="s">
        <v>132</v>
      </c>
      <c r="C120" s="84"/>
      <c r="E120" s="85" t="s">
        <v>184</v>
      </c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  <c r="AI120" s="85"/>
      <c r="AJ120" s="85"/>
      <c r="AK120" s="85"/>
      <c r="AL120" s="85"/>
      <c r="AM120" s="85"/>
      <c r="AN120" s="85"/>
      <c r="AO120" s="85"/>
      <c r="AP120" s="85"/>
      <c r="AQ120" s="85"/>
      <c r="AR120" s="85"/>
      <c r="AS120" s="85"/>
      <c r="AT120" s="85"/>
      <c r="AU120" s="85"/>
      <c r="AV120" s="85"/>
      <c r="AW120" s="85"/>
      <c r="AX120" s="85"/>
      <c r="AY120" s="85"/>
      <c r="AZ120" s="85"/>
      <c r="BA120" s="85"/>
      <c r="BB120" s="85"/>
      <c r="BC120" s="85"/>
    </row>
    <row r="121" customFormat="false" ht="27.75" hidden="false" customHeight="true" outlineLevel="0" collapsed="false"/>
    <row r="122" customFormat="false" ht="18" hidden="false" customHeight="true" outlineLevel="0" collapsed="false">
      <c r="B122" s="75" t="s">
        <v>134</v>
      </c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5"/>
      <c r="P122" s="75"/>
      <c r="Q122" s="75"/>
      <c r="R122" s="75"/>
      <c r="S122" s="75"/>
      <c r="T122" s="75"/>
      <c r="U122" s="75"/>
      <c r="V122" s="75"/>
      <c r="W122" s="75"/>
      <c r="X122" s="75"/>
      <c r="Y122" s="75"/>
      <c r="Z122" s="75"/>
      <c r="AA122" s="75"/>
      <c r="AB122" s="76" t="s">
        <v>185</v>
      </c>
      <c r="AC122" s="76"/>
      <c r="AD122" s="76"/>
      <c r="AE122" s="76"/>
      <c r="AF122" s="76"/>
      <c r="AG122" s="76"/>
      <c r="AH122" s="76"/>
      <c r="AI122" s="76"/>
      <c r="AJ122" s="76"/>
      <c r="AK122" s="76"/>
      <c r="AL122" s="76"/>
      <c r="AM122" s="76"/>
      <c r="AN122" s="76"/>
      <c r="AO122" s="76"/>
      <c r="AP122" s="76"/>
      <c r="AQ122" s="76"/>
      <c r="AR122" s="76"/>
      <c r="AS122" s="76"/>
      <c r="AT122" s="76"/>
      <c r="AU122" s="76"/>
      <c r="AV122" s="76"/>
      <c r="AW122" s="76"/>
      <c r="AX122" s="76"/>
      <c r="AY122" s="76"/>
      <c r="AZ122" s="76"/>
      <c r="BA122" s="76"/>
      <c r="BB122" s="76"/>
      <c r="BC122" s="76"/>
    </row>
    <row r="123" customFormat="false" ht="7.5" hidden="false" customHeight="true" outlineLevel="0" collapsed="false"/>
    <row r="124" customFormat="false" ht="24" hidden="false" customHeight="true" outlineLevel="0" collapsed="false">
      <c r="B124" s="86" t="s">
        <v>115</v>
      </c>
      <c r="C124" s="86"/>
      <c r="D124" s="86"/>
      <c r="E124" s="86"/>
      <c r="F124" s="86"/>
      <c r="H124" s="87" t="s">
        <v>116</v>
      </c>
      <c r="I124" s="87"/>
      <c r="J124" s="87"/>
      <c r="K124" s="87"/>
      <c r="L124" s="87"/>
      <c r="M124" s="87"/>
      <c r="N124" s="87"/>
      <c r="O124" s="87"/>
      <c r="P124" s="87"/>
      <c r="AA124" s="88" t="s">
        <v>136</v>
      </c>
      <c r="AB124" s="88"/>
      <c r="AC124" s="88"/>
      <c r="AD124" s="88"/>
      <c r="AE124" s="88"/>
      <c r="AF124" s="89" t="str">
        <f aca="false">Dashboard!$C$6</f>
        <v>Bindhya TB</v>
      </c>
      <c r="AG124" s="89"/>
      <c r="AH124" s="89"/>
      <c r="AI124" s="89"/>
      <c r="AJ124" s="89"/>
      <c r="AK124" s="89"/>
      <c r="AL124" s="89"/>
      <c r="AM124" s="89"/>
      <c r="AN124" s="89"/>
      <c r="AO124" s="89"/>
      <c r="AP124" s="89"/>
      <c r="AR124" s="88" t="s">
        <v>137</v>
      </c>
      <c r="AS124" s="88"/>
      <c r="AT124" s="89" t="str">
        <f aca="false">TEXT(Cal!H2,"dd mmm")&amp;" to "&amp;TEXT(Cal!I2,"dd mmm yy")</f>
        <v>01 Oct to 03 Oct 26</v>
      </c>
      <c r="AU124" s="89"/>
      <c r="AV124" s="89"/>
      <c r="AW124" s="89"/>
      <c r="AX124" s="89"/>
      <c r="AY124" s="89"/>
      <c r="AZ124" s="89"/>
      <c r="BA124" s="89"/>
      <c r="BB124" s="89"/>
      <c r="BC124" s="89"/>
    </row>
    <row r="125" customFormat="false" ht="3" hidden="false" customHeight="true" outlineLevel="0" collapsed="false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</row>
    <row r="126" customFormat="false" ht="9.75" hidden="false" customHeight="true" outlineLevel="0" collapsed="false"/>
    <row r="127" customFormat="false" ht="21.75" hidden="false" customHeight="true" outlineLevel="0" collapsed="false">
      <c r="B127" s="6"/>
      <c r="C127" s="19" t="s">
        <v>186</v>
      </c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59" t="s">
        <v>187</v>
      </c>
      <c r="AM127" s="59"/>
      <c r="AN127" s="59"/>
      <c r="AO127" s="59"/>
      <c r="AP127" s="59"/>
      <c r="AQ127" s="59"/>
      <c r="AR127" s="59"/>
      <c r="AS127" s="59"/>
      <c r="AT127" s="59"/>
      <c r="AU127" s="59"/>
      <c r="AV127" s="59"/>
      <c r="AW127" s="59"/>
      <c r="AX127" s="59"/>
      <c r="AY127" s="59"/>
      <c r="AZ127" s="59"/>
      <c r="BA127" s="59"/>
      <c r="BB127" s="59"/>
      <c r="BC127" s="59"/>
    </row>
    <row r="128" customFormat="false" ht="27.75" hidden="false" customHeight="true" outlineLevel="0" collapsed="false">
      <c r="B128" s="79" t="s">
        <v>124</v>
      </c>
      <c r="C128" s="79"/>
      <c r="D128" s="80" t="s">
        <v>127</v>
      </c>
      <c r="E128" s="80"/>
      <c r="F128" s="80"/>
      <c r="G128" s="80"/>
      <c r="H128" s="80"/>
      <c r="I128" s="80"/>
      <c r="J128" s="80"/>
      <c r="K128" s="80"/>
      <c r="L128" s="80"/>
      <c r="M128" s="80"/>
      <c r="N128" s="80" t="s">
        <v>126</v>
      </c>
      <c r="O128" s="80"/>
      <c r="P128" s="80"/>
      <c r="Q128" s="80"/>
      <c r="R128" s="80"/>
      <c r="S128" s="80"/>
      <c r="T128" s="80"/>
      <c r="U128" s="80"/>
      <c r="V128" s="80" t="s">
        <v>188</v>
      </c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  <c r="AQ128" s="80"/>
      <c r="AR128" s="80"/>
      <c r="AS128" s="80"/>
      <c r="AT128" s="80"/>
      <c r="AU128" s="80"/>
      <c r="AV128" s="80" t="s">
        <v>189</v>
      </c>
      <c r="AW128" s="80"/>
      <c r="AX128" s="80"/>
      <c r="AY128" s="80"/>
      <c r="AZ128" s="80"/>
      <c r="BA128" s="80"/>
      <c r="BB128" s="80"/>
      <c r="BC128" s="80"/>
    </row>
    <row r="129" customFormat="false" ht="27.75" hidden="false" customHeight="true" outlineLevel="0" collapsed="false">
      <c r="B129" s="81" t="n">
        <v>1</v>
      </c>
      <c r="C129" s="81"/>
      <c r="D129" s="83"/>
      <c r="E129" s="83"/>
      <c r="F129" s="83"/>
      <c r="G129" s="83"/>
      <c r="H129" s="83"/>
      <c r="I129" s="83"/>
      <c r="J129" s="83"/>
      <c r="K129" s="83"/>
      <c r="L129" s="83"/>
      <c r="M129" s="83"/>
      <c r="N129" s="83"/>
      <c r="O129" s="83"/>
      <c r="P129" s="83"/>
      <c r="Q129" s="83"/>
      <c r="R129" s="83"/>
      <c r="S129" s="83"/>
      <c r="T129" s="83"/>
      <c r="U129" s="83"/>
      <c r="V129" s="83"/>
      <c r="W129" s="83"/>
      <c r="X129" s="83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  <c r="AI129" s="83"/>
      <c r="AJ129" s="83"/>
      <c r="AK129" s="83"/>
      <c r="AL129" s="83"/>
      <c r="AM129" s="83"/>
      <c r="AN129" s="83"/>
      <c r="AO129" s="83"/>
      <c r="AP129" s="83"/>
      <c r="AQ129" s="83"/>
      <c r="AR129" s="83"/>
      <c r="AS129" s="83"/>
      <c r="AT129" s="83"/>
      <c r="AU129" s="83"/>
      <c r="AV129" s="82"/>
      <c r="AW129" s="82"/>
      <c r="AX129" s="82"/>
      <c r="AY129" s="82"/>
      <c r="AZ129" s="82"/>
      <c r="BA129" s="82"/>
      <c r="BB129" s="82"/>
      <c r="BC129" s="82"/>
    </row>
    <row r="130" customFormat="false" ht="27.75" hidden="false" customHeight="true" outlineLevel="0" collapsed="false">
      <c r="B130" s="81" t="n">
        <v>2</v>
      </c>
      <c r="C130" s="81"/>
      <c r="D130" s="83"/>
      <c r="E130" s="83"/>
      <c r="F130" s="83"/>
      <c r="G130" s="83"/>
      <c r="H130" s="83"/>
      <c r="I130" s="83"/>
      <c r="J130" s="83"/>
      <c r="K130" s="83"/>
      <c r="L130" s="83"/>
      <c r="M130" s="83"/>
      <c r="N130" s="83"/>
      <c r="O130" s="83"/>
      <c r="P130" s="83"/>
      <c r="Q130" s="83"/>
      <c r="R130" s="83"/>
      <c r="S130" s="83"/>
      <c r="T130" s="83"/>
      <c r="U130" s="83"/>
      <c r="V130" s="83"/>
      <c r="W130" s="83"/>
      <c r="X130" s="83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  <c r="AI130" s="83"/>
      <c r="AJ130" s="83"/>
      <c r="AK130" s="83"/>
      <c r="AL130" s="83"/>
      <c r="AM130" s="83"/>
      <c r="AN130" s="83"/>
      <c r="AO130" s="83"/>
      <c r="AP130" s="83"/>
      <c r="AQ130" s="83"/>
      <c r="AR130" s="83"/>
      <c r="AS130" s="83"/>
      <c r="AT130" s="83"/>
      <c r="AU130" s="83"/>
      <c r="AV130" s="82"/>
      <c r="AW130" s="82"/>
      <c r="AX130" s="82"/>
      <c r="AY130" s="82"/>
      <c r="AZ130" s="82"/>
      <c r="BA130" s="82"/>
      <c r="BB130" s="82"/>
      <c r="BC130" s="82"/>
    </row>
    <row r="131" customFormat="false" ht="27.75" hidden="false" customHeight="true" outlineLevel="0" collapsed="false">
      <c r="B131" s="81" t="n">
        <v>3</v>
      </c>
      <c r="C131" s="81"/>
      <c r="D131" s="83"/>
      <c r="E131" s="83"/>
      <c r="F131" s="83"/>
      <c r="G131" s="83"/>
      <c r="H131" s="83"/>
      <c r="I131" s="83"/>
      <c r="J131" s="83"/>
      <c r="K131" s="83"/>
      <c r="L131" s="83"/>
      <c r="M131" s="83"/>
      <c r="N131" s="83"/>
      <c r="O131" s="83"/>
      <c r="P131" s="83"/>
      <c r="Q131" s="83"/>
      <c r="R131" s="83"/>
      <c r="S131" s="83"/>
      <c r="T131" s="83"/>
      <c r="U131" s="83"/>
      <c r="V131" s="83"/>
      <c r="W131" s="83"/>
      <c r="X131" s="83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  <c r="AI131" s="83"/>
      <c r="AJ131" s="83"/>
      <c r="AK131" s="83"/>
      <c r="AL131" s="83"/>
      <c r="AM131" s="83"/>
      <c r="AN131" s="83"/>
      <c r="AO131" s="83"/>
      <c r="AP131" s="83"/>
      <c r="AQ131" s="83"/>
      <c r="AR131" s="83"/>
      <c r="AS131" s="83"/>
      <c r="AT131" s="83"/>
      <c r="AU131" s="83"/>
      <c r="AV131" s="82"/>
      <c r="AW131" s="82"/>
      <c r="AX131" s="82"/>
      <c r="AY131" s="82"/>
      <c r="AZ131" s="82"/>
      <c r="BA131" s="82"/>
      <c r="BB131" s="82"/>
      <c r="BC131" s="82"/>
    </row>
    <row r="132" customFormat="false" ht="27.75" hidden="false" customHeight="true" outlineLevel="0" collapsed="false">
      <c r="B132" s="81" t="n">
        <v>4</v>
      </c>
      <c r="C132" s="81"/>
      <c r="D132" s="83"/>
      <c r="E132" s="83"/>
      <c r="F132" s="83"/>
      <c r="G132" s="83"/>
      <c r="H132" s="83"/>
      <c r="I132" s="83"/>
      <c r="J132" s="83"/>
      <c r="K132" s="83"/>
      <c r="L132" s="83"/>
      <c r="M132" s="83"/>
      <c r="N132" s="83"/>
      <c r="O132" s="83"/>
      <c r="P132" s="83"/>
      <c r="Q132" s="83"/>
      <c r="R132" s="83"/>
      <c r="S132" s="83"/>
      <c r="T132" s="83"/>
      <c r="U132" s="83"/>
      <c r="V132" s="83"/>
      <c r="W132" s="83"/>
      <c r="X132" s="83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  <c r="AI132" s="83"/>
      <c r="AJ132" s="83"/>
      <c r="AK132" s="83"/>
      <c r="AL132" s="83"/>
      <c r="AM132" s="83"/>
      <c r="AN132" s="83"/>
      <c r="AO132" s="83"/>
      <c r="AP132" s="83"/>
      <c r="AQ132" s="83"/>
      <c r="AR132" s="83"/>
      <c r="AS132" s="83"/>
      <c r="AT132" s="83"/>
      <c r="AU132" s="83"/>
      <c r="AV132" s="82"/>
      <c r="AW132" s="82"/>
      <c r="AX132" s="82"/>
      <c r="AY132" s="82"/>
      <c r="AZ132" s="82"/>
      <c r="BA132" s="82"/>
      <c r="BB132" s="82"/>
      <c r="BC132" s="82"/>
    </row>
    <row r="133" customFormat="false" ht="27.75" hidden="false" customHeight="true" outlineLevel="0" collapsed="false">
      <c r="B133" s="81" t="n">
        <v>5</v>
      </c>
      <c r="C133" s="81"/>
      <c r="D133" s="83"/>
      <c r="E133" s="83"/>
      <c r="F133" s="83"/>
      <c r="G133" s="83"/>
      <c r="H133" s="83"/>
      <c r="I133" s="83"/>
      <c r="J133" s="83"/>
      <c r="K133" s="83"/>
      <c r="L133" s="83"/>
      <c r="M133" s="83"/>
      <c r="N133" s="83"/>
      <c r="O133" s="83"/>
      <c r="P133" s="83"/>
      <c r="Q133" s="83"/>
      <c r="R133" s="83"/>
      <c r="S133" s="83"/>
      <c r="T133" s="83"/>
      <c r="U133" s="83"/>
      <c r="V133" s="83"/>
      <c r="W133" s="83"/>
      <c r="X133" s="83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  <c r="AI133" s="83"/>
      <c r="AJ133" s="83"/>
      <c r="AK133" s="83"/>
      <c r="AL133" s="83"/>
      <c r="AM133" s="83"/>
      <c r="AN133" s="83"/>
      <c r="AO133" s="83"/>
      <c r="AP133" s="83"/>
      <c r="AQ133" s="83"/>
      <c r="AR133" s="83"/>
      <c r="AS133" s="83"/>
      <c r="AT133" s="83"/>
      <c r="AU133" s="83"/>
      <c r="AV133" s="82"/>
      <c r="AW133" s="82"/>
      <c r="AX133" s="82"/>
      <c r="AY133" s="82"/>
      <c r="AZ133" s="82"/>
      <c r="BA133" s="82"/>
      <c r="BB133" s="82"/>
      <c r="BC133" s="82"/>
    </row>
    <row r="134" customFormat="false" ht="27.75" hidden="false" customHeight="true" outlineLevel="0" collapsed="false">
      <c r="B134" s="81" t="n">
        <v>6</v>
      </c>
      <c r="C134" s="81"/>
      <c r="D134" s="83"/>
      <c r="E134" s="83"/>
      <c r="F134" s="83"/>
      <c r="G134" s="83"/>
      <c r="H134" s="83"/>
      <c r="I134" s="83"/>
      <c r="J134" s="83"/>
      <c r="K134" s="83"/>
      <c r="L134" s="83"/>
      <c r="M134" s="83"/>
      <c r="N134" s="83"/>
      <c r="O134" s="83"/>
      <c r="P134" s="83"/>
      <c r="Q134" s="83"/>
      <c r="R134" s="83"/>
      <c r="S134" s="83"/>
      <c r="T134" s="83"/>
      <c r="U134" s="83"/>
      <c r="V134" s="83"/>
      <c r="W134" s="83"/>
      <c r="X134" s="83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  <c r="AI134" s="83"/>
      <c r="AJ134" s="83"/>
      <c r="AK134" s="83"/>
      <c r="AL134" s="83"/>
      <c r="AM134" s="83"/>
      <c r="AN134" s="83"/>
      <c r="AO134" s="83"/>
      <c r="AP134" s="83"/>
      <c r="AQ134" s="83"/>
      <c r="AR134" s="83"/>
      <c r="AS134" s="83"/>
      <c r="AT134" s="83"/>
      <c r="AU134" s="83"/>
      <c r="AV134" s="82"/>
      <c r="AW134" s="82"/>
      <c r="AX134" s="82"/>
      <c r="AY134" s="82"/>
      <c r="AZ134" s="82"/>
      <c r="BA134" s="82"/>
      <c r="BB134" s="82"/>
      <c r="BC134" s="82"/>
    </row>
    <row r="135" customFormat="false" ht="9.75" hidden="false" customHeight="true" outlineLevel="0" collapsed="false"/>
    <row r="136" customFormat="false" ht="21.75" hidden="false" customHeight="true" outlineLevel="0" collapsed="false">
      <c r="B136" s="6"/>
      <c r="C136" s="19" t="s">
        <v>190</v>
      </c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59" t="s">
        <v>191</v>
      </c>
      <c r="AM136" s="59"/>
      <c r="AN136" s="59"/>
      <c r="AO136" s="59"/>
      <c r="AP136" s="59"/>
      <c r="AQ136" s="59"/>
      <c r="AR136" s="59"/>
      <c r="AS136" s="59"/>
      <c r="AT136" s="59"/>
      <c r="AU136" s="59"/>
      <c r="AV136" s="59"/>
      <c r="AW136" s="59"/>
      <c r="AX136" s="59"/>
      <c r="AY136" s="59"/>
      <c r="AZ136" s="59"/>
      <c r="BA136" s="59"/>
      <c r="BB136" s="59"/>
      <c r="BC136" s="59"/>
    </row>
    <row r="137" customFormat="false" ht="27.75" hidden="false" customHeight="true" outlineLevel="0" collapsed="false">
      <c r="B137" s="79" t="s">
        <v>124</v>
      </c>
      <c r="C137" s="79"/>
      <c r="D137" s="80" t="s">
        <v>126</v>
      </c>
      <c r="E137" s="80"/>
      <c r="F137" s="80"/>
      <c r="G137" s="80"/>
      <c r="H137" s="80"/>
      <c r="I137" s="80"/>
      <c r="J137" s="80"/>
      <c r="K137" s="80"/>
      <c r="L137" s="80"/>
      <c r="M137" s="80" t="s">
        <v>149</v>
      </c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 t="s">
        <v>192</v>
      </c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 t="s">
        <v>193</v>
      </c>
      <c r="AQ137" s="80"/>
      <c r="AR137" s="80"/>
      <c r="AS137" s="80"/>
      <c r="AT137" s="80"/>
      <c r="AU137" s="80"/>
      <c r="AV137" s="80"/>
      <c r="AW137" s="80"/>
      <c r="AX137" s="80"/>
      <c r="AY137" s="80"/>
      <c r="AZ137" s="80"/>
      <c r="BA137" s="80"/>
      <c r="BB137" s="80"/>
      <c r="BC137" s="80"/>
    </row>
    <row r="138" customFormat="false" ht="27.75" hidden="false" customHeight="true" outlineLevel="0" collapsed="false">
      <c r="B138" s="81" t="n">
        <v>1</v>
      </c>
      <c r="C138" s="81"/>
      <c r="D138" s="83"/>
      <c r="E138" s="83"/>
      <c r="F138" s="83"/>
      <c r="G138" s="83"/>
      <c r="H138" s="83"/>
      <c r="I138" s="83"/>
      <c r="J138" s="83"/>
      <c r="K138" s="83"/>
      <c r="L138" s="83"/>
      <c r="M138" s="83"/>
      <c r="N138" s="83"/>
      <c r="O138" s="83"/>
      <c r="P138" s="83"/>
      <c r="Q138" s="83"/>
      <c r="R138" s="83"/>
      <c r="S138" s="83"/>
      <c r="T138" s="83"/>
      <c r="U138" s="83"/>
      <c r="V138" s="83"/>
      <c r="W138" s="83"/>
      <c r="X138" s="83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  <c r="AI138" s="83"/>
      <c r="AJ138" s="83"/>
      <c r="AK138" s="83"/>
      <c r="AL138" s="83"/>
      <c r="AM138" s="83"/>
      <c r="AN138" s="83"/>
      <c r="AO138" s="83"/>
      <c r="AP138" s="83"/>
      <c r="AQ138" s="83"/>
      <c r="AR138" s="83"/>
      <c r="AS138" s="83"/>
      <c r="AT138" s="83"/>
      <c r="AU138" s="83"/>
      <c r="AV138" s="83"/>
      <c r="AW138" s="83"/>
      <c r="AX138" s="83"/>
      <c r="AY138" s="83"/>
      <c r="AZ138" s="83"/>
      <c r="BA138" s="83"/>
      <c r="BB138" s="83"/>
      <c r="BC138" s="83"/>
    </row>
    <row r="139" customFormat="false" ht="27.75" hidden="false" customHeight="true" outlineLevel="0" collapsed="false">
      <c r="B139" s="81" t="n">
        <v>2</v>
      </c>
      <c r="C139" s="81"/>
      <c r="D139" s="83"/>
      <c r="E139" s="83"/>
      <c r="F139" s="83"/>
      <c r="G139" s="83"/>
      <c r="H139" s="83"/>
      <c r="I139" s="83"/>
      <c r="J139" s="83"/>
      <c r="K139" s="83"/>
      <c r="L139" s="83"/>
      <c r="M139" s="83"/>
      <c r="N139" s="83"/>
      <c r="O139" s="83"/>
      <c r="P139" s="83"/>
      <c r="Q139" s="83"/>
      <c r="R139" s="83"/>
      <c r="S139" s="83"/>
      <c r="T139" s="83"/>
      <c r="U139" s="83"/>
      <c r="V139" s="83"/>
      <c r="W139" s="83"/>
      <c r="X139" s="83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  <c r="AI139" s="83"/>
      <c r="AJ139" s="83"/>
      <c r="AK139" s="83"/>
      <c r="AL139" s="83"/>
      <c r="AM139" s="83"/>
      <c r="AN139" s="83"/>
      <c r="AO139" s="83"/>
      <c r="AP139" s="83"/>
      <c r="AQ139" s="83"/>
      <c r="AR139" s="83"/>
      <c r="AS139" s="83"/>
      <c r="AT139" s="83"/>
      <c r="AU139" s="83"/>
      <c r="AV139" s="83"/>
      <c r="AW139" s="83"/>
      <c r="AX139" s="83"/>
      <c r="AY139" s="83"/>
      <c r="AZ139" s="83"/>
      <c r="BA139" s="83"/>
      <c r="BB139" s="83"/>
      <c r="BC139" s="83"/>
    </row>
    <row r="140" customFormat="false" ht="27.75" hidden="false" customHeight="true" outlineLevel="0" collapsed="false">
      <c r="B140" s="81" t="n">
        <v>3</v>
      </c>
      <c r="C140" s="81"/>
      <c r="D140" s="83"/>
      <c r="E140" s="83"/>
      <c r="F140" s="83"/>
      <c r="G140" s="83"/>
      <c r="H140" s="83"/>
      <c r="I140" s="83"/>
      <c r="J140" s="83"/>
      <c r="K140" s="83"/>
      <c r="L140" s="83"/>
      <c r="M140" s="83"/>
      <c r="N140" s="83"/>
      <c r="O140" s="83"/>
      <c r="P140" s="83"/>
      <c r="Q140" s="83"/>
      <c r="R140" s="83"/>
      <c r="S140" s="83"/>
      <c r="T140" s="83"/>
      <c r="U140" s="83"/>
      <c r="V140" s="83"/>
      <c r="W140" s="83"/>
      <c r="X140" s="83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  <c r="AI140" s="83"/>
      <c r="AJ140" s="83"/>
      <c r="AK140" s="83"/>
      <c r="AL140" s="83"/>
      <c r="AM140" s="83"/>
      <c r="AN140" s="83"/>
      <c r="AO140" s="83"/>
      <c r="AP140" s="83"/>
      <c r="AQ140" s="83"/>
      <c r="AR140" s="83"/>
      <c r="AS140" s="83"/>
      <c r="AT140" s="83"/>
      <c r="AU140" s="83"/>
      <c r="AV140" s="83"/>
      <c r="AW140" s="83"/>
      <c r="AX140" s="83"/>
      <c r="AY140" s="83"/>
      <c r="AZ140" s="83"/>
      <c r="BA140" s="83"/>
      <c r="BB140" s="83"/>
      <c r="BC140" s="83"/>
    </row>
    <row r="141" customFormat="false" ht="27.75" hidden="false" customHeight="true" outlineLevel="0" collapsed="false">
      <c r="B141" s="81" t="n">
        <v>4</v>
      </c>
      <c r="C141" s="81"/>
      <c r="D141" s="83"/>
      <c r="E141" s="83"/>
      <c r="F141" s="83"/>
      <c r="G141" s="83"/>
      <c r="H141" s="83"/>
      <c r="I141" s="83"/>
      <c r="J141" s="83"/>
      <c r="K141" s="83"/>
      <c r="L141" s="83"/>
      <c r="M141" s="83"/>
      <c r="N141" s="83"/>
      <c r="O141" s="83"/>
      <c r="P141" s="83"/>
      <c r="Q141" s="83"/>
      <c r="R141" s="83"/>
      <c r="S141" s="83"/>
      <c r="T141" s="83"/>
      <c r="U141" s="83"/>
      <c r="V141" s="83"/>
      <c r="W141" s="83"/>
      <c r="X141" s="83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  <c r="AI141" s="83"/>
      <c r="AJ141" s="83"/>
      <c r="AK141" s="83"/>
      <c r="AL141" s="83"/>
      <c r="AM141" s="83"/>
      <c r="AN141" s="83"/>
      <c r="AO141" s="83"/>
      <c r="AP141" s="83"/>
      <c r="AQ141" s="83"/>
      <c r="AR141" s="83"/>
      <c r="AS141" s="83"/>
      <c r="AT141" s="83"/>
      <c r="AU141" s="83"/>
      <c r="AV141" s="83"/>
      <c r="AW141" s="83"/>
      <c r="AX141" s="83"/>
      <c r="AY141" s="83"/>
      <c r="AZ141" s="83"/>
      <c r="BA141" s="83"/>
      <c r="BB141" s="83"/>
      <c r="BC141" s="83"/>
    </row>
    <row r="142" customFormat="false" ht="27.75" hidden="false" customHeight="true" outlineLevel="0" collapsed="false">
      <c r="B142" s="81" t="n">
        <v>5</v>
      </c>
      <c r="C142" s="81"/>
      <c r="D142" s="83"/>
      <c r="E142" s="83"/>
      <c r="F142" s="83"/>
      <c r="G142" s="83"/>
      <c r="H142" s="83"/>
      <c r="I142" s="83"/>
      <c r="J142" s="83"/>
      <c r="K142" s="83"/>
      <c r="L142" s="83"/>
      <c r="M142" s="83"/>
      <c r="N142" s="83"/>
      <c r="O142" s="83"/>
      <c r="P142" s="83"/>
      <c r="Q142" s="83"/>
      <c r="R142" s="83"/>
      <c r="S142" s="83"/>
      <c r="T142" s="83"/>
      <c r="U142" s="83"/>
      <c r="V142" s="83"/>
      <c r="W142" s="83"/>
      <c r="X142" s="83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  <c r="AI142" s="83"/>
      <c r="AJ142" s="83"/>
      <c r="AK142" s="83"/>
      <c r="AL142" s="83"/>
      <c r="AM142" s="83"/>
      <c r="AN142" s="83"/>
      <c r="AO142" s="83"/>
      <c r="AP142" s="83"/>
      <c r="AQ142" s="83"/>
      <c r="AR142" s="83"/>
      <c r="AS142" s="83"/>
      <c r="AT142" s="83"/>
      <c r="AU142" s="83"/>
      <c r="AV142" s="83"/>
      <c r="AW142" s="83"/>
      <c r="AX142" s="83"/>
      <c r="AY142" s="83"/>
      <c r="AZ142" s="83"/>
      <c r="BA142" s="83"/>
      <c r="BB142" s="83"/>
      <c r="BC142" s="83"/>
    </row>
    <row r="143" customFormat="false" ht="103.5" hidden="false" customHeight="true" outlineLevel="0" collapsed="false"/>
    <row r="144" customFormat="false" ht="18" hidden="false" customHeight="true" outlineLevel="0" collapsed="false">
      <c r="B144" s="75" t="s">
        <v>134</v>
      </c>
      <c r="C144" s="75"/>
      <c r="D144" s="75"/>
      <c r="E144" s="75"/>
      <c r="F144" s="75"/>
      <c r="G144" s="75"/>
      <c r="H144" s="75"/>
      <c r="I144" s="75"/>
      <c r="J144" s="75"/>
      <c r="K144" s="75"/>
      <c r="L144" s="75"/>
      <c r="M144" s="75"/>
      <c r="N144" s="75"/>
      <c r="O144" s="75"/>
      <c r="P144" s="75"/>
      <c r="Q144" s="75"/>
      <c r="R144" s="75"/>
      <c r="S144" s="75"/>
      <c r="T144" s="75"/>
      <c r="U144" s="75"/>
      <c r="V144" s="75"/>
      <c r="W144" s="75"/>
      <c r="X144" s="75"/>
      <c r="Y144" s="75"/>
      <c r="Z144" s="75"/>
      <c r="AA144" s="75"/>
      <c r="AB144" s="76" t="s">
        <v>194</v>
      </c>
      <c r="AC144" s="76"/>
      <c r="AD144" s="76"/>
      <c r="AE144" s="76"/>
      <c r="AF144" s="76"/>
      <c r="AG144" s="76"/>
      <c r="AH144" s="76"/>
      <c r="AI144" s="76"/>
      <c r="AJ144" s="76"/>
      <c r="AK144" s="76"/>
      <c r="AL144" s="76"/>
      <c r="AM144" s="76"/>
      <c r="AN144" s="76"/>
      <c r="AO144" s="76"/>
      <c r="AP144" s="76"/>
      <c r="AQ144" s="76"/>
      <c r="AR144" s="76"/>
      <c r="AS144" s="76"/>
      <c r="AT144" s="76"/>
      <c r="AU144" s="76"/>
      <c r="AV144" s="76"/>
      <c r="AW144" s="76"/>
      <c r="AX144" s="76"/>
      <c r="AY144" s="76"/>
      <c r="AZ144" s="76"/>
      <c r="BA144" s="76"/>
      <c r="BB144" s="76"/>
      <c r="BC144" s="76"/>
    </row>
    <row r="145" customFormat="false" ht="7.5" hidden="false" customHeight="true" outlineLevel="0" collapsed="false"/>
    <row r="146" customFormat="false" ht="24" hidden="false" customHeight="true" outlineLevel="0" collapsed="false">
      <c r="B146" s="86" t="s">
        <v>115</v>
      </c>
      <c r="C146" s="86"/>
      <c r="D146" s="86"/>
      <c r="E146" s="86"/>
      <c r="F146" s="86"/>
      <c r="H146" s="87" t="s">
        <v>116</v>
      </c>
      <c r="I146" s="87"/>
      <c r="J146" s="87"/>
      <c r="K146" s="87"/>
      <c r="L146" s="87"/>
      <c r="M146" s="87"/>
      <c r="N146" s="87"/>
      <c r="O146" s="87"/>
      <c r="P146" s="87"/>
      <c r="AA146" s="88" t="s">
        <v>136</v>
      </c>
      <c r="AB146" s="88"/>
      <c r="AC146" s="88"/>
      <c r="AD146" s="88"/>
      <c r="AE146" s="88"/>
      <c r="AF146" s="89" t="str">
        <f aca="false">Dashboard!$C$6</f>
        <v>Bindhya TB</v>
      </c>
      <c r="AG146" s="89"/>
      <c r="AH146" s="89"/>
      <c r="AI146" s="89"/>
      <c r="AJ146" s="89"/>
      <c r="AK146" s="89"/>
      <c r="AL146" s="89"/>
      <c r="AM146" s="89"/>
      <c r="AN146" s="89"/>
      <c r="AO146" s="89"/>
      <c r="AP146" s="89"/>
      <c r="AR146" s="88" t="s">
        <v>137</v>
      </c>
      <c r="AS146" s="88"/>
      <c r="AT146" s="89" t="str">
        <f aca="false">TEXT(Cal!H2,"dd mmm")&amp;" to "&amp;TEXT(Cal!I2,"dd mmm yy")</f>
        <v>01 Oct to 03 Oct 26</v>
      </c>
      <c r="AU146" s="89"/>
      <c r="AV146" s="89"/>
      <c r="AW146" s="89"/>
      <c r="AX146" s="89"/>
      <c r="AY146" s="89"/>
      <c r="AZ146" s="89"/>
      <c r="BA146" s="89"/>
      <c r="BB146" s="89"/>
      <c r="BC146" s="89"/>
    </row>
    <row r="147" customFormat="false" ht="3" hidden="false" customHeight="true" outlineLevel="0" collapsed="false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</row>
    <row r="148" customFormat="false" ht="9.75" hidden="false" customHeight="true" outlineLevel="0" collapsed="false"/>
    <row r="149" customFormat="false" ht="21.75" hidden="false" customHeight="true" outlineLevel="0" collapsed="false">
      <c r="B149" s="6"/>
      <c r="C149" s="19" t="s">
        <v>195</v>
      </c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59" t="s">
        <v>196</v>
      </c>
      <c r="AM149" s="59"/>
      <c r="AN149" s="59"/>
      <c r="AO149" s="59"/>
      <c r="AP149" s="59"/>
      <c r="AQ149" s="59"/>
      <c r="AR149" s="59"/>
      <c r="AS149" s="59"/>
      <c r="AT149" s="59"/>
      <c r="AU149" s="59"/>
      <c r="AV149" s="59"/>
      <c r="AW149" s="59"/>
      <c r="AX149" s="59"/>
      <c r="AY149" s="59"/>
      <c r="AZ149" s="59"/>
      <c r="BA149" s="59"/>
      <c r="BB149" s="59"/>
      <c r="BC149" s="59"/>
    </row>
    <row r="150" customFormat="false" ht="27.75" hidden="false" customHeight="true" outlineLevel="0" collapsed="false">
      <c r="B150" s="79" t="s">
        <v>124</v>
      </c>
      <c r="C150" s="79"/>
      <c r="D150" s="80" t="s">
        <v>140</v>
      </c>
      <c r="E150" s="80"/>
      <c r="F150" s="80"/>
      <c r="G150" s="80"/>
      <c r="H150" s="80" t="s">
        <v>141</v>
      </c>
      <c r="I150" s="80"/>
      <c r="J150" s="80"/>
      <c r="K150" s="80"/>
      <c r="L150" s="80"/>
      <c r="M150" s="80"/>
      <c r="N150" s="80"/>
      <c r="O150" s="80"/>
      <c r="P150" s="80"/>
      <c r="Q150" s="80" t="s">
        <v>197</v>
      </c>
      <c r="R150" s="80"/>
      <c r="S150" s="80"/>
      <c r="T150" s="80"/>
      <c r="U150" s="80"/>
      <c r="V150" s="80"/>
      <c r="W150" s="80" t="s">
        <v>142</v>
      </c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  <c r="AQ150" s="80"/>
      <c r="AR150" s="80"/>
      <c r="AS150" s="80"/>
      <c r="AT150" s="80"/>
      <c r="AU150" s="80"/>
      <c r="AV150" s="80"/>
      <c r="AW150" s="80"/>
      <c r="AX150" s="80"/>
      <c r="AY150" s="80"/>
      <c r="AZ150" s="80"/>
      <c r="BA150" s="80"/>
      <c r="BB150" s="80"/>
      <c r="BC150" s="80"/>
    </row>
    <row r="151" customFormat="false" ht="33.75" hidden="false" customHeight="true" outlineLevel="0" collapsed="false">
      <c r="B151" s="81" t="n">
        <v>1</v>
      </c>
      <c r="C151" s="81"/>
      <c r="D151" s="82"/>
      <c r="E151" s="82"/>
      <c r="F151" s="82"/>
      <c r="G151" s="82"/>
      <c r="H151" s="83"/>
      <c r="I151" s="83"/>
      <c r="J151" s="83"/>
      <c r="K151" s="83"/>
      <c r="L151" s="83"/>
      <c r="M151" s="83"/>
      <c r="N151" s="83"/>
      <c r="O151" s="83"/>
      <c r="P151" s="83"/>
      <c r="Q151" s="83"/>
      <c r="R151" s="83"/>
      <c r="S151" s="83"/>
      <c r="T151" s="83"/>
      <c r="U151" s="83"/>
      <c r="V151" s="83"/>
      <c r="W151" s="83"/>
      <c r="X151" s="83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  <c r="AI151" s="83"/>
      <c r="AJ151" s="83"/>
      <c r="AK151" s="83"/>
      <c r="AL151" s="83"/>
      <c r="AM151" s="83"/>
      <c r="AN151" s="83"/>
      <c r="AO151" s="83"/>
      <c r="AP151" s="83"/>
      <c r="AQ151" s="83"/>
      <c r="AR151" s="83"/>
      <c r="AS151" s="83"/>
      <c r="AT151" s="83"/>
      <c r="AU151" s="83"/>
      <c r="AV151" s="83"/>
      <c r="AW151" s="83"/>
      <c r="AX151" s="83"/>
      <c r="AY151" s="83"/>
      <c r="AZ151" s="83"/>
      <c r="BA151" s="83"/>
      <c r="BB151" s="83"/>
      <c r="BC151" s="83"/>
    </row>
    <row r="152" customFormat="false" ht="33.75" hidden="false" customHeight="true" outlineLevel="0" collapsed="false">
      <c r="B152" s="81" t="n">
        <v>2</v>
      </c>
      <c r="C152" s="81"/>
      <c r="D152" s="82"/>
      <c r="E152" s="82"/>
      <c r="F152" s="82"/>
      <c r="G152" s="82"/>
      <c r="H152" s="83"/>
      <c r="I152" s="83"/>
      <c r="J152" s="83"/>
      <c r="K152" s="83"/>
      <c r="L152" s="83"/>
      <c r="M152" s="83"/>
      <c r="N152" s="83"/>
      <c r="O152" s="83"/>
      <c r="P152" s="83"/>
      <c r="Q152" s="83"/>
      <c r="R152" s="83"/>
      <c r="S152" s="83"/>
      <c r="T152" s="83"/>
      <c r="U152" s="83"/>
      <c r="V152" s="83"/>
      <c r="W152" s="83"/>
      <c r="X152" s="83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  <c r="AI152" s="83"/>
      <c r="AJ152" s="83"/>
      <c r="AK152" s="83"/>
      <c r="AL152" s="83"/>
      <c r="AM152" s="83"/>
      <c r="AN152" s="83"/>
      <c r="AO152" s="83"/>
      <c r="AP152" s="83"/>
      <c r="AQ152" s="83"/>
      <c r="AR152" s="83"/>
      <c r="AS152" s="83"/>
      <c r="AT152" s="83"/>
      <c r="AU152" s="83"/>
      <c r="AV152" s="83"/>
      <c r="AW152" s="83"/>
      <c r="AX152" s="83"/>
      <c r="AY152" s="83"/>
      <c r="AZ152" s="83"/>
      <c r="BA152" s="83"/>
      <c r="BB152" s="83"/>
      <c r="BC152" s="83"/>
    </row>
    <row r="153" customFormat="false" ht="33.75" hidden="false" customHeight="true" outlineLevel="0" collapsed="false">
      <c r="B153" s="81" t="n">
        <v>3</v>
      </c>
      <c r="C153" s="81"/>
      <c r="D153" s="82"/>
      <c r="E153" s="82"/>
      <c r="F153" s="82"/>
      <c r="G153" s="82"/>
      <c r="H153" s="83"/>
      <c r="I153" s="83"/>
      <c r="J153" s="83"/>
      <c r="K153" s="83"/>
      <c r="L153" s="83"/>
      <c r="M153" s="83"/>
      <c r="N153" s="83"/>
      <c r="O153" s="83"/>
      <c r="P153" s="83"/>
      <c r="Q153" s="83"/>
      <c r="R153" s="83"/>
      <c r="S153" s="83"/>
      <c r="T153" s="83"/>
      <c r="U153" s="83"/>
      <c r="V153" s="83"/>
      <c r="W153" s="83"/>
      <c r="X153" s="83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  <c r="AI153" s="83"/>
      <c r="AJ153" s="83"/>
      <c r="AK153" s="83"/>
      <c r="AL153" s="83"/>
      <c r="AM153" s="83"/>
      <c r="AN153" s="83"/>
      <c r="AO153" s="83"/>
      <c r="AP153" s="83"/>
      <c r="AQ153" s="83"/>
      <c r="AR153" s="83"/>
      <c r="AS153" s="83"/>
      <c r="AT153" s="83"/>
      <c r="AU153" s="83"/>
      <c r="AV153" s="83"/>
      <c r="AW153" s="83"/>
      <c r="AX153" s="83"/>
      <c r="AY153" s="83"/>
      <c r="AZ153" s="83"/>
      <c r="BA153" s="83"/>
      <c r="BB153" s="83"/>
      <c r="BC153" s="83"/>
    </row>
    <row r="154" customFormat="false" ht="33.75" hidden="false" customHeight="true" outlineLevel="0" collapsed="false">
      <c r="B154" s="81" t="n">
        <v>4</v>
      </c>
      <c r="C154" s="81"/>
      <c r="D154" s="82"/>
      <c r="E154" s="82"/>
      <c r="F154" s="82"/>
      <c r="G154" s="82"/>
      <c r="H154" s="83"/>
      <c r="I154" s="83"/>
      <c r="J154" s="83"/>
      <c r="K154" s="83"/>
      <c r="L154" s="83"/>
      <c r="M154" s="83"/>
      <c r="N154" s="83"/>
      <c r="O154" s="83"/>
      <c r="P154" s="83"/>
      <c r="Q154" s="83"/>
      <c r="R154" s="83"/>
      <c r="S154" s="83"/>
      <c r="T154" s="83"/>
      <c r="U154" s="83"/>
      <c r="V154" s="83"/>
      <c r="W154" s="83"/>
      <c r="X154" s="83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  <c r="AI154" s="83"/>
      <c r="AJ154" s="83"/>
      <c r="AK154" s="83"/>
      <c r="AL154" s="83"/>
      <c r="AM154" s="83"/>
      <c r="AN154" s="83"/>
      <c r="AO154" s="83"/>
      <c r="AP154" s="83"/>
      <c r="AQ154" s="83"/>
      <c r="AR154" s="83"/>
      <c r="AS154" s="83"/>
      <c r="AT154" s="83"/>
      <c r="AU154" s="83"/>
      <c r="AV154" s="83"/>
      <c r="AW154" s="83"/>
      <c r="AX154" s="83"/>
      <c r="AY154" s="83"/>
      <c r="AZ154" s="83"/>
      <c r="BA154" s="83"/>
      <c r="BB154" s="83"/>
      <c r="BC154" s="83"/>
    </row>
    <row r="155" customFormat="false" ht="24" hidden="false" customHeight="true" outlineLevel="0" collapsed="false">
      <c r="B155" s="84" t="s">
        <v>132</v>
      </c>
      <c r="C155" s="84"/>
      <c r="E155" s="85" t="s">
        <v>198</v>
      </c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  <c r="AI155" s="85"/>
      <c r="AJ155" s="85"/>
      <c r="AK155" s="85"/>
      <c r="AL155" s="85"/>
      <c r="AM155" s="85"/>
      <c r="AN155" s="85"/>
      <c r="AO155" s="85"/>
      <c r="AP155" s="85"/>
      <c r="AQ155" s="85"/>
      <c r="AR155" s="85"/>
      <c r="AS155" s="85"/>
      <c r="AT155" s="85"/>
      <c r="AU155" s="85"/>
      <c r="AV155" s="85"/>
      <c r="AW155" s="85"/>
      <c r="AX155" s="85"/>
      <c r="AY155" s="85"/>
      <c r="AZ155" s="85"/>
      <c r="BA155" s="85"/>
      <c r="BB155" s="85"/>
      <c r="BC155" s="85"/>
    </row>
    <row r="156" customFormat="false" ht="9.75" hidden="false" customHeight="true" outlineLevel="0" collapsed="false"/>
    <row r="157" customFormat="false" ht="21.75" hidden="false" customHeight="true" outlineLevel="0" collapsed="false">
      <c r="B157" s="6"/>
      <c r="C157" s="19" t="s">
        <v>199</v>
      </c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59" t="s">
        <v>200</v>
      </c>
      <c r="AG157" s="59"/>
      <c r="AH157" s="59"/>
      <c r="AI157" s="59"/>
      <c r="AJ157" s="59"/>
      <c r="AK157" s="59"/>
      <c r="AL157" s="59"/>
      <c r="AM157" s="59"/>
      <c r="AN157" s="59"/>
      <c r="AO157" s="59"/>
      <c r="AP157" s="59"/>
      <c r="AQ157" s="59"/>
      <c r="AR157" s="59"/>
      <c r="AS157" s="59"/>
      <c r="AT157" s="59"/>
      <c r="AU157" s="59"/>
      <c r="AV157" s="59"/>
      <c r="AW157" s="59"/>
      <c r="AX157" s="59"/>
      <c r="AY157" s="59"/>
      <c r="AZ157" s="59"/>
      <c r="BA157" s="59"/>
      <c r="BB157" s="59"/>
      <c r="BC157" s="59"/>
    </row>
    <row r="158" customFormat="false" ht="19.5" hidden="false" customHeight="true" outlineLevel="0" collapsed="false">
      <c r="B158" s="60"/>
      <c r="C158" s="91" t="s">
        <v>89</v>
      </c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2"/>
      <c r="P158" s="60"/>
      <c r="Q158" s="91" t="s">
        <v>201</v>
      </c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2"/>
      <c r="AD158" s="60"/>
      <c r="AE158" s="91" t="s">
        <v>100</v>
      </c>
      <c r="AF158" s="91"/>
      <c r="AG158" s="91"/>
      <c r="AH158" s="91"/>
      <c r="AI158" s="91"/>
      <c r="AJ158" s="91"/>
      <c r="AK158" s="91"/>
      <c r="AL158" s="91"/>
      <c r="AM158" s="91"/>
      <c r="AN158" s="91"/>
      <c r="AO158" s="91"/>
      <c r="AP158" s="92"/>
      <c r="AR158" s="60"/>
      <c r="AS158" s="91" t="s">
        <v>101</v>
      </c>
      <c r="AT158" s="91"/>
      <c r="AU158" s="91"/>
      <c r="AV158" s="91"/>
      <c r="AW158" s="91"/>
      <c r="AX158" s="91"/>
      <c r="AY158" s="91"/>
      <c r="AZ158" s="91"/>
      <c r="BA158" s="91"/>
      <c r="BB158" s="91"/>
      <c r="BC158" s="92"/>
    </row>
    <row r="159" customFormat="false" ht="12" hidden="false" customHeight="true" outlineLevel="0" collapsed="false">
      <c r="B159" s="63"/>
      <c r="C159" s="93" t="s">
        <v>202</v>
      </c>
      <c r="D159" s="93"/>
      <c r="E159" s="93"/>
      <c r="F159" s="93"/>
      <c r="G159" s="93"/>
      <c r="H159" s="93"/>
      <c r="I159" s="93"/>
      <c r="J159" s="93"/>
      <c r="K159" s="93"/>
      <c r="L159" s="93"/>
      <c r="M159" s="93"/>
      <c r="N159" s="65"/>
      <c r="P159" s="63"/>
      <c r="Q159" s="93" t="s">
        <v>202</v>
      </c>
      <c r="R159" s="93"/>
      <c r="S159" s="93"/>
      <c r="T159" s="93"/>
      <c r="U159" s="93"/>
      <c r="V159" s="93"/>
      <c r="W159" s="93"/>
      <c r="X159" s="93"/>
      <c r="Y159" s="93"/>
      <c r="Z159" s="93"/>
      <c r="AA159" s="93"/>
      <c r="AB159" s="65"/>
      <c r="AD159" s="63"/>
      <c r="AE159" s="93" t="s">
        <v>202</v>
      </c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65"/>
      <c r="AR159" s="63"/>
      <c r="AS159" s="93" t="s">
        <v>202</v>
      </c>
      <c r="AT159" s="93"/>
      <c r="AU159" s="93"/>
      <c r="AV159" s="93"/>
      <c r="AW159" s="93"/>
      <c r="AX159" s="94"/>
      <c r="AY159" s="93" t="s">
        <v>203</v>
      </c>
      <c r="AZ159" s="93"/>
      <c r="BA159" s="93"/>
      <c r="BB159" s="93"/>
      <c r="BC159" s="65"/>
    </row>
    <row r="160" customFormat="false" ht="25.5" hidden="false" customHeight="true" outlineLevel="0" collapsed="false">
      <c r="B160" s="63"/>
      <c r="C160" s="95" t="n">
        <f aca="false">SUMIFS(Data!$D$2:$D$32,Data!$A$2:$A$32,"&gt;="&amp;Cal!$H$2,Data!$A$2:$A$32,"&lt;="&amp;Cal!$I$2)</f>
        <v>6</v>
      </c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65"/>
      <c r="P160" s="63"/>
      <c r="Q160" s="95" t="n">
        <f aca="false">SUMIFS(Data!$E$2:$E$32,Data!$A$2:$A$32,"&gt;="&amp;Cal!$H$2,Data!$A$2:$A$32,"&lt;="&amp;Cal!$I$2)</f>
        <v>4</v>
      </c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65"/>
      <c r="AD160" s="63"/>
      <c r="AE160" s="95" t="n">
        <f aca="false">SUMIFS(Data!$I$2:$I$32,Data!$A$2:$A$32,"&gt;="&amp;Cal!$H$2,Data!$A$2:$A$32,"&lt;="&amp;Cal!$I$2)</f>
        <v>21</v>
      </c>
      <c r="AF160" s="95"/>
      <c r="AG160" s="95"/>
      <c r="AH160" s="95"/>
      <c r="AI160" s="95"/>
      <c r="AJ160" s="95"/>
      <c r="AK160" s="95"/>
      <c r="AL160" s="95"/>
      <c r="AM160" s="95"/>
      <c r="AN160" s="95"/>
      <c r="AO160" s="95"/>
      <c r="AP160" s="65"/>
      <c r="AR160" s="63"/>
      <c r="AS160" s="95" t="n">
        <f aca="false">SUMIFS(Data!$J$2:$J$32,Data!$A$2:$A$32,"&gt;="&amp;Cal!$H$2,Data!$A$2:$A$32,"&lt;="&amp;Cal!$I$2)</f>
        <v>0</v>
      </c>
      <c r="AT160" s="95"/>
      <c r="AU160" s="95"/>
      <c r="AV160" s="95"/>
      <c r="AW160" s="95"/>
      <c r="AX160" s="94"/>
      <c r="AY160" s="96" t="n">
        <f aca="false">SUM(W66:W70)</f>
        <v>0</v>
      </c>
      <c r="AZ160" s="96"/>
      <c r="BA160" s="96"/>
      <c r="BB160" s="96"/>
      <c r="BC160" s="65"/>
    </row>
    <row r="161" customFormat="false" ht="6" hidden="false" customHeight="true" outlineLevel="0" collapsed="false">
      <c r="B161" s="67"/>
      <c r="C161" s="68"/>
      <c r="D161" s="68"/>
      <c r="E161" s="68"/>
      <c r="F161" s="68"/>
      <c r="G161" s="68"/>
      <c r="H161" s="68"/>
      <c r="I161" s="68"/>
      <c r="J161" s="68"/>
      <c r="K161" s="68"/>
      <c r="L161" s="68"/>
      <c r="M161" s="68"/>
      <c r="N161" s="69"/>
      <c r="P161" s="67"/>
      <c r="Q161" s="68"/>
      <c r="R161" s="68"/>
      <c r="S161" s="68"/>
      <c r="T161" s="68"/>
      <c r="U161" s="68"/>
      <c r="V161" s="68"/>
      <c r="W161" s="68"/>
      <c r="X161" s="68"/>
      <c r="Y161" s="68"/>
      <c r="Z161" s="68"/>
      <c r="AA161" s="68"/>
      <c r="AB161" s="69"/>
      <c r="AD161" s="67"/>
      <c r="AE161" s="68"/>
      <c r="AF161" s="68"/>
      <c r="AG161" s="68"/>
      <c r="AH161" s="68"/>
      <c r="AI161" s="68"/>
      <c r="AJ161" s="68"/>
      <c r="AK161" s="68"/>
      <c r="AL161" s="68"/>
      <c r="AM161" s="68"/>
      <c r="AN161" s="68"/>
      <c r="AO161" s="68"/>
      <c r="AP161" s="69"/>
      <c r="AR161" s="67"/>
      <c r="AS161" s="68"/>
      <c r="AT161" s="68"/>
      <c r="AU161" s="68"/>
      <c r="AV161" s="68"/>
      <c r="AW161" s="68"/>
      <c r="AX161" s="68"/>
      <c r="AY161" s="68"/>
      <c r="AZ161" s="68"/>
      <c r="BA161" s="68"/>
      <c r="BB161" s="68"/>
      <c r="BC161" s="69"/>
    </row>
    <row r="162" customFormat="false" ht="7.5" hidden="false" customHeight="true" outlineLevel="0" collapsed="false"/>
    <row r="163" customFormat="false" ht="19.5" hidden="false" customHeight="true" outlineLevel="0" collapsed="false">
      <c r="B163" s="60"/>
      <c r="C163" s="91" t="s">
        <v>102</v>
      </c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2"/>
      <c r="P163" s="60"/>
      <c r="Q163" s="91" t="s">
        <v>103</v>
      </c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2"/>
      <c r="AD163" s="60"/>
      <c r="AE163" s="91" t="s">
        <v>104</v>
      </c>
      <c r="AF163" s="91"/>
      <c r="AG163" s="91"/>
      <c r="AH163" s="91"/>
      <c r="AI163" s="91"/>
      <c r="AJ163" s="91"/>
      <c r="AK163" s="91"/>
      <c r="AL163" s="91"/>
      <c r="AM163" s="91"/>
      <c r="AN163" s="91"/>
      <c r="AO163" s="91"/>
      <c r="AP163" s="92"/>
      <c r="AR163" s="60"/>
      <c r="AS163" s="91" t="s">
        <v>204</v>
      </c>
      <c r="AT163" s="91"/>
      <c r="AU163" s="91"/>
      <c r="AV163" s="91"/>
      <c r="AW163" s="91"/>
      <c r="AX163" s="91"/>
      <c r="AY163" s="91"/>
      <c r="AZ163" s="91"/>
      <c r="BA163" s="91"/>
      <c r="BB163" s="91"/>
      <c r="BC163" s="92"/>
    </row>
    <row r="164" customFormat="false" ht="12" hidden="false" customHeight="true" outlineLevel="0" collapsed="false">
      <c r="B164" s="63"/>
      <c r="C164" s="93" t="s">
        <v>202</v>
      </c>
      <c r="D164" s="93"/>
      <c r="E164" s="93"/>
      <c r="F164" s="93"/>
      <c r="G164" s="93"/>
      <c r="H164" s="94"/>
      <c r="I164" s="93" t="s">
        <v>205</v>
      </c>
      <c r="J164" s="93"/>
      <c r="K164" s="93"/>
      <c r="L164" s="93"/>
      <c r="M164" s="93"/>
      <c r="N164" s="65"/>
      <c r="P164" s="63"/>
      <c r="Q164" s="93" t="s">
        <v>202</v>
      </c>
      <c r="R164" s="93"/>
      <c r="S164" s="93"/>
      <c r="T164" s="93"/>
      <c r="U164" s="93"/>
      <c r="V164" s="94"/>
      <c r="W164" s="93" t="s">
        <v>206</v>
      </c>
      <c r="X164" s="93"/>
      <c r="Y164" s="93"/>
      <c r="Z164" s="93"/>
      <c r="AA164" s="93"/>
      <c r="AB164" s="65"/>
      <c r="AD164" s="63"/>
      <c r="AE164" s="93" t="s">
        <v>202</v>
      </c>
      <c r="AF164" s="93"/>
      <c r="AG164" s="93"/>
      <c r="AH164" s="93"/>
      <c r="AI164" s="93"/>
      <c r="AJ164" s="94"/>
      <c r="AK164" s="93" t="s">
        <v>205</v>
      </c>
      <c r="AL164" s="93"/>
      <c r="AM164" s="93"/>
      <c r="AN164" s="93"/>
      <c r="AO164" s="93"/>
      <c r="AP164" s="65"/>
      <c r="AR164" s="63"/>
      <c r="AS164" s="93" t="s">
        <v>202</v>
      </c>
      <c r="AT164" s="93"/>
      <c r="AU164" s="93"/>
      <c r="AV164" s="93"/>
      <c r="AW164" s="93"/>
      <c r="AX164" s="93"/>
      <c r="AY164" s="93"/>
      <c r="AZ164" s="93"/>
      <c r="BA164" s="93"/>
      <c r="BB164" s="93"/>
      <c r="BC164" s="65"/>
    </row>
    <row r="165" customFormat="false" ht="25.5" hidden="false" customHeight="true" outlineLevel="0" collapsed="false">
      <c r="B165" s="63"/>
      <c r="C165" s="95" t="n">
        <f aca="false">SUMIFS(Data!$K$2:$K$32,Data!$A$2:$A$32,"&gt;="&amp;Cal!$H$2,Data!$A$2:$A$32,"&lt;="&amp;Cal!$I$2)</f>
        <v>0</v>
      </c>
      <c r="D165" s="95"/>
      <c r="E165" s="95"/>
      <c r="F165" s="95"/>
      <c r="G165" s="95"/>
      <c r="H165" s="94"/>
      <c r="I165" s="95" t="n">
        <f aca="false">COUNTIF(AW80:AW84,"O")</f>
        <v>0</v>
      </c>
      <c r="J165" s="95"/>
      <c r="K165" s="95"/>
      <c r="L165" s="95"/>
      <c r="M165" s="95"/>
      <c r="N165" s="65"/>
      <c r="P165" s="63"/>
      <c r="Q165" s="95" t="n">
        <f aca="false">SUMIFS(Data!$L$2:$L$32,Data!$A$2:$A$32,"&gt;="&amp;Cal!$H$2,Data!$A$2:$A$32,"&lt;="&amp;Cal!$I$2)</f>
        <v>0</v>
      </c>
      <c r="R165" s="95"/>
      <c r="S165" s="95"/>
      <c r="T165" s="95"/>
      <c r="U165" s="95"/>
      <c r="V165" s="94"/>
      <c r="W165" s="95" t="n">
        <f aca="false">COUNTIF(AC89:AC93,"&gt;0")</f>
        <v>0</v>
      </c>
      <c r="X165" s="95"/>
      <c r="Y165" s="95"/>
      <c r="Z165" s="95"/>
      <c r="AA165" s="95"/>
      <c r="AB165" s="65"/>
      <c r="AD165" s="63"/>
      <c r="AE165" s="95" t="n">
        <f aca="false">SUMIFS(Data!$M$2:$M$32,Data!$A$2:$A$32,"&gt;="&amp;Cal!$H$2,Data!$A$2:$A$32,"&lt;="&amp;Cal!$I$2)</f>
        <v>1</v>
      </c>
      <c r="AF165" s="95"/>
      <c r="AG165" s="95"/>
      <c r="AH165" s="95"/>
      <c r="AI165" s="95"/>
      <c r="AJ165" s="94"/>
      <c r="AK165" s="95" t="n">
        <f aca="false">COUNTIF(AV103:AV108,"O")</f>
        <v>0</v>
      </c>
      <c r="AL165" s="95"/>
      <c r="AM165" s="95"/>
      <c r="AN165" s="95"/>
      <c r="AO165" s="95"/>
      <c r="AP165" s="65"/>
      <c r="AR165" s="63"/>
      <c r="AS165" s="95" t="n">
        <f aca="false">SUMIFS(Data!$H$2:$H$32,Data!$A$2:$A$32,"&gt;="&amp;Cal!$H$2,Data!$A$2:$A$32,"&lt;="&amp;Cal!$I$2)</f>
        <v>0</v>
      </c>
      <c r="AT165" s="95"/>
      <c r="AU165" s="95"/>
      <c r="AV165" s="95"/>
      <c r="AW165" s="95"/>
      <c r="AX165" s="95"/>
      <c r="AY165" s="95"/>
      <c r="AZ165" s="95"/>
      <c r="BA165" s="95"/>
      <c r="BB165" s="95"/>
      <c r="BC165" s="65"/>
    </row>
    <row r="166" customFormat="false" ht="6" hidden="false" customHeight="true" outlineLevel="0" collapsed="false">
      <c r="B166" s="67"/>
      <c r="C166" s="68"/>
      <c r="D166" s="68"/>
      <c r="E166" s="68"/>
      <c r="F166" s="68"/>
      <c r="G166" s="68"/>
      <c r="H166" s="68"/>
      <c r="I166" s="68"/>
      <c r="J166" s="68"/>
      <c r="K166" s="68"/>
      <c r="L166" s="68"/>
      <c r="M166" s="68"/>
      <c r="N166" s="69"/>
      <c r="P166" s="67"/>
      <c r="Q166" s="68"/>
      <c r="R166" s="68"/>
      <c r="S166" s="68"/>
      <c r="T166" s="68"/>
      <c r="U166" s="68"/>
      <c r="V166" s="68"/>
      <c r="W166" s="68"/>
      <c r="X166" s="68"/>
      <c r="Y166" s="68"/>
      <c r="Z166" s="68"/>
      <c r="AA166" s="68"/>
      <c r="AB166" s="69"/>
      <c r="AD166" s="67"/>
      <c r="AE166" s="68"/>
      <c r="AF166" s="68"/>
      <c r="AG166" s="68"/>
      <c r="AH166" s="68"/>
      <c r="AI166" s="68"/>
      <c r="AJ166" s="68"/>
      <c r="AK166" s="68"/>
      <c r="AL166" s="68"/>
      <c r="AM166" s="68"/>
      <c r="AN166" s="68"/>
      <c r="AO166" s="68"/>
      <c r="AP166" s="69"/>
      <c r="AR166" s="67"/>
      <c r="AS166" s="68"/>
      <c r="AT166" s="68"/>
      <c r="AU166" s="68"/>
      <c r="AV166" s="68"/>
      <c r="AW166" s="68"/>
      <c r="AX166" s="68"/>
      <c r="AY166" s="68"/>
      <c r="AZ166" s="68"/>
      <c r="BA166" s="68"/>
      <c r="BB166" s="68"/>
      <c r="BC166" s="69"/>
    </row>
    <row r="167" customFormat="false" ht="7.5" hidden="false" customHeight="true" outlineLevel="0" collapsed="false"/>
    <row r="168" customFormat="false" ht="108" hidden="false" customHeight="true" outlineLevel="0" collapsed="false"/>
    <row r="169" customFormat="false" ht="6" hidden="false" customHeight="true" outlineLevel="0" collapsed="false"/>
    <row r="170" customFormat="false" ht="19.5" hidden="false" customHeight="true" outlineLevel="0" collapsed="false">
      <c r="B170" s="73" t="s">
        <v>107</v>
      </c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4" t="s">
        <v>108</v>
      </c>
      <c r="R170" s="74"/>
      <c r="S170" s="74"/>
      <c r="T170" s="74"/>
      <c r="U170" s="74"/>
      <c r="V170" s="74"/>
      <c r="W170" s="74"/>
      <c r="X170" s="74"/>
      <c r="Y170" s="74"/>
      <c r="Z170" s="74"/>
      <c r="AA170" s="74"/>
      <c r="AC170" s="73" t="s">
        <v>207</v>
      </c>
      <c r="AD170" s="73"/>
      <c r="AE170" s="73"/>
      <c r="AF170" s="73"/>
      <c r="AG170" s="73"/>
      <c r="AH170" s="73"/>
      <c r="AI170" s="73"/>
      <c r="AJ170" s="73"/>
      <c r="AK170" s="73"/>
      <c r="AL170" s="73"/>
      <c r="AM170" s="73"/>
      <c r="AN170" s="73"/>
      <c r="AO170" s="73"/>
      <c r="AP170" s="73"/>
      <c r="AQ170" s="73"/>
      <c r="AR170" s="73"/>
      <c r="AS170" s="74" t="s">
        <v>108</v>
      </c>
      <c r="AT170" s="74"/>
      <c r="AU170" s="74"/>
      <c r="AV170" s="74"/>
      <c r="AW170" s="74"/>
      <c r="AX170" s="74"/>
      <c r="AY170" s="74"/>
      <c r="AZ170" s="74"/>
      <c r="BA170" s="74"/>
      <c r="BB170" s="74"/>
      <c r="BC170" s="74"/>
    </row>
    <row r="171" customFormat="false" ht="18" hidden="false" customHeight="true" outlineLevel="0" collapsed="false">
      <c r="B171" s="75" t="s">
        <v>134</v>
      </c>
      <c r="C171" s="75"/>
      <c r="D171" s="75"/>
      <c r="E171" s="75"/>
      <c r="F171" s="75"/>
      <c r="G171" s="75"/>
      <c r="H171" s="75"/>
      <c r="I171" s="75"/>
      <c r="J171" s="75"/>
      <c r="K171" s="75"/>
      <c r="L171" s="75"/>
      <c r="M171" s="75"/>
      <c r="N171" s="75"/>
      <c r="O171" s="75"/>
      <c r="P171" s="75"/>
      <c r="Q171" s="75"/>
      <c r="R171" s="75"/>
      <c r="S171" s="75"/>
      <c r="T171" s="75"/>
      <c r="U171" s="75"/>
      <c r="V171" s="75"/>
      <c r="W171" s="75"/>
      <c r="X171" s="75"/>
      <c r="Y171" s="75"/>
      <c r="Z171" s="75"/>
      <c r="AA171" s="75"/>
      <c r="AB171" s="76" t="s">
        <v>208</v>
      </c>
      <c r="AC171" s="76"/>
      <c r="AD171" s="76"/>
      <c r="AE171" s="76"/>
      <c r="AF171" s="76"/>
      <c r="AG171" s="76"/>
      <c r="AH171" s="76"/>
      <c r="AI171" s="76"/>
      <c r="AJ171" s="76"/>
      <c r="AK171" s="76"/>
      <c r="AL171" s="76"/>
      <c r="AM171" s="76"/>
      <c r="AN171" s="76"/>
      <c r="AO171" s="76"/>
      <c r="AP171" s="76"/>
      <c r="AQ171" s="76"/>
      <c r="AR171" s="76"/>
      <c r="AS171" s="76"/>
      <c r="AT171" s="76"/>
      <c r="AU171" s="76"/>
      <c r="AV171" s="76"/>
      <c r="AW171" s="76"/>
      <c r="AX171" s="76"/>
      <c r="AY171" s="76"/>
      <c r="AZ171" s="76"/>
      <c r="BA171" s="76"/>
      <c r="BB171" s="76"/>
      <c r="BC171" s="76"/>
    </row>
    <row r="172" customFormat="false" ht="7.5" hidden="false" customHeight="true" outlineLevel="0" collapsed="false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</row>
    <row r="173" customFormat="false" ht="19.5" hidden="false" customHeight="true" outlineLevel="0" collapsed="false">
      <c r="B173" s="1"/>
      <c r="C173" s="51" t="s">
        <v>114</v>
      </c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  <c r="AJ173" s="51"/>
      <c r="AK173" s="51"/>
      <c r="AL173" s="51"/>
      <c r="AM173" s="51"/>
      <c r="AN173" s="51"/>
      <c r="AO173" s="51"/>
      <c r="AP173" s="51"/>
      <c r="AQ173" s="51"/>
      <c r="AR173" s="1"/>
      <c r="AS173" s="1"/>
      <c r="AT173" s="1"/>
      <c r="AU173" s="52" t="s">
        <v>115</v>
      </c>
      <c r="AV173" s="52"/>
      <c r="AW173" s="52"/>
      <c r="AX173" s="52"/>
      <c r="AY173" s="52"/>
      <c r="AZ173" s="52"/>
      <c r="BA173" s="52"/>
      <c r="BB173" s="1"/>
      <c r="BC173" s="1"/>
    </row>
    <row r="174" customFormat="false" ht="30" hidden="false" customHeight="true" outlineLevel="0" collapsed="false">
      <c r="B174" s="1"/>
      <c r="C174" s="53" t="s">
        <v>116</v>
      </c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4" t="s">
        <v>117</v>
      </c>
      <c r="AS174" s="54"/>
      <c r="AT174" s="54"/>
      <c r="AU174" s="54"/>
      <c r="AV174" s="54"/>
      <c r="AW174" s="54"/>
      <c r="AX174" s="54"/>
      <c r="AY174" s="54"/>
      <c r="AZ174" s="54"/>
      <c r="BA174" s="54"/>
      <c r="BB174" s="1"/>
      <c r="BC174" s="1"/>
    </row>
    <row r="175" customFormat="false" ht="15.75" hidden="false" customHeight="true" outlineLevel="0" collapsed="false">
      <c r="B175" s="1"/>
      <c r="C175" s="55" t="s">
        <v>118</v>
      </c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</row>
    <row r="176" customFormat="false" ht="9.75" hidden="false" customHeight="true" outlineLevel="0" collapsed="false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</row>
    <row r="177" customFormat="false" ht="3.75" hidden="false" customHeight="true" outlineLevel="0" collapsed="false"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</row>
    <row r="178" customFormat="false" ht="7.5" hidden="false" customHeight="true" outlineLevel="0" collapsed="false"/>
    <row r="179" customFormat="false" ht="13.5" hidden="false" customHeight="true" outlineLevel="0" collapsed="false">
      <c r="B179" s="56" t="s">
        <v>83</v>
      </c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U179" s="56" t="s">
        <v>84</v>
      </c>
      <c r="V179" s="56"/>
      <c r="W179" s="56"/>
      <c r="X179" s="56"/>
      <c r="Y179" s="56"/>
      <c r="Z179" s="56"/>
      <c r="AA179" s="56"/>
      <c r="AB179" s="56"/>
      <c r="AC179" s="56"/>
      <c r="AD179" s="56"/>
      <c r="AE179" s="56"/>
      <c r="AG179" s="56" t="s">
        <v>119</v>
      </c>
      <c r="AH179" s="56"/>
      <c r="AI179" s="56"/>
      <c r="AJ179" s="56"/>
      <c r="AK179" s="56"/>
      <c r="AL179" s="56"/>
      <c r="AM179" s="56"/>
      <c r="AN179" s="56"/>
      <c r="AO179" s="56"/>
      <c r="AP179" s="56"/>
      <c r="AQ179" s="56"/>
      <c r="AS179" s="56" t="s">
        <v>120</v>
      </c>
      <c r="AT179" s="56"/>
      <c r="AU179" s="56"/>
      <c r="AV179" s="56"/>
      <c r="AW179" s="56"/>
      <c r="AX179" s="56"/>
      <c r="AY179" s="56"/>
      <c r="AZ179" s="56"/>
      <c r="BA179" s="56"/>
      <c r="BB179" s="56"/>
      <c r="BC179" s="56"/>
    </row>
    <row r="180" customFormat="false" ht="21.75" hidden="false" customHeight="true" outlineLevel="0" collapsed="false">
      <c r="B180" s="57" t="str">
        <f aca="false">Dashboard!$C$6</f>
        <v>Bindhya TB</v>
      </c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U180" s="57" t="str">
        <f aca="false">Dashboard!$C$7</f>
        <v>Tourism &amp; Business</v>
      </c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G180" s="58" t="n">
        <f aca="false">Cal!H3</f>
        <v>46300</v>
      </c>
      <c r="AH180" s="58"/>
      <c r="AI180" s="58"/>
      <c r="AJ180" s="58"/>
      <c r="AK180" s="58"/>
      <c r="AL180" s="58"/>
      <c r="AM180" s="58"/>
      <c r="AN180" s="58"/>
      <c r="AO180" s="58"/>
      <c r="AP180" s="58"/>
      <c r="AQ180" s="58"/>
      <c r="AS180" s="58" t="n">
        <f aca="false">Cal!I3</f>
        <v>46305</v>
      </c>
      <c r="AT180" s="58"/>
      <c r="AU180" s="58"/>
      <c r="AV180" s="58"/>
      <c r="AW180" s="58"/>
      <c r="AX180" s="58"/>
      <c r="AY180" s="58"/>
      <c r="AZ180" s="58"/>
      <c r="BA180" s="58"/>
      <c r="BB180" s="58"/>
      <c r="BC180" s="58"/>
    </row>
    <row r="181" customFormat="false" ht="9.75" hidden="false" customHeight="true" outlineLevel="0" collapsed="false"/>
    <row r="182" customFormat="false" ht="18" hidden="false" customHeight="true" outlineLevel="0" collapsed="false">
      <c r="B182" s="6"/>
      <c r="C182" s="78" t="s">
        <v>121</v>
      </c>
      <c r="D182" s="78"/>
      <c r="E182" s="78"/>
      <c r="F182" s="78"/>
      <c r="G182" s="78"/>
      <c r="H182" s="78"/>
      <c r="I182" s="78"/>
      <c r="J182" s="78"/>
      <c r="K182" s="78"/>
      <c r="L182" s="78"/>
      <c r="M182" s="78"/>
      <c r="N182" s="78"/>
      <c r="O182" s="78"/>
      <c r="P182" s="78"/>
      <c r="Q182" s="78"/>
      <c r="R182" s="78"/>
      <c r="S182" s="78"/>
      <c r="T182" s="78"/>
      <c r="U182" s="78"/>
      <c r="V182" s="78"/>
      <c r="W182" s="78"/>
      <c r="X182" s="78"/>
      <c r="Y182" s="78"/>
      <c r="Z182" s="78"/>
      <c r="AA182" s="78"/>
      <c r="AB182" s="78"/>
      <c r="AC182" s="78"/>
      <c r="AD182" s="78"/>
      <c r="AE182" s="78"/>
      <c r="AF182" s="78"/>
      <c r="AG182" s="78"/>
      <c r="AH182" s="78"/>
      <c r="AI182" s="78"/>
      <c r="AJ182" s="78"/>
      <c r="AK182" s="78"/>
      <c r="AL182" s="78"/>
      <c r="AM182" s="78"/>
      <c r="AN182" s="78"/>
      <c r="AO182" s="78"/>
      <c r="AP182" s="78"/>
      <c r="AQ182" s="78"/>
      <c r="AR182" s="78"/>
      <c r="AS182" s="78"/>
      <c r="AT182" s="78"/>
      <c r="AU182" s="78"/>
      <c r="AV182" s="78"/>
      <c r="AW182" s="78"/>
      <c r="AX182" s="78"/>
      <c r="AY182" s="78"/>
      <c r="AZ182" s="78"/>
      <c r="BA182" s="78"/>
      <c r="BB182" s="78"/>
      <c r="BC182" s="78"/>
    </row>
    <row r="183" customFormat="false" ht="18" hidden="false" customHeight="true" outlineLevel="0" collapsed="false">
      <c r="B183" s="6"/>
      <c r="C183" s="78"/>
      <c r="D183" s="78"/>
      <c r="E183" s="78"/>
      <c r="F183" s="78"/>
      <c r="G183" s="78"/>
      <c r="H183" s="78"/>
      <c r="I183" s="78"/>
      <c r="J183" s="78"/>
      <c r="K183" s="78"/>
      <c r="L183" s="78"/>
      <c r="M183" s="78"/>
      <c r="N183" s="78"/>
      <c r="O183" s="78"/>
      <c r="P183" s="78"/>
      <c r="Q183" s="78"/>
      <c r="R183" s="78"/>
      <c r="S183" s="78"/>
      <c r="T183" s="78"/>
      <c r="U183" s="78"/>
      <c r="V183" s="78"/>
      <c r="W183" s="78"/>
      <c r="X183" s="78"/>
      <c r="Y183" s="78"/>
      <c r="Z183" s="78"/>
      <c r="AA183" s="78"/>
      <c r="AB183" s="78"/>
      <c r="AC183" s="78"/>
      <c r="AD183" s="78"/>
      <c r="AE183" s="78"/>
      <c r="AF183" s="78"/>
      <c r="AG183" s="78"/>
      <c r="AH183" s="78"/>
      <c r="AI183" s="78"/>
      <c r="AJ183" s="78"/>
      <c r="AK183" s="78"/>
      <c r="AL183" s="78"/>
      <c r="AM183" s="78"/>
      <c r="AN183" s="78"/>
      <c r="AO183" s="78"/>
      <c r="AP183" s="78"/>
      <c r="AQ183" s="78"/>
      <c r="AR183" s="78"/>
      <c r="AS183" s="78"/>
      <c r="AT183" s="78"/>
      <c r="AU183" s="78"/>
      <c r="AV183" s="78"/>
      <c r="AW183" s="78"/>
      <c r="AX183" s="78"/>
      <c r="AY183" s="78"/>
      <c r="AZ183" s="78"/>
      <c r="BA183" s="78"/>
      <c r="BB183" s="78"/>
      <c r="BC183" s="78"/>
    </row>
    <row r="184" customFormat="false" ht="9.75" hidden="false" customHeight="true" outlineLevel="0" collapsed="false"/>
    <row r="185" customFormat="false" ht="21.75" hidden="false" customHeight="true" outlineLevel="0" collapsed="false">
      <c r="B185" s="6"/>
      <c r="C185" s="19" t="s">
        <v>122</v>
      </c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59" t="s">
        <v>123</v>
      </c>
      <c r="AM185" s="59"/>
      <c r="AN185" s="59"/>
      <c r="AO185" s="59"/>
      <c r="AP185" s="59"/>
      <c r="AQ185" s="59"/>
      <c r="AR185" s="59"/>
      <c r="AS185" s="59"/>
      <c r="AT185" s="59"/>
      <c r="AU185" s="59"/>
      <c r="AV185" s="59"/>
      <c r="AW185" s="59"/>
      <c r="AX185" s="59"/>
      <c r="AY185" s="59"/>
      <c r="AZ185" s="59"/>
      <c r="BA185" s="59"/>
      <c r="BB185" s="59"/>
      <c r="BC185" s="59"/>
    </row>
    <row r="186" customFormat="false" ht="27.75" hidden="false" customHeight="true" outlineLevel="0" collapsed="false">
      <c r="B186" s="79" t="s">
        <v>124</v>
      </c>
      <c r="C186" s="79"/>
      <c r="D186" s="80" t="s">
        <v>125</v>
      </c>
      <c r="E186" s="80"/>
      <c r="F186" s="80"/>
      <c r="G186" s="80"/>
      <c r="H186" s="80" t="s">
        <v>126</v>
      </c>
      <c r="I186" s="80"/>
      <c r="J186" s="80"/>
      <c r="K186" s="80"/>
      <c r="L186" s="80"/>
      <c r="M186" s="80"/>
      <c r="N186" s="80"/>
      <c r="O186" s="80" t="s">
        <v>127</v>
      </c>
      <c r="P186" s="80"/>
      <c r="Q186" s="80"/>
      <c r="R186" s="80"/>
      <c r="S186" s="80"/>
      <c r="T186" s="80"/>
      <c r="U186" s="80"/>
      <c r="V186" s="80" t="s">
        <v>128</v>
      </c>
      <c r="W186" s="80"/>
      <c r="X186" s="80"/>
      <c r="Y186" s="80"/>
      <c r="Z186" s="80" t="s">
        <v>129</v>
      </c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  <c r="AQ186" s="80"/>
      <c r="AR186" s="80"/>
      <c r="AS186" s="80"/>
      <c r="AT186" s="80"/>
      <c r="AU186" s="80"/>
      <c r="AV186" s="80"/>
      <c r="AW186" s="80"/>
      <c r="AX186" s="80"/>
      <c r="AY186" s="80"/>
      <c r="AZ186" s="80"/>
      <c r="BA186" s="80"/>
      <c r="BB186" s="80"/>
      <c r="BC186" s="80"/>
    </row>
    <row r="187" customFormat="false" ht="24.75" hidden="false" customHeight="true" outlineLevel="0" collapsed="false">
      <c r="B187" s="81" t="n">
        <v>1</v>
      </c>
      <c r="C187" s="81"/>
      <c r="D187" s="82"/>
      <c r="E187" s="82"/>
      <c r="F187" s="82"/>
      <c r="G187" s="82"/>
      <c r="H187" s="83"/>
      <c r="I187" s="83"/>
      <c r="J187" s="83"/>
      <c r="K187" s="83"/>
      <c r="L187" s="83"/>
      <c r="M187" s="83"/>
      <c r="N187" s="83"/>
      <c r="O187" s="83"/>
      <c r="P187" s="83"/>
      <c r="Q187" s="83"/>
      <c r="R187" s="83"/>
      <c r="S187" s="83"/>
      <c r="T187" s="83"/>
      <c r="U187" s="83"/>
      <c r="V187" s="83"/>
      <c r="W187" s="83"/>
      <c r="X187" s="83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  <c r="AI187" s="83"/>
      <c r="AJ187" s="83"/>
      <c r="AK187" s="83"/>
      <c r="AL187" s="83"/>
      <c r="AM187" s="83"/>
      <c r="AN187" s="83"/>
      <c r="AO187" s="83"/>
      <c r="AP187" s="83"/>
      <c r="AQ187" s="83"/>
      <c r="AR187" s="83"/>
      <c r="AS187" s="83"/>
      <c r="AT187" s="83"/>
      <c r="AU187" s="83"/>
      <c r="AV187" s="83"/>
      <c r="AW187" s="83"/>
      <c r="AX187" s="83"/>
      <c r="AY187" s="83"/>
      <c r="AZ187" s="83"/>
      <c r="BA187" s="83"/>
      <c r="BB187" s="83"/>
      <c r="BC187" s="83"/>
    </row>
    <row r="188" customFormat="false" ht="24.75" hidden="false" customHeight="true" outlineLevel="0" collapsed="false">
      <c r="B188" s="81" t="n">
        <v>2</v>
      </c>
      <c r="C188" s="81"/>
      <c r="D188" s="82"/>
      <c r="E188" s="82"/>
      <c r="F188" s="82"/>
      <c r="G188" s="82"/>
      <c r="H188" s="83"/>
      <c r="I188" s="83"/>
      <c r="J188" s="83"/>
      <c r="K188" s="83"/>
      <c r="L188" s="83"/>
      <c r="M188" s="83"/>
      <c r="N188" s="83"/>
      <c r="O188" s="83"/>
      <c r="P188" s="83"/>
      <c r="Q188" s="83"/>
      <c r="R188" s="83"/>
      <c r="S188" s="83"/>
      <c r="T188" s="83"/>
      <c r="U188" s="83"/>
      <c r="V188" s="83"/>
      <c r="W188" s="83"/>
      <c r="X188" s="83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  <c r="AI188" s="83"/>
      <c r="AJ188" s="83"/>
      <c r="AK188" s="83"/>
      <c r="AL188" s="83"/>
      <c r="AM188" s="83"/>
      <c r="AN188" s="83"/>
      <c r="AO188" s="83"/>
      <c r="AP188" s="83"/>
      <c r="AQ188" s="83"/>
      <c r="AR188" s="83"/>
      <c r="AS188" s="83"/>
      <c r="AT188" s="83"/>
      <c r="AU188" s="83"/>
      <c r="AV188" s="83"/>
      <c r="AW188" s="83"/>
      <c r="AX188" s="83"/>
      <c r="AY188" s="83"/>
      <c r="AZ188" s="83"/>
      <c r="BA188" s="83"/>
      <c r="BB188" s="83"/>
      <c r="BC188" s="83"/>
    </row>
    <row r="189" customFormat="false" ht="24.75" hidden="false" customHeight="true" outlineLevel="0" collapsed="false">
      <c r="B189" s="81" t="n">
        <v>3</v>
      </c>
      <c r="C189" s="81"/>
      <c r="D189" s="82"/>
      <c r="E189" s="82"/>
      <c r="F189" s="82"/>
      <c r="G189" s="82"/>
      <c r="H189" s="83"/>
      <c r="I189" s="83"/>
      <c r="J189" s="83"/>
      <c r="K189" s="83"/>
      <c r="L189" s="83"/>
      <c r="M189" s="83"/>
      <c r="N189" s="83"/>
      <c r="O189" s="83"/>
      <c r="P189" s="83"/>
      <c r="Q189" s="83"/>
      <c r="R189" s="83"/>
      <c r="S189" s="83"/>
      <c r="T189" s="83"/>
      <c r="U189" s="83"/>
      <c r="V189" s="83"/>
      <c r="W189" s="83"/>
      <c r="X189" s="83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  <c r="AI189" s="83"/>
      <c r="AJ189" s="83"/>
      <c r="AK189" s="83"/>
      <c r="AL189" s="83"/>
      <c r="AM189" s="83"/>
      <c r="AN189" s="83"/>
      <c r="AO189" s="83"/>
      <c r="AP189" s="83"/>
      <c r="AQ189" s="83"/>
      <c r="AR189" s="83"/>
      <c r="AS189" s="83"/>
      <c r="AT189" s="83"/>
      <c r="AU189" s="83"/>
      <c r="AV189" s="83"/>
      <c r="AW189" s="83"/>
      <c r="AX189" s="83"/>
      <c r="AY189" s="83"/>
      <c r="AZ189" s="83"/>
      <c r="BA189" s="83"/>
      <c r="BB189" s="83"/>
      <c r="BC189" s="83"/>
    </row>
    <row r="190" customFormat="false" ht="24.75" hidden="false" customHeight="true" outlineLevel="0" collapsed="false">
      <c r="B190" s="81" t="n">
        <v>4</v>
      </c>
      <c r="C190" s="81"/>
      <c r="D190" s="82"/>
      <c r="E190" s="82"/>
      <c r="F190" s="82"/>
      <c r="G190" s="82"/>
      <c r="H190" s="83"/>
      <c r="I190" s="83"/>
      <c r="J190" s="83"/>
      <c r="K190" s="83"/>
      <c r="L190" s="83"/>
      <c r="M190" s="83"/>
      <c r="N190" s="83"/>
      <c r="O190" s="83"/>
      <c r="P190" s="83"/>
      <c r="Q190" s="83"/>
      <c r="R190" s="83"/>
      <c r="S190" s="83"/>
      <c r="T190" s="83"/>
      <c r="U190" s="83"/>
      <c r="V190" s="83"/>
      <c r="W190" s="83"/>
      <c r="X190" s="83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  <c r="AI190" s="83"/>
      <c r="AJ190" s="83"/>
      <c r="AK190" s="83"/>
      <c r="AL190" s="83"/>
      <c r="AM190" s="83"/>
      <c r="AN190" s="83"/>
      <c r="AO190" s="83"/>
      <c r="AP190" s="83"/>
      <c r="AQ190" s="83"/>
      <c r="AR190" s="83"/>
      <c r="AS190" s="83"/>
      <c r="AT190" s="83"/>
      <c r="AU190" s="83"/>
      <c r="AV190" s="83"/>
      <c r="AW190" s="83"/>
      <c r="AX190" s="83"/>
      <c r="AY190" s="83"/>
      <c r="AZ190" s="83"/>
      <c r="BA190" s="83"/>
      <c r="BB190" s="83"/>
      <c r="BC190" s="83"/>
    </row>
    <row r="191" customFormat="false" ht="24.75" hidden="false" customHeight="true" outlineLevel="0" collapsed="false">
      <c r="B191" s="81" t="n">
        <v>5</v>
      </c>
      <c r="C191" s="81"/>
      <c r="D191" s="82"/>
      <c r="E191" s="82"/>
      <c r="F191" s="82"/>
      <c r="G191" s="82"/>
      <c r="H191" s="83"/>
      <c r="I191" s="83"/>
      <c r="J191" s="83"/>
      <c r="K191" s="83"/>
      <c r="L191" s="83"/>
      <c r="M191" s="83"/>
      <c r="N191" s="83"/>
      <c r="O191" s="83"/>
      <c r="P191" s="83"/>
      <c r="Q191" s="83"/>
      <c r="R191" s="83"/>
      <c r="S191" s="83"/>
      <c r="T191" s="83"/>
      <c r="U191" s="83"/>
      <c r="V191" s="83"/>
      <c r="W191" s="83"/>
      <c r="X191" s="83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  <c r="AI191" s="83"/>
      <c r="AJ191" s="83"/>
      <c r="AK191" s="83"/>
      <c r="AL191" s="83"/>
      <c r="AM191" s="83"/>
      <c r="AN191" s="83"/>
      <c r="AO191" s="83"/>
      <c r="AP191" s="83"/>
      <c r="AQ191" s="83"/>
      <c r="AR191" s="83"/>
      <c r="AS191" s="83"/>
      <c r="AT191" s="83"/>
      <c r="AU191" s="83"/>
      <c r="AV191" s="83"/>
      <c r="AW191" s="83"/>
      <c r="AX191" s="83"/>
      <c r="AY191" s="83"/>
      <c r="AZ191" s="83"/>
      <c r="BA191" s="83"/>
      <c r="BB191" s="83"/>
      <c r="BC191" s="83"/>
    </row>
    <row r="192" customFormat="false" ht="24.75" hidden="false" customHeight="true" outlineLevel="0" collapsed="false">
      <c r="B192" s="81" t="n">
        <v>6</v>
      </c>
      <c r="C192" s="81"/>
      <c r="D192" s="82"/>
      <c r="E192" s="82"/>
      <c r="F192" s="82"/>
      <c r="G192" s="82"/>
      <c r="H192" s="83"/>
      <c r="I192" s="83"/>
      <c r="J192" s="83"/>
      <c r="K192" s="83"/>
      <c r="L192" s="83"/>
      <c r="M192" s="83"/>
      <c r="N192" s="83"/>
      <c r="O192" s="83"/>
      <c r="P192" s="83"/>
      <c r="Q192" s="83"/>
      <c r="R192" s="83"/>
      <c r="S192" s="83"/>
      <c r="T192" s="83"/>
      <c r="U192" s="83"/>
      <c r="V192" s="83"/>
      <c r="W192" s="83"/>
      <c r="X192" s="83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  <c r="AI192" s="83"/>
      <c r="AJ192" s="83"/>
      <c r="AK192" s="83"/>
      <c r="AL192" s="83"/>
      <c r="AM192" s="83"/>
      <c r="AN192" s="83"/>
      <c r="AO192" s="83"/>
      <c r="AP192" s="83"/>
      <c r="AQ192" s="83"/>
      <c r="AR192" s="83"/>
      <c r="AS192" s="83"/>
      <c r="AT192" s="83"/>
      <c r="AU192" s="83"/>
      <c r="AV192" s="83"/>
      <c r="AW192" s="83"/>
      <c r="AX192" s="83"/>
      <c r="AY192" s="83"/>
      <c r="AZ192" s="83"/>
      <c r="BA192" s="83"/>
      <c r="BB192" s="83"/>
      <c r="BC192" s="83"/>
    </row>
    <row r="193" customFormat="false" ht="24.75" hidden="false" customHeight="true" outlineLevel="0" collapsed="false">
      <c r="B193" s="81" t="n">
        <v>7</v>
      </c>
      <c r="C193" s="81"/>
      <c r="D193" s="82"/>
      <c r="E193" s="82"/>
      <c r="F193" s="82"/>
      <c r="G193" s="82"/>
      <c r="H193" s="83"/>
      <c r="I193" s="83"/>
      <c r="J193" s="83"/>
      <c r="K193" s="83"/>
      <c r="L193" s="83"/>
      <c r="M193" s="83"/>
      <c r="N193" s="83"/>
      <c r="O193" s="83"/>
      <c r="P193" s="83"/>
      <c r="Q193" s="83"/>
      <c r="R193" s="83"/>
      <c r="S193" s="83"/>
      <c r="T193" s="83"/>
      <c r="U193" s="83"/>
      <c r="V193" s="83"/>
      <c r="W193" s="83"/>
      <c r="X193" s="83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  <c r="AI193" s="83"/>
      <c r="AJ193" s="83"/>
      <c r="AK193" s="83"/>
      <c r="AL193" s="83"/>
      <c r="AM193" s="83"/>
      <c r="AN193" s="83"/>
      <c r="AO193" s="83"/>
      <c r="AP193" s="83"/>
      <c r="AQ193" s="83"/>
      <c r="AR193" s="83"/>
      <c r="AS193" s="83"/>
      <c r="AT193" s="83"/>
      <c r="AU193" s="83"/>
      <c r="AV193" s="83"/>
      <c r="AW193" s="83"/>
      <c r="AX193" s="83"/>
      <c r="AY193" s="83"/>
      <c r="AZ193" s="83"/>
      <c r="BA193" s="83"/>
      <c r="BB193" s="83"/>
      <c r="BC193" s="83"/>
    </row>
    <row r="194" customFormat="false" ht="24.75" hidden="false" customHeight="true" outlineLevel="0" collapsed="false">
      <c r="B194" s="81" t="n">
        <v>8</v>
      </c>
      <c r="C194" s="81"/>
      <c r="D194" s="82"/>
      <c r="E194" s="82"/>
      <c r="F194" s="82"/>
      <c r="G194" s="82"/>
      <c r="H194" s="83"/>
      <c r="I194" s="83"/>
      <c r="J194" s="83"/>
      <c r="K194" s="83"/>
      <c r="L194" s="83"/>
      <c r="M194" s="83"/>
      <c r="N194" s="83"/>
      <c r="O194" s="83"/>
      <c r="P194" s="83"/>
      <c r="Q194" s="83"/>
      <c r="R194" s="83"/>
      <c r="S194" s="83"/>
      <c r="T194" s="83"/>
      <c r="U194" s="83"/>
      <c r="V194" s="83"/>
      <c r="W194" s="83"/>
      <c r="X194" s="83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  <c r="AI194" s="83"/>
      <c r="AJ194" s="83"/>
      <c r="AK194" s="83"/>
      <c r="AL194" s="83"/>
      <c r="AM194" s="83"/>
      <c r="AN194" s="83"/>
      <c r="AO194" s="83"/>
      <c r="AP194" s="83"/>
      <c r="AQ194" s="83"/>
      <c r="AR194" s="83"/>
      <c r="AS194" s="83"/>
      <c r="AT194" s="83"/>
      <c r="AU194" s="83"/>
      <c r="AV194" s="83"/>
      <c r="AW194" s="83"/>
      <c r="AX194" s="83"/>
      <c r="AY194" s="83"/>
      <c r="AZ194" s="83"/>
      <c r="BA194" s="83"/>
      <c r="BB194" s="83"/>
      <c r="BC194" s="83"/>
    </row>
    <row r="195" customFormat="false" ht="24.75" hidden="false" customHeight="true" outlineLevel="0" collapsed="false">
      <c r="B195" s="81" t="n">
        <v>9</v>
      </c>
      <c r="C195" s="81"/>
      <c r="D195" s="82"/>
      <c r="E195" s="82"/>
      <c r="F195" s="82"/>
      <c r="G195" s="82"/>
      <c r="H195" s="83"/>
      <c r="I195" s="83"/>
      <c r="J195" s="83"/>
      <c r="K195" s="83"/>
      <c r="L195" s="83"/>
      <c r="M195" s="83"/>
      <c r="N195" s="83"/>
      <c r="O195" s="83"/>
      <c r="P195" s="83"/>
      <c r="Q195" s="83"/>
      <c r="R195" s="83"/>
      <c r="S195" s="83"/>
      <c r="T195" s="83"/>
      <c r="U195" s="83"/>
      <c r="V195" s="83"/>
      <c r="W195" s="83"/>
      <c r="X195" s="83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  <c r="AI195" s="83"/>
      <c r="AJ195" s="83"/>
      <c r="AK195" s="83"/>
      <c r="AL195" s="83"/>
      <c r="AM195" s="83"/>
      <c r="AN195" s="83"/>
      <c r="AO195" s="83"/>
      <c r="AP195" s="83"/>
      <c r="AQ195" s="83"/>
      <c r="AR195" s="83"/>
      <c r="AS195" s="83"/>
      <c r="AT195" s="83"/>
      <c r="AU195" s="83"/>
      <c r="AV195" s="83"/>
      <c r="AW195" s="83"/>
      <c r="AX195" s="83"/>
      <c r="AY195" s="83"/>
      <c r="AZ195" s="83"/>
      <c r="BA195" s="83"/>
      <c r="BB195" s="83"/>
      <c r="BC195" s="83"/>
    </row>
    <row r="196" customFormat="false" ht="24.75" hidden="false" customHeight="true" outlineLevel="0" collapsed="false">
      <c r="B196" s="81" t="n">
        <v>10</v>
      </c>
      <c r="C196" s="81"/>
      <c r="D196" s="82"/>
      <c r="E196" s="82"/>
      <c r="F196" s="82"/>
      <c r="G196" s="82"/>
      <c r="H196" s="83"/>
      <c r="I196" s="83"/>
      <c r="J196" s="83"/>
      <c r="K196" s="83"/>
      <c r="L196" s="83"/>
      <c r="M196" s="83"/>
      <c r="N196" s="83"/>
      <c r="O196" s="83"/>
      <c r="P196" s="83"/>
      <c r="Q196" s="83"/>
      <c r="R196" s="83"/>
      <c r="S196" s="83"/>
      <c r="T196" s="83"/>
      <c r="U196" s="83"/>
      <c r="V196" s="83"/>
      <c r="W196" s="83"/>
      <c r="X196" s="83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  <c r="AI196" s="83"/>
      <c r="AJ196" s="83"/>
      <c r="AK196" s="83"/>
      <c r="AL196" s="83"/>
      <c r="AM196" s="83"/>
      <c r="AN196" s="83"/>
      <c r="AO196" s="83"/>
      <c r="AP196" s="83"/>
      <c r="AQ196" s="83"/>
      <c r="AR196" s="83"/>
      <c r="AS196" s="83"/>
      <c r="AT196" s="83"/>
      <c r="AU196" s="83"/>
      <c r="AV196" s="83"/>
      <c r="AW196" s="83"/>
      <c r="AX196" s="83"/>
      <c r="AY196" s="83"/>
      <c r="AZ196" s="83"/>
      <c r="BA196" s="83"/>
      <c r="BB196" s="83"/>
      <c r="BC196" s="83"/>
    </row>
    <row r="197" customFormat="false" ht="24.75" hidden="false" customHeight="true" outlineLevel="0" collapsed="false">
      <c r="B197" s="81" t="n">
        <v>11</v>
      </c>
      <c r="C197" s="81"/>
      <c r="D197" s="82"/>
      <c r="E197" s="82"/>
      <c r="F197" s="82"/>
      <c r="G197" s="82"/>
      <c r="H197" s="83"/>
      <c r="I197" s="83"/>
      <c r="J197" s="83"/>
      <c r="K197" s="83"/>
      <c r="L197" s="83"/>
      <c r="M197" s="83"/>
      <c r="N197" s="83"/>
      <c r="O197" s="83"/>
      <c r="P197" s="83"/>
      <c r="Q197" s="83"/>
      <c r="R197" s="83"/>
      <c r="S197" s="83"/>
      <c r="T197" s="83"/>
      <c r="U197" s="83"/>
      <c r="V197" s="83"/>
      <c r="W197" s="83"/>
      <c r="X197" s="83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  <c r="AI197" s="83"/>
      <c r="AJ197" s="83"/>
      <c r="AK197" s="83"/>
      <c r="AL197" s="83"/>
      <c r="AM197" s="83"/>
      <c r="AN197" s="83"/>
      <c r="AO197" s="83"/>
      <c r="AP197" s="83"/>
      <c r="AQ197" s="83"/>
      <c r="AR197" s="83"/>
      <c r="AS197" s="83"/>
      <c r="AT197" s="83"/>
      <c r="AU197" s="83"/>
      <c r="AV197" s="83"/>
      <c r="AW197" s="83"/>
      <c r="AX197" s="83"/>
      <c r="AY197" s="83"/>
      <c r="AZ197" s="83"/>
      <c r="BA197" s="83"/>
      <c r="BB197" s="83"/>
      <c r="BC197" s="83"/>
    </row>
    <row r="198" customFormat="false" ht="24" hidden="false" customHeight="true" outlineLevel="0" collapsed="false">
      <c r="B198" s="84" t="s">
        <v>132</v>
      </c>
      <c r="C198" s="84"/>
      <c r="E198" s="85" t="s">
        <v>133</v>
      </c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  <c r="AI198" s="85"/>
      <c r="AJ198" s="85"/>
      <c r="AK198" s="85"/>
      <c r="AL198" s="85"/>
      <c r="AM198" s="85"/>
      <c r="AN198" s="85"/>
      <c r="AO198" s="85"/>
      <c r="AP198" s="85"/>
      <c r="AQ198" s="85"/>
      <c r="AR198" s="85"/>
      <c r="AS198" s="85"/>
      <c r="AT198" s="85"/>
      <c r="AU198" s="85"/>
      <c r="AV198" s="85"/>
      <c r="AW198" s="85"/>
      <c r="AX198" s="85"/>
      <c r="AY198" s="85"/>
      <c r="AZ198" s="85"/>
      <c r="BA198" s="85"/>
      <c r="BB198" s="85"/>
      <c r="BC198" s="85"/>
    </row>
    <row r="199" customFormat="false" ht="30" hidden="false" customHeight="true" outlineLevel="0" collapsed="false"/>
    <row r="200" customFormat="false" ht="18" hidden="false" customHeight="true" outlineLevel="0" collapsed="false">
      <c r="B200" s="75" t="s">
        <v>134</v>
      </c>
      <c r="C200" s="75"/>
      <c r="D200" s="75"/>
      <c r="E200" s="75"/>
      <c r="F200" s="75"/>
      <c r="G200" s="75"/>
      <c r="H200" s="75"/>
      <c r="I200" s="75"/>
      <c r="J200" s="75"/>
      <c r="K200" s="75"/>
      <c r="L200" s="75"/>
      <c r="M200" s="75"/>
      <c r="N200" s="75"/>
      <c r="O200" s="75"/>
      <c r="P200" s="75"/>
      <c r="Q200" s="75"/>
      <c r="R200" s="75"/>
      <c r="S200" s="75"/>
      <c r="T200" s="75"/>
      <c r="U200" s="75"/>
      <c r="V200" s="75"/>
      <c r="W200" s="75"/>
      <c r="X200" s="75"/>
      <c r="Y200" s="75"/>
      <c r="Z200" s="75"/>
      <c r="AA200" s="75"/>
      <c r="AB200" s="76" t="s">
        <v>135</v>
      </c>
      <c r="AC200" s="76"/>
      <c r="AD200" s="76"/>
      <c r="AE200" s="76"/>
      <c r="AF200" s="76"/>
      <c r="AG200" s="76"/>
      <c r="AH200" s="76"/>
      <c r="AI200" s="76"/>
      <c r="AJ200" s="76"/>
      <c r="AK200" s="76"/>
      <c r="AL200" s="76"/>
      <c r="AM200" s="76"/>
      <c r="AN200" s="76"/>
      <c r="AO200" s="76"/>
      <c r="AP200" s="76"/>
      <c r="AQ200" s="76"/>
      <c r="AR200" s="76"/>
      <c r="AS200" s="76"/>
      <c r="AT200" s="76"/>
      <c r="AU200" s="76"/>
      <c r="AV200" s="76"/>
      <c r="AW200" s="76"/>
      <c r="AX200" s="76"/>
      <c r="AY200" s="76"/>
      <c r="AZ200" s="76"/>
      <c r="BA200" s="76"/>
      <c r="BB200" s="76"/>
      <c r="BC200" s="76"/>
    </row>
    <row r="201" customFormat="false" ht="7.5" hidden="false" customHeight="true" outlineLevel="0" collapsed="false"/>
    <row r="202" customFormat="false" ht="24" hidden="false" customHeight="true" outlineLevel="0" collapsed="false">
      <c r="B202" s="86" t="s">
        <v>115</v>
      </c>
      <c r="C202" s="86"/>
      <c r="D202" s="86"/>
      <c r="E202" s="86"/>
      <c r="F202" s="86"/>
      <c r="H202" s="87" t="s">
        <v>116</v>
      </c>
      <c r="I202" s="87"/>
      <c r="J202" s="87"/>
      <c r="K202" s="87"/>
      <c r="L202" s="87"/>
      <c r="M202" s="87"/>
      <c r="N202" s="87"/>
      <c r="O202" s="87"/>
      <c r="P202" s="87"/>
      <c r="AA202" s="88" t="s">
        <v>136</v>
      </c>
      <c r="AB202" s="88"/>
      <c r="AC202" s="88"/>
      <c r="AD202" s="88"/>
      <c r="AE202" s="88"/>
      <c r="AF202" s="89" t="str">
        <f aca="false">Dashboard!$C$6</f>
        <v>Bindhya TB</v>
      </c>
      <c r="AG202" s="89"/>
      <c r="AH202" s="89"/>
      <c r="AI202" s="89"/>
      <c r="AJ202" s="89"/>
      <c r="AK202" s="89"/>
      <c r="AL202" s="89"/>
      <c r="AM202" s="89"/>
      <c r="AN202" s="89"/>
      <c r="AO202" s="89"/>
      <c r="AP202" s="89"/>
      <c r="AR202" s="88" t="s">
        <v>137</v>
      </c>
      <c r="AS202" s="88"/>
      <c r="AT202" s="89" t="str">
        <f aca="false">TEXT(Cal!H3,"dd mmm")&amp;" to "&amp;TEXT(Cal!I3,"dd mmm yy")</f>
        <v>05 Oct to 10 Oct 26</v>
      </c>
      <c r="AU202" s="89"/>
      <c r="AV202" s="89"/>
      <c r="AW202" s="89"/>
      <c r="AX202" s="89"/>
      <c r="AY202" s="89"/>
      <c r="AZ202" s="89"/>
      <c r="BA202" s="89"/>
      <c r="BB202" s="89"/>
      <c r="BC202" s="89"/>
    </row>
    <row r="203" customFormat="false" ht="3" hidden="false" customHeight="true" outlineLevel="0" collapsed="false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</row>
    <row r="204" customFormat="false" ht="9.75" hidden="false" customHeight="true" outlineLevel="0" collapsed="false"/>
    <row r="205" customFormat="false" ht="21.75" hidden="false" customHeight="true" outlineLevel="0" collapsed="false">
      <c r="B205" s="6"/>
      <c r="C205" s="19" t="s">
        <v>138</v>
      </c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59" t="s">
        <v>139</v>
      </c>
      <c r="AM205" s="59"/>
      <c r="AN205" s="59"/>
      <c r="AO205" s="59"/>
      <c r="AP205" s="59"/>
      <c r="AQ205" s="59"/>
      <c r="AR205" s="59"/>
      <c r="AS205" s="59"/>
      <c r="AT205" s="59"/>
      <c r="AU205" s="59"/>
      <c r="AV205" s="59"/>
      <c r="AW205" s="59"/>
      <c r="AX205" s="59"/>
      <c r="AY205" s="59"/>
      <c r="AZ205" s="59"/>
      <c r="BA205" s="59"/>
      <c r="BB205" s="59"/>
      <c r="BC205" s="59"/>
    </row>
    <row r="206" customFormat="false" ht="27.75" hidden="false" customHeight="true" outlineLevel="0" collapsed="false">
      <c r="B206" s="79" t="s">
        <v>124</v>
      </c>
      <c r="C206" s="79"/>
      <c r="D206" s="80" t="s">
        <v>140</v>
      </c>
      <c r="E206" s="80"/>
      <c r="F206" s="80"/>
      <c r="G206" s="80"/>
      <c r="H206" s="80" t="s">
        <v>126</v>
      </c>
      <c r="I206" s="80"/>
      <c r="J206" s="80"/>
      <c r="K206" s="80"/>
      <c r="L206" s="80"/>
      <c r="M206" s="80"/>
      <c r="N206" s="80"/>
      <c r="O206" s="80"/>
      <c r="P206" s="80" t="s">
        <v>141</v>
      </c>
      <c r="Q206" s="80"/>
      <c r="R206" s="80"/>
      <c r="S206" s="80"/>
      <c r="T206" s="80" t="s">
        <v>142</v>
      </c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 t="s">
        <v>143</v>
      </c>
      <c r="AO206" s="80"/>
      <c r="AP206" s="80"/>
      <c r="AQ206" s="80"/>
      <c r="AR206" s="80"/>
      <c r="AS206" s="80"/>
      <c r="AT206" s="80"/>
      <c r="AU206" s="80"/>
      <c r="AV206" s="80"/>
      <c r="AW206" s="80"/>
      <c r="AX206" s="80"/>
      <c r="AY206" s="80"/>
      <c r="AZ206" s="80"/>
      <c r="BA206" s="80"/>
      <c r="BB206" s="80"/>
      <c r="BC206" s="80"/>
    </row>
    <row r="207" customFormat="false" ht="27.75" hidden="false" customHeight="true" outlineLevel="0" collapsed="false">
      <c r="B207" s="81" t="n">
        <v>1</v>
      </c>
      <c r="C207" s="81"/>
      <c r="D207" s="82"/>
      <c r="E207" s="82"/>
      <c r="F207" s="82"/>
      <c r="G207" s="82"/>
      <c r="H207" s="83"/>
      <c r="I207" s="83"/>
      <c r="J207" s="83"/>
      <c r="K207" s="83"/>
      <c r="L207" s="83"/>
      <c r="M207" s="83"/>
      <c r="N207" s="83"/>
      <c r="O207" s="83"/>
      <c r="P207" s="83"/>
      <c r="Q207" s="83"/>
      <c r="R207" s="83"/>
      <c r="S207" s="83"/>
      <c r="T207" s="83"/>
      <c r="U207" s="83"/>
      <c r="V207" s="83"/>
      <c r="W207" s="83"/>
      <c r="X207" s="83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  <c r="AI207" s="83"/>
      <c r="AJ207" s="83"/>
      <c r="AK207" s="83"/>
      <c r="AL207" s="83"/>
      <c r="AM207" s="83"/>
      <c r="AN207" s="83"/>
      <c r="AO207" s="83"/>
      <c r="AP207" s="83"/>
      <c r="AQ207" s="83"/>
      <c r="AR207" s="83"/>
      <c r="AS207" s="83"/>
      <c r="AT207" s="83"/>
      <c r="AU207" s="83"/>
      <c r="AV207" s="83"/>
      <c r="AW207" s="83"/>
      <c r="AX207" s="83"/>
      <c r="AY207" s="83"/>
      <c r="AZ207" s="83"/>
      <c r="BA207" s="83"/>
      <c r="BB207" s="83"/>
      <c r="BC207" s="83"/>
    </row>
    <row r="208" customFormat="false" ht="27.75" hidden="false" customHeight="true" outlineLevel="0" collapsed="false">
      <c r="B208" s="81" t="n">
        <v>2</v>
      </c>
      <c r="C208" s="81"/>
      <c r="D208" s="82"/>
      <c r="E208" s="82"/>
      <c r="F208" s="82"/>
      <c r="G208" s="82"/>
      <c r="H208" s="83"/>
      <c r="I208" s="83"/>
      <c r="J208" s="83"/>
      <c r="K208" s="83"/>
      <c r="L208" s="83"/>
      <c r="M208" s="83"/>
      <c r="N208" s="83"/>
      <c r="O208" s="83"/>
      <c r="P208" s="83"/>
      <c r="Q208" s="83"/>
      <c r="R208" s="83"/>
      <c r="S208" s="83"/>
      <c r="T208" s="83"/>
      <c r="U208" s="83"/>
      <c r="V208" s="83"/>
      <c r="W208" s="83"/>
      <c r="X208" s="83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  <c r="AI208" s="83"/>
      <c r="AJ208" s="83"/>
      <c r="AK208" s="83"/>
      <c r="AL208" s="83"/>
      <c r="AM208" s="83"/>
      <c r="AN208" s="83"/>
      <c r="AO208" s="83"/>
      <c r="AP208" s="83"/>
      <c r="AQ208" s="83"/>
      <c r="AR208" s="83"/>
      <c r="AS208" s="83"/>
      <c r="AT208" s="83"/>
      <c r="AU208" s="83"/>
      <c r="AV208" s="83"/>
      <c r="AW208" s="83"/>
      <c r="AX208" s="83"/>
      <c r="AY208" s="83"/>
      <c r="AZ208" s="83"/>
      <c r="BA208" s="83"/>
      <c r="BB208" s="83"/>
      <c r="BC208" s="83"/>
    </row>
    <row r="209" customFormat="false" ht="27.75" hidden="false" customHeight="true" outlineLevel="0" collapsed="false">
      <c r="B209" s="81" t="n">
        <v>3</v>
      </c>
      <c r="C209" s="81"/>
      <c r="D209" s="82"/>
      <c r="E209" s="82"/>
      <c r="F209" s="82"/>
      <c r="G209" s="82"/>
      <c r="H209" s="83"/>
      <c r="I209" s="83"/>
      <c r="J209" s="83"/>
      <c r="K209" s="83"/>
      <c r="L209" s="83"/>
      <c r="M209" s="83"/>
      <c r="N209" s="83"/>
      <c r="O209" s="83"/>
      <c r="P209" s="83"/>
      <c r="Q209" s="83"/>
      <c r="R209" s="83"/>
      <c r="S209" s="83"/>
      <c r="T209" s="83"/>
      <c r="U209" s="83"/>
      <c r="V209" s="83"/>
      <c r="W209" s="83"/>
      <c r="X209" s="83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  <c r="AI209" s="83"/>
      <c r="AJ209" s="83"/>
      <c r="AK209" s="83"/>
      <c r="AL209" s="83"/>
      <c r="AM209" s="83"/>
      <c r="AN209" s="83"/>
      <c r="AO209" s="83"/>
      <c r="AP209" s="83"/>
      <c r="AQ209" s="83"/>
      <c r="AR209" s="83"/>
      <c r="AS209" s="83"/>
      <c r="AT209" s="83"/>
      <c r="AU209" s="83"/>
      <c r="AV209" s="83"/>
      <c r="AW209" s="83"/>
      <c r="AX209" s="83"/>
      <c r="AY209" s="83"/>
      <c r="AZ209" s="83"/>
      <c r="BA209" s="83"/>
      <c r="BB209" s="83"/>
      <c r="BC209" s="83"/>
    </row>
    <row r="210" customFormat="false" ht="27.75" hidden="false" customHeight="true" outlineLevel="0" collapsed="false">
      <c r="B210" s="81" t="n">
        <v>4</v>
      </c>
      <c r="C210" s="81"/>
      <c r="D210" s="82"/>
      <c r="E210" s="82"/>
      <c r="F210" s="82"/>
      <c r="G210" s="82"/>
      <c r="H210" s="83"/>
      <c r="I210" s="83"/>
      <c r="J210" s="83"/>
      <c r="K210" s="83"/>
      <c r="L210" s="83"/>
      <c r="M210" s="83"/>
      <c r="N210" s="83"/>
      <c r="O210" s="83"/>
      <c r="P210" s="83"/>
      <c r="Q210" s="83"/>
      <c r="R210" s="83"/>
      <c r="S210" s="83"/>
      <c r="T210" s="83"/>
      <c r="U210" s="83"/>
      <c r="V210" s="83"/>
      <c r="W210" s="83"/>
      <c r="X210" s="83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  <c r="AI210" s="83"/>
      <c r="AJ210" s="83"/>
      <c r="AK210" s="83"/>
      <c r="AL210" s="83"/>
      <c r="AM210" s="83"/>
      <c r="AN210" s="83"/>
      <c r="AO210" s="83"/>
      <c r="AP210" s="83"/>
      <c r="AQ210" s="83"/>
      <c r="AR210" s="83"/>
      <c r="AS210" s="83"/>
      <c r="AT210" s="83"/>
      <c r="AU210" s="83"/>
      <c r="AV210" s="83"/>
      <c r="AW210" s="83"/>
      <c r="AX210" s="83"/>
      <c r="AY210" s="83"/>
      <c r="AZ210" s="83"/>
      <c r="BA210" s="83"/>
      <c r="BB210" s="83"/>
      <c r="BC210" s="83"/>
    </row>
    <row r="211" customFormat="false" ht="27.75" hidden="false" customHeight="true" outlineLevel="0" collapsed="false">
      <c r="B211" s="81" t="n">
        <v>5</v>
      </c>
      <c r="C211" s="81"/>
      <c r="D211" s="82"/>
      <c r="E211" s="82"/>
      <c r="F211" s="82"/>
      <c r="G211" s="82"/>
      <c r="H211" s="83"/>
      <c r="I211" s="83"/>
      <c r="J211" s="83"/>
      <c r="K211" s="83"/>
      <c r="L211" s="83"/>
      <c r="M211" s="83"/>
      <c r="N211" s="83"/>
      <c r="O211" s="83"/>
      <c r="P211" s="83"/>
      <c r="Q211" s="83"/>
      <c r="R211" s="83"/>
      <c r="S211" s="83"/>
      <c r="T211" s="83"/>
      <c r="U211" s="83"/>
      <c r="V211" s="83"/>
      <c r="W211" s="83"/>
      <c r="X211" s="83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  <c r="AI211" s="83"/>
      <c r="AJ211" s="83"/>
      <c r="AK211" s="83"/>
      <c r="AL211" s="83"/>
      <c r="AM211" s="83"/>
      <c r="AN211" s="83"/>
      <c r="AO211" s="83"/>
      <c r="AP211" s="83"/>
      <c r="AQ211" s="83"/>
      <c r="AR211" s="83"/>
      <c r="AS211" s="83"/>
      <c r="AT211" s="83"/>
      <c r="AU211" s="83"/>
      <c r="AV211" s="83"/>
      <c r="AW211" s="83"/>
      <c r="AX211" s="83"/>
      <c r="AY211" s="83"/>
      <c r="AZ211" s="83"/>
      <c r="BA211" s="83"/>
      <c r="BB211" s="83"/>
      <c r="BC211" s="83"/>
    </row>
    <row r="212" customFormat="false" ht="27.75" hidden="false" customHeight="true" outlineLevel="0" collapsed="false">
      <c r="B212" s="81" t="n">
        <v>6</v>
      </c>
      <c r="C212" s="81"/>
      <c r="D212" s="82"/>
      <c r="E212" s="82"/>
      <c r="F212" s="82"/>
      <c r="G212" s="82"/>
      <c r="H212" s="83"/>
      <c r="I212" s="83"/>
      <c r="J212" s="83"/>
      <c r="K212" s="83"/>
      <c r="L212" s="83"/>
      <c r="M212" s="83"/>
      <c r="N212" s="83"/>
      <c r="O212" s="83"/>
      <c r="P212" s="83"/>
      <c r="Q212" s="83"/>
      <c r="R212" s="83"/>
      <c r="S212" s="83"/>
      <c r="T212" s="83"/>
      <c r="U212" s="83"/>
      <c r="V212" s="83"/>
      <c r="W212" s="83"/>
      <c r="X212" s="83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  <c r="AI212" s="83"/>
      <c r="AJ212" s="83"/>
      <c r="AK212" s="83"/>
      <c r="AL212" s="83"/>
      <c r="AM212" s="83"/>
      <c r="AN212" s="83"/>
      <c r="AO212" s="83"/>
      <c r="AP212" s="83"/>
      <c r="AQ212" s="83"/>
      <c r="AR212" s="83"/>
      <c r="AS212" s="83"/>
      <c r="AT212" s="83"/>
      <c r="AU212" s="83"/>
      <c r="AV212" s="83"/>
      <c r="AW212" s="83"/>
      <c r="AX212" s="83"/>
      <c r="AY212" s="83"/>
      <c r="AZ212" s="83"/>
      <c r="BA212" s="83"/>
      <c r="BB212" s="83"/>
      <c r="BC212" s="83"/>
    </row>
    <row r="213" customFormat="false" ht="27.75" hidden="false" customHeight="true" outlineLevel="0" collapsed="false">
      <c r="B213" s="81" t="n">
        <v>7</v>
      </c>
      <c r="C213" s="81"/>
      <c r="D213" s="82"/>
      <c r="E213" s="82"/>
      <c r="F213" s="82"/>
      <c r="G213" s="82"/>
      <c r="H213" s="83"/>
      <c r="I213" s="83"/>
      <c r="J213" s="83"/>
      <c r="K213" s="83"/>
      <c r="L213" s="83"/>
      <c r="M213" s="83"/>
      <c r="N213" s="83"/>
      <c r="O213" s="83"/>
      <c r="P213" s="83"/>
      <c r="Q213" s="83"/>
      <c r="R213" s="83"/>
      <c r="S213" s="83"/>
      <c r="T213" s="83"/>
      <c r="U213" s="83"/>
      <c r="V213" s="83"/>
      <c r="W213" s="83"/>
      <c r="X213" s="83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  <c r="AI213" s="83"/>
      <c r="AJ213" s="83"/>
      <c r="AK213" s="83"/>
      <c r="AL213" s="83"/>
      <c r="AM213" s="83"/>
      <c r="AN213" s="83"/>
      <c r="AO213" s="83"/>
      <c r="AP213" s="83"/>
      <c r="AQ213" s="83"/>
      <c r="AR213" s="83"/>
      <c r="AS213" s="83"/>
      <c r="AT213" s="83"/>
      <c r="AU213" s="83"/>
      <c r="AV213" s="83"/>
      <c r="AW213" s="83"/>
      <c r="AX213" s="83"/>
      <c r="AY213" s="83"/>
      <c r="AZ213" s="83"/>
      <c r="BA213" s="83"/>
      <c r="BB213" s="83"/>
      <c r="BC213" s="83"/>
    </row>
    <row r="214" customFormat="false" ht="27.75" hidden="false" customHeight="true" outlineLevel="0" collapsed="false">
      <c r="B214" s="81" t="n">
        <v>8</v>
      </c>
      <c r="C214" s="81"/>
      <c r="D214" s="82"/>
      <c r="E214" s="82"/>
      <c r="F214" s="82"/>
      <c r="G214" s="82"/>
      <c r="H214" s="83"/>
      <c r="I214" s="83"/>
      <c r="J214" s="83"/>
      <c r="K214" s="83"/>
      <c r="L214" s="83"/>
      <c r="M214" s="83"/>
      <c r="N214" s="83"/>
      <c r="O214" s="83"/>
      <c r="P214" s="83"/>
      <c r="Q214" s="83"/>
      <c r="R214" s="83"/>
      <c r="S214" s="83"/>
      <c r="T214" s="83"/>
      <c r="U214" s="83"/>
      <c r="V214" s="83"/>
      <c r="W214" s="83"/>
      <c r="X214" s="83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  <c r="AI214" s="83"/>
      <c r="AJ214" s="83"/>
      <c r="AK214" s="83"/>
      <c r="AL214" s="83"/>
      <c r="AM214" s="83"/>
      <c r="AN214" s="83"/>
      <c r="AO214" s="83"/>
      <c r="AP214" s="83"/>
      <c r="AQ214" s="83"/>
      <c r="AR214" s="83"/>
      <c r="AS214" s="83"/>
      <c r="AT214" s="83"/>
      <c r="AU214" s="83"/>
      <c r="AV214" s="83"/>
      <c r="AW214" s="83"/>
      <c r="AX214" s="83"/>
      <c r="AY214" s="83"/>
      <c r="AZ214" s="83"/>
      <c r="BA214" s="83"/>
      <c r="BB214" s="83"/>
      <c r="BC214" s="83"/>
    </row>
    <row r="215" customFormat="false" ht="27.75" hidden="false" customHeight="true" outlineLevel="0" collapsed="false">
      <c r="B215" s="81" t="n">
        <v>9</v>
      </c>
      <c r="C215" s="81"/>
      <c r="D215" s="82"/>
      <c r="E215" s="82"/>
      <c r="F215" s="82"/>
      <c r="G215" s="82"/>
      <c r="H215" s="83"/>
      <c r="I215" s="83"/>
      <c r="J215" s="83"/>
      <c r="K215" s="83"/>
      <c r="L215" s="83"/>
      <c r="M215" s="83"/>
      <c r="N215" s="83"/>
      <c r="O215" s="83"/>
      <c r="P215" s="83"/>
      <c r="Q215" s="83"/>
      <c r="R215" s="83"/>
      <c r="S215" s="83"/>
      <c r="T215" s="83"/>
      <c r="U215" s="83"/>
      <c r="V215" s="83"/>
      <c r="W215" s="83"/>
      <c r="X215" s="83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  <c r="AI215" s="83"/>
      <c r="AJ215" s="83"/>
      <c r="AK215" s="83"/>
      <c r="AL215" s="83"/>
      <c r="AM215" s="83"/>
      <c r="AN215" s="83"/>
      <c r="AO215" s="83"/>
      <c r="AP215" s="83"/>
      <c r="AQ215" s="83"/>
      <c r="AR215" s="83"/>
      <c r="AS215" s="83"/>
      <c r="AT215" s="83"/>
      <c r="AU215" s="83"/>
      <c r="AV215" s="83"/>
      <c r="AW215" s="83"/>
      <c r="AX215" s="83"/>
      <c r="AY215" s="83"/>
      <c r="AZ215" s="83"/>
      <c r="BA215" s="83"/>
      <c r="BB215" s="83"/>
      <c r="BC215" s="83"/>
    </row>
    <row r="216" customFormat="false" ht="27.75" hidden="false" customHeight="true" outlineLevel="0" collapsed="false">
      <c r="B216" s="81" t="n">
        <v>10</v>
      </c>
      <c r="C216" s="81"/>
      <c r="D216" s="82"/>
      <c r="E216" s="82"/>
      <c r="F216" s="82"/>
      <c r="G216" s="82"/>
      <c r="H216" s="83"/>
      <c r="I216" s="83"/>
      <c r="J216" s="83"/>
      <c r="K216" s="83"/>
      <c r="L216" s="83"/>
      <c r="M216" s="83"/>
      <c r="N216" s="83"/>
      <c r="O216" s="83"/>
      <c r="P216" s="83"/>
      <c r="Q216" s="83"/>
      <c r="R216" s="83"/>
      <c r="S216" s="83"/>
      <c r="T216" s="83"/>
      <c r="U216" s="83"/>
      <c r="V216" s="83"/>
      <c r="W216" s="83"/>
      <c r="X216" s="83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  <c r="AI216" s="83"/>
      <c r="AJ216" s="83"/>
      <c r="AK216" s="83"/>
      <c r="AL216" s="83"/>
      <c r="AM216" s="83"/>
      <c r="AN216" s="83"/>
      <c r="AO216" s="83"/>
      <c r="AP216" s="83"/>
      <c r="AQ216" s="83"/>
      <c r="AR216" s="83"/>
      <c r="AS216" s="83"/>
      <c r="AT216" s="83"/>
      <c r="AU216" s="83"/>
      <c r="AV216" s="83"/>
      <c r="AW216" s="83"/>
      <c r="AX216" s="83"/>
      <c r="AY216" s="83"/>
      <c r="AZ216" s="83"/>
      <c r="BA216" s="83"/>
      <c r="BB216" s="83"/>
      <c r="BC216" s="83"/>
    </row>
    <row r="217" customFormat="false" ht="27.75" hidden="false" customHeight="true" outlineLevel="0" collapsed="false">
      <c r="B217" s="81" t="n">
        <v>11</v>
      </c>
      <c r="C217" s="81"/>
      <c r="D217" s="82"/>
      <c r="E217" s="82"/>
      <c r="F217" s="82"/>
      <c r="G217" s="82"/>
      <c r="H217" s="83"/>
      <c r="I217" s="83"/>
      <c r="J217" s="83"/>
      <c r="K217" s="83"/>
      <c r="L217" s="83"/>
      <c r="M217" s="83"/>
      <c r="N217" s="83"/>
      <c r="O217" s="83"/>
      <c r="P217" s="83"/>
      <c r="Q217" s="83"/>
      <c r="R217" s="83"/>
      <c r="S217" s="83"/>
      <c r="T217" s="83"/>
      <c r="U217" s="83"/>
      <c r="V217" s="83"/>
      <c r="W217" s="83"/>
      <c r="X217" s="83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  <c r="AI217" s="83"/>
      <c r="AJ217" s="83"/>
      <c r="AK217" s="83"/>
      <c r="AL217" s="83"/>
      <c r="AM217" s="83"/>
      <c r="AN217" s="83"/>
      <c r="AO217" s="83"/>
      <c r="AP217" s="83"/>
      <c r="AQ217" s="83"/>
      <c r="AR217" s="83"/>
      <c r="AS217" s="83"/>
      <c r="AT217" s="83"/>
      <c r="AU217" s="83"/>
      <c r="AV217" s="83"/>
      <c r="AW217" s="83"/>
      <c r="AX217" s="83"/>
      <c r="AY217" s="83"/>
      <c r="AZ217" s="83"/>
      <c r="BA217" s="83"/>
      <c r="BB217" s="83"/>
      <c r="BC217" s="83"/>
    </row>
    <row r="218" customFormat="false" ht="24" hidden="false" customHeight="true" outlineLevel="0" collapsed="false">
      <c r="B218" s="84" t="s">
        <v>132</v>
      </c>
      <c r="C218" s="84"/>
      <c r="E218" s="85" t="s">
        <v>144</v>
      </c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  <c r="AI218" s="85"/>
      <c r="AJ218" s="85"/>
      <c r="AK218" s="85"/>
      <c r="AL218" s="85"/>
      <c r="AM218" s="85"/>
      <c r="AN218" s="85"/>
      <c r="AO218" s="85"/>
      <c r="AP218" s="85"/>
      <c r="AQ218" s="85"/>
      <c r="AR218" s="85"/>
      <c r="AS218" s="85"/>
      <c r="AT218" s="85"/>
      <c r="AU218" s="85"/>
      <c r="AV218" s="85"/>
      <c r="AW218" s="85"/>
      <c r="AX218" s="85"/>
      <c r="AY218" s="85"/>
      <c r="AZ218" s="85"/>
      <c r="BA218" s="85"/>
      <c r="BB218" s="85"/>
      <c r="BC218" s="85"/>
    </row>
    <row r="219" customFormat="false" ht="139.5" hidden="false" customHeight="true" outlineLevel="0" collapsed="false"/>
    <row r="220" customFormat="false" ht="18" hidden="false" customHeight="true" outlineLevel="0" collapsed="false">
      <c r="B220" s="75" t="s">
        <v>134</v>
      </c>
      <c r="C220" s="75"/>
      <c r="D220" s="75"/>
      <c r="E220" s="75"/>
      <c r="F220" s="75"/>
      <c r="G220" s="75"/>
      <c r="H220" s="75"/>
      <c r="I220" s="75"/>
      <c r="J220" s="75"/>
      <c r="K220" s="75"/>
      <c r="L220" s="75"/>
      <c r="M220" s="75"/>
      <c r="N220" s="75"/>
      <c r="O220" s="75"/>
      <c r="P220" s="75"/>
      <c r="Q220" s="75"/>
      <c r="R220" s="75"/>
      <c r="S220" s="75"/>
      <c r="T220" s="75"/>
      <c r="U220" s="75"/>
      <c r="V220" s="75"/>
      <c r="W220" s="75"/>
      <c r="X220" s="75"/>
      <c r="Y220" s="75"/>
      <c r="Z220" s="75"/>
      <c r="AA220" s="75"/>
      <c r="AB220" s="76" t="s">
        <v>145</v>
      </c>
      <c r="AC220" s="76"/>
      <c r="AD220" s="76"/>
      <c r="AE220" s="76"/>
      <c r="AF220" s="76"/>
      <c r="AG220" s="76"/>
      <c r="AH220" s="76"/>
      <c r="AI220" s="76"/>
      <c r="AJ220" s="76"/>
      <c r="AK220" s="76"/>
      <c r="AL220" s="76"/>
      <c r="AM220" s="76"/>
      <c r="AN220" s="76"/>
      <c r="AO220" s="76"/>
      <c r="AP220" s="76"/>
      <c r="AQ220" s="76"/>
      <c r="AR220" s="76"/>
      <c r="AS220" s="76"/>
      <c r="AT220" s="76"/>
      <c r="AU220" s="76"/>
      <c r="AV220" s="76"/>
      <c r="AW220" s="76"/>
      <c r="AX220" s="76"/>
      <c r="AY220" s="76"/>
      <c r="AZ220" s="76"/>
      <c r="BA220" s="76"/>
      <c r="BB220" s="76"/>
      <c r="BC220" s="76"/>
    </row>
    <row r="221" customFormat="false" ht="7.5" hidden="false" customHeight="true" outlineLevel="0" collapsed="false"/>
    <row r="222" customFormat="false" ht="24" hidden="false" customHeight="true" outlineLevel="0" collapsed="false">
      <c r="B222" s="86" t="s">
        <v>115</v>
      </c>
      <c r="C222" s="86"/>
      <c r="D222" s="86"/>
      <c r="E222" s="86"/>
      <c r="F222" s="86"/>
      <c r="H222" s="87" t="s">
        <v>116</v>
      </c>
      <c r="I222" s="87"/>
      <c r="J222" s="87"/>
      <c r="K222" s="87"/>
      <c r="L222" s="87"/>
      <c r="M222" s="87"/>
      <c r="N222" s="87"/>
      <c r="O222" s="87"/>
      <c r="P222" s="87"/>
      <c r="AA222" s="88" t="s">
        <v>136</v>
      </c>
      <c r="AB222" s="88"/>
      <c r="AC222" s="88"/>
      <c r="AD222" s="88"/>
      <c r="AE222" s="88"/>
      <c r="AF222" s="89" t="str">
        <f aca="false">Dashboard!$C$6</f>
        <v>Bindhya TB</v>
      </c>
      <c r="AG222" s="89"/>
      <c r="AH222" s="89"/>
      <c r="AI222" s="89"/>
      <c r="AJ222" s="89"/>
      <c r="AK222" s="89"/>
      <c r="AL222" s="89"/>
      <c r="AM222" s="89"/>
      <c r="AN222" s="89"/>
      <c r="AO222" s="89"/>
      <c r="AP222" s="89"/>
      <c r="AR222" s="88" t="s">
        <v>137</v>
      </c>
      <c r="AS222" s="88"/>
      <c r="AT222" s="89" t="str">
        <f aca="false">TEXT(Cal!H3,"dd mmm")&amp;" to "&amp;TEXT(Cal!I3,"dd mmm yy")</f>
        <v>05 Oct to 10 Oct 26</v>
      </c>
      <c r="AU222" s="89"/>
      <c r="AV222" s="89"/>
      <c r="AW222" s="89"/>
      <c r="AX222" s="89"/>
      <c r="AY222" s="89"/>
      <c r="AZ222" s="89"/>
      <c r="BA222" s="89"/>
      <c r="BB222" s="89"/>
      <c r="BC222" s="89"/>
    </row>
    <row r="223" customFormat="false" ht="3" hidden="false" customHeight="true" outlineLevel="0" collapsed="false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</row>
    <row r="224" customFormat="false" ht="9.75" hidden="false" customHeight="true" outlineLevel="0" collapsed="false"/>
    <row r="225" customFormat="false" ht="21.75" hidden="false" customHeight="true" outlineLevel="0" collapsed="false">
      <c r="B225" s="6"/>
      <c r="C225" s="19" t="s">
        <v>146</v>
      </c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59" t="s">
        <v>147</v>
      </c>
      <c r="AM225" s="59"/>
      <c r="AN225" s="59"/>
      <c r="AO225" s="59"/>
      <c r="AP225" s="59"/>
      <c r="AQ225" s="59"/>
      <c r="AR225" s="59"/>
      <c r="AS225" s="59"/>
      <c r="AT225" s="59"/>
      <c r="AU225" s="59"/>
      <c r="AV225" s="59"/>
      <c r="AW225" s="59"/>
      <c r="AX225" s="59"/>
      <c r="AY225" s="59"/>
      <c r="AZ225" s="59"/>
      <c r="BA225" s="59"/>
      <c r="BB225" s="59"/>
      <c r="BC225" s="59"/>
    </row>
    <row r="226" customFormat="false" ht="27.75" hidden="false" customHeight="true" outlineLevel="0" collapsed="false">
      <c r="B226" s="79" t="s">
        <v>124</v>
      </c>
      <c r="C226" s="79"/>
      <c r="D226" s="80" t="s">
        <v>140</v>
      </c>
      <c r="E226" s="80"/>
      <c r="F226" s="80"/>
      <c r="G226" s="80"/>
      <c r="H226" s="80" t="s">
        <v>127</v>
      </c>
      <c r="I226" s="80"/>
      <c r="J226" s="80"/>
      <c r="K226" s="80"/>
      <c r="L226" s="80"/>
      <c r="M226" s="80"/>
      <c r="N226" s="80"/>
      <c r="O226" s="80"/>
      <c r="P226" s="80" t="s">
        <v>126</v>
      </c>
      <c r="Q226" s="80"/>
      <c r="R226" s="80"/>
      <c r="S226" s="80"/>
      <c r="T226" s="80"/>
      <c r="U226" s="80"/>
      <c r="V226" s="80"/>
      <c r="W226" s="80" t="s">
        <v>148</v>
      </c>
      <c r="X226" s="80"/>
      <c r="Y226" s="80"/>
      <c r="Z226" s="80"/>
      <c r="AA226" s="80"/>
      <c r="AB226" s="80"/>
      <c r="AC226" s="80" t="s">
        <v>149</v>
      </c>
      <c r="AD226" s="80"/>
      <c r="AE226" s="80"/>
      <c r="AF226" s="80"/>
      <c r="AG226" s="80" t="s">
        <v>150</v>
      </c>
      <c r="AH226" s="80"/>
      <c r="AI226" s="80"/>
      <c r="AJ226" s="80"/>
      <c r="AK226" s="80"/>
      <c r="AL226" s="80"/>
      <c r="AM226" s="80"/>
      <c r="AN226" s="80"/>
      <c r="AO226" s="80"/>
      <c r="AP226" s="80"/>
      <c r="AQ226" s="80"/>
      <c r="AR226" s="80"/>
      <c r="AS226" s="80"/>
      <c r="AT226" s="80"/>
      <c r="AU226" s="80"/>
      <c r="AV226" s="80"/>
      <c r="AW226" s="80"/>
      <c r="AX226" s="80"/>
      <c r="AY226" s="80"/>
      <c r="AZ226" s="80"/>
      <c r="BA226" s="80"/>
      <c r="BB226" s="80"/>
      <c r="BC226" s="80"/>
    </row>
    <row r="227" customFormat="false" ht="27.75" hidden="false" customHeight="true" outlineLevel="0" collapsed="false">
      <c r="B227" s="81" t="n">
        <v>1</v>
      </c>
      <c r="C227" s="81"/>
      <c r="D227" s="82"/>
      <c r="E227" s="82"/>
      <c r="F227" s="82"/>
      <c r="G227" s="82"/>
      <c r="H227" s="83"/>
      <c r="I227" s="83"/>
      <c r="J227" s="83"/>
      <c r="K227" s="83"/>
      <c r="L227" s="83"/>
      <c r="M227" s="83"/>
      <c r="N227" s="83"/>
      <c r="O227" s="83"/>
      <c r="P227" s="83"/>
      <c r="Q227" s="83"/>
      <c r="R227" s="83"/>
      <c r="S227" s="83"/>
      <c r="T227" s="83"/>
      <c r="U227" s="83"/>
      <c r="V227" s="83"/>
      <c r="W227" s="90"/>
      <c r="X227" s="90"/>
      <c r="Y227" s="90"/>
      <c r="Z227" s="90"/>
      <c r="AA227" s="90"/>
      <c r="AB227" s="90"/>
      <c r="AC227" s="83"/>
      <c r="AD227" s="83"/>
      <c r="AE227" s="83"/>
      <c r="AF227" s="83"/>
      <c r="AG227" s="83"/>
      <c r="AH227" s="83"/>
      <c r="AI227" s="83"/>
      <c r="AJ227" s="83"/>
      <c r="AK227" s="83"/>
      <c r="AL227" s="83"/>
      <c r="AM227" s="83"/>
      <c r="AN227" s="83"/>
      <c r="AO227" s="83"/>
      <c r="AP227" s="83"/>
      <c r="AQ227" s="83"/>
      <c r="AR227" s="83"/>
      <c r="AS227" s="83"/>
      <c r="AT227" s="83"/>
      <c r="AU227" s="83"/>
      <c r="AV227" s="83"/>
      <c r="AW227" s="83"/>
      <c r="AX227" s="83"/>
      <c r="AY227" s="83"/>
      <c r="AZ227" s="83"/>
      <c r="BA227" s="83"/>
      <c r="BB227" s="83"/>
      <c r="BC227" s="83"/>
    </row>
    <row r="228" customFormat="false" ht="27.75" hidden="false" customHeight="true" outlineLevel="0" collapsed="false">
      <c r="B228" s="81" t="n">
        <v>2</v>
      </c>
      <c r="C228" s="81"/>
      <c r="D228" s="82"/>
      <c r="E228" s="82"/>
      <c r="F228" s="82"/>
      <c r="G228" s="82"/>
      <c r="H228" s="83"/>
      <c r="I228" s="83"/>
      <c r="J228" s="83"/>
      <c r="K228" s="83"/>
      <c r="L228" s="83"/>
      <c r="M228" s="83"/>
      <c r="N228" s="83"/>
      <c r="O228" s="83"/>
      <c r="P228" s="83"/>
      <c r="Q228" s="83"/>
      <c r="R228" s="83"/>
      <c r="S228" s="83"/>
      <c r="T228" s="83"/>
      <c r="U228" s="83"/>
      <c r="V228" s="83"/>
      <c r="W228" s="90"/>
      <c r="X228" s="90"/>
      <c r="Y228" s="90"/>
      <c r="Z228" s="90"/>
      <c r="AA228" s="90"/>
      <c r="AB228" s="90"/>
      <c r="AC228" s="83"/>
      <c r="AD228" s="83"/>
      <c r="AE228" s="83"/>
      <c r="AF228" s="83"/>
      <c r="AG228" s="83"/>
      <c r="AH228" s="83"/>
      <c r="AI228" s="83"/>
      <c r="AJ228" s="83"/>
      <c r="AK228" s="83"/>
      <c r="AL228" s="83"/>
      <c r="AM228" s="83"/>
      <c r="AN228" s="83"/>
      <c r="AO228" s="83"/>
      <c r="AP228" s="83"/>
      <c r="AQ228" s="83"/>
      <c r="AR228" s="83"/>
      <c r="AS228" s="83"/>
      <c r="AT228" s="83"/>
      <c r="AU228" s="83"/>
      <c r="AV228" s="83"/>
      <c r="AW228" s="83"/>
      <c r="AX228" s="83"/>
      <c r="AY228" s="83"/>
      <c r="AZ228" s="83"/>
      <c r="BA228" s="83"/>
      <c r="BB228" s="83"/>
      <c r="BC228" s="83"/>
    </row>
    <row r="229" customFormat="false" ht="27.75" hidden="false" customHeight="true" outlineLevel="0" collapsed="false">
      <c r="B229" s="81" t="n">
        <v>3</v>
      </c>
      <c r="C229" s="81"/>
      <c r="D229" s="82"/>
      <c r="E229" s="82"/>
      <c r="F229" s="82"/>
      <c r="G229" s="82"/>
      <c r="H229" s="83"/>
      <c r="I229" s="83"/>
      <c r="J229" s="83"/>
      <c r="K229" s="83"/>
      <c r="L229" s="83"/>
      <c r="M229" s="83"/>
      <c r="N229" s="83"/>
      <c r="O229" s="83"/>
      <c r="P229" s="83"/>
      <c r="Q229" s="83"/>
      <c r="R229" s="83"/>
      <c r="S229" s="83"/>
      <c r="T229" s="83"/>
      <c r="U229" s="83"/>
      <c r="V229" s="83"/>
      <c r="W229" s="90"/>
      <c r="X229" s="90"/>
      <c r="Y229" s="90"/>
      <c r="Z229" s="90"/>
      <c r="AA229" s="90"/>
      <c r="AB229" s="90"/>
      <c r="AC229" s="83"/>
      <c r="AD229" s="83"/>
      <c r="AE229" s="83"/>
      <c r="AF229" s="83"/>
      <c r="AG229" s="83"/>
      <c r="AH229" s="83"/>
      <c r="AI229" s="83"/>
      <c r="AJ229" s="83"/>
      <c r="AK229" s="83"/>
      <c r="AL229" s="83"/>
      <c r="AM229" s="83"/>
      <c r="AN229" s="83"/>
      <c r="AO229" s="83"/>
      <c r="AP229" s="83"/>
      <c r="AQ229" s="83"/>
      <c r="AR229" s="83"/>
      <c r="AS229" s="83"/>
      <c r="AT229" s="83"/>
      <c r="AU229" s="83"/>
      <c r="AV229" s="83"/>
      <c r="AW229" s="83"/>
      <c r="AX229" s="83"/>
      <c r="AY229" s="83"/>
      <c r="AZ229" s="83"/>
      <c r="BA229" s="83"/>
      <c r="BB229" s="83"/>
      <c r="BC229" s="83"/>
    </row>
    <row r="230" customFormat="false" ht="27.75" hidden="false" customHeight="true" outlineLevel="0" collapsed="false">
      <c r="B230" s="81" t="n">
        <v>4</v>
      </c>
      <c r="C230" s="81"/>
      <c r="D230" s="82"/>
      <c r="E230" s="82"/>
      <c r="F230" s="82"/>
      <c r="G230" s="82"/>
      <c r="H230" s="83"/>
      <c r="I230" s="83"/>
      <c r="J230" s="83"/>
      <c r="K230" s="83"/>
      <c r="L230" s="83"/>
      <c r="M230" s="83"/>
      <c r="N230" s="83"/>
      <c r="O230" s="83"/>
      <c r="P230" s="83"/>
      <c r="Q230" s="83"/>
      <c r="R230" s="83"/>
      <c r="S230" s="83"/>
      <c r="T230" s="83"/>
      <c r="U230" s="83"/>
      <c r="V230" s="83"/>
      <c r="W230" s="90"/>
      <c r="X230" s="90"/>
      <c r="Y230" s="90"/>
      <c r="Z230" s="90"/>
      <c r="AA230" s="90"/>
      <c r="AB230" s="90"/>
      <c r="AC230" s="83"/>
      <c r="AD230" s="83"/>
      <c r="AE230" s="83"/>
      <c r="AF230" s="83"/>
      <c r="AG230" s="83"/>
      <c r="AH230" s="83"/>
      <c r="AI230" s="83"/>
      <c r="AJ230" s="83"/>
      <c r="AK230" s="83"/>
      <c r="AL230" s="83"/>
      <c r="AM230" s="83"/>
      <c r="AN230" s="83"/>
      <c r="AO230" s="83"/>
      <c r="AP230" s="83"/>
      <c r="AQ230" s="83"/>
      <c r="AR230" s="83"/>
      <c r="AS230" s="83"/>
      <c r="AT230" s="83"/>
      <c r="AU230" s="83"/>
      <c r="AV230" s="83"/>
      <c r="AW230" s="83"/>
      <c r="AX230" s="83"/>
      <c r="AY230" s="83"/>
      <c r="AZ230" s="83"/>
      <c r="BA230" s="83"/>
      <c r="BB230" s="83"/>
      <c r="BC230" s="83"/>
    </row>
    <row r="231" customFormat="false" ht="27.75" hidden="false" customHeight="true" outlineLevel="0" collapsed="false">
      <c r="B231" s="81" t="n">
        <v>5</v>
      </c>
      <c r="C231" s="81"/>
      <c r="D231" s="82"/>
      <c r="E231" s="82"/>
      <c r="F231" s="82"/>
      <c r="G231" s="82"/>
      <c r="H231" s="83"/>
      <c r="I231" s="83"/>
      <c r="J231" s="83"/>
      <c r="K231" s="83"/>
      <c r="L231" s="83"/>
      <c r="M231" s="83"/>
      <c r="N231" s="83"/>
      <c r="O231" s="83"/>
      <c r="P231" s="83"/>
      <c r="Q231" s="83"/>
      <c r="R231" s="83"/>
      <c r="S231" s="83"/>
      <c r="T231" s="83"/>
      <c r="U231" s="83"/>
      <c r="V231" s="83"/>
      <c r="W231" s="90"/>
      <c r="X231" s="90"/>
      <c r="Y231" s="90"/>
      <c r="Z231" s="90"/>
      <c r="AA231" s="90"/>
      <c r="AB231" s="90"/>
      <c r="AC231" s="83"/>
      <c r="AD231" s="83"/>
      <c r="AE231" s="83"/>
      <c r="AF231" s="83"/>
      <c r="AG231" s="83"/>
      <c r="AH231" s="83"/>
      <c r="AI231" s="83"/>
      <c r="AJ231" s="83"/>
      <c r="AK231" s="83"/>
      <c r="AL231" s="83"/>
      <c r="AM231" s="83"/>
      <c r="AN231" s="83"/>
      <c r="AO231" s="83"/>
      <c r="AP231" s="83"/>
      <c r="AQ231" s="83"/>
      <c r="AR231" s="83"/>
      <c r="AS231" s="83"/>
      <c r="AT231" s="83"/>
      <c r="AU231" s="83"/>
      <c r="AV231" s="83"/>
      <c r="AW231" s="83"/>
      <c r="AX231" s="83"/>
      <c r="AY231" s="83"/>
      <c r="AZ231" s="83"/>
      <c r="BA231" s="83"/>
      <c r="BB231" s="83"/>
      <c r="BC231" s="83"/>
    </row>
    <row r="232" customFormat="false" ht="27.75" hidden="false" customHeight="true" outlineLevel="0" collapsed="false">
      <c r="B232" s="81" t="n">
        <v>6</v>
      </c>
      <c r="C232" s="81"/>
      <c r="D232" s="82"/>
      <c r="E232" s="82"/>
      <c r="F232" s="82"/>
      <c r="G232" s="82"/>
      <c r="H232" s="83"/>
      <c r="I232" s="83"/>
      <c r="J232" s="83"/>
      <c r="K232" s="83"/>
      <c r="L232" s="83"/>
      <c r="M232" s="83"/>
      <c r="N232" s="83"/>
      <c r="O232" s="83"/>
      <c r="P232" s="83"/>
      <c r="Q232" s="83"/>
      <c r="R232" s="83"/>
      <c r="S232" s="83"/>
      <c r="T232" s="83"/>
      <c r="U232" s="83"/>
      <c r="V232" s="83"/>
      <c r="W232" s="90"/>
      <c r="X232" s="90"/>
      <c r="Y232" s="90"/>
      <c r="Z232" s="90"/>
      <c r="AA232" s="90"/>
      <c r="AB232" s="90"/>
      <c r="AC232" s="83"/>
      <c r="AD232" s="83"/>
      <c r="AE232" s="83"/>
      <c r="AF232" s="83"/>
      <c r="AG232" s="83"/>
      <c r="AH232" s="83"/>
      <c r="AI232" s="83"/>
      <c r="AJ232" s="83"/>
      <c r="AK232" s="83"/>
      <c r="AL232" s="83"/>
      <c r="AM232" s="83"/>
      <c r="AN232" s="83"/>
      <c r="AO232" s="83"/>
      <c r="AP232" s="83"/>
      <c r="AQ232" s="83"/>
      <c r="AR232" s="83"/>
      <c r="AS232" s="83"/>
      <c r="AT232" s="83"/>
      <c r="AU232" s="83"/>
      <c r="AV232" s="83"/>
      <c r="AW232" s="83"/>
      <c r="AX232" s="83"/>
      <c r="AY232" s="83"/>
      <c r="AZ232" s="83"/>
      <c r="BA232" s="83"/>
      <c r="BB232" s="83"/>
      <c r="BC232" s="83"/>
    </row>
    <row r="233" customFormat="false" ht="24" hidden="false" customHeight="true" outlineLevel="0" collapsed="false">
      <c r="B233" s="84" t="s">
        <v>132</v>
      </c>
      <c r="C233" s="84"/>
      <c r="E233" s="85" t="s">
        <v>151</v>
      </c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  <c r="AI233" s="85"/>
      <c r="AJ233" s="85"/>
      <c r="AK233" s="85"/>
      <c r="AL233" s="85"/>
      <c r="AM233" s="85"/>
      <c r="AN233" s="85"/>
      <c r="AO233" s="85"/>
      <c r="AP233" s="85"/>
      <c r="AQ233" s="85"/>
      <c r="AR233" s="85"/>
      <c r="AS233" s="85"/>
      <c r="AT233" s="85"/>
      <c r="AU233" s="85"/>
      <c r="AV233" s="85"/>
      <c r="AW233" s="85"/>
      <c r="AX233" s="85"/>
      <c r="AY233" s="85"/>
      <c r="AZ233" s="85"/>
      <c r="BA233" s="85"/>
      <c r="BB233" s="85"/>
      <c r="BC233" s="85"/>
    </row>
    <row r="234" customFormat="false" ht="9.75" hidden="false" customHeight="true" outlineLevel="0" collapsed="false"/>
    <row r="235" customFormat="false" ht="21.75" hidden="false" customHeight="true" outlineLevel="0" collapsed="false">
      <c r="B235" s="6"/>
      <c r="C235" s="19" t="s">
        <v>152</v>
      </c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59" t="s">
        <v>153</v>
      </c>
      <c r="AM235" s="59"/>
      <c r="AN235" s="59"/>
      <c r="AO235" s="59"/>
      <c r="AP235" s="59"/>
      <c r="AQ235" s="59"/>
      <c r="AR235" s="59"/>
      <c r="AS235" s="59"/>
      <c r="AT235" s="59"/>
      <c r="AU235" s="59"/>
      <c r="AV235" s="59"/>
      <c r="AW235" s="59"/>
      <c r="AX235" s="59"/>
      <c r="AY235" s="59"/>
      <c r="AZ235" s="59"/>
      <c r="BA235" s="59"/>
      <c r="BB235" s="59"/>
      <c r="BC235" s="59"/>
    </row>
    <row r="236" customFormat="false" ht="27.75" hidden="false" customHeight="true" outlineLevel="0" collapsed="false">
      <c r="B236" s="79" t="s">
        <v>124</v>
      </c>
      <c r="C236" s="79"/>
      <c r="D236" s="80" t="s">
        <v>140</v>
      </c>
      <c r="E236" s="80"/>
      <c r="F236" s="80"/>
      <c r="G236" s="80"/>
      <c r="H236" s="80" t="s">
        <v>127</v>
      </c>
      <c r="I236" s="80"/>
      <c r="J236" s="80"/>
      <c r="K236" s="80"/>
      <c r="L236" s="80"/>
      <c r="M236" s="80"/>
      <c r="N236" s="80"/>
      <c r="O236" s="80"/>
      <c r="P236" s="80" t="s">
        <v>126</v>
      </c>
      <c r="Q236" s="80"/>
      <c r="R236" s="80"/>
      <c r="S236" s="80"/>
      <c r="T236" s="80"/>
      <c r="U236" s="80"/>
      <c r="V236" s="80"/>
      <c r="W236" s="80" t="s">
        <v>154</v>
      </c>
      <c r="X236" s="80"/>
      <c r="Y236" s="80"/>
      <c r="Z236" s="80"/>
      <c r="AA236" s="80"/>
      <c r="AB236" s="80"/>
      <c r="AC236" s="80" t="s">
        <v>149</v>
      </c>
      <c r="AD236" s="80"/>
      <c r="AE236" s="80"/>
      <c r="AF236" s="80"/>
      <c r="AG236" s="80" t="s">
        <v>150</v>
      </c>
      <c r="AH236" s="80"/>
      <c r="AI236" s="80"/>
      <c r="AJ236" s="80"/>
      <c r="AK236" s="80"/>
      <c r="AL236" s="80"/>
      <c r="AM236" s="80"/>
      <c r="AN236" s="80"/>
      <c r="AO236" s="80"/>
      <c r="AP236" s="80"/>
      <c r="AQ236" s="80"/>
      <c r="AR236" s="80"/>
      <c r="AS236" s="80"/>
      <c r="AT236" s="80"/>
      <c r="AU236" s="80"/>
      <c r="AV236" s="80"/>
      <c r="AW236" s="80"/>
      <c r="AX236" s="80"/>
      <c r="AY236" s="80"/>
      <c r="AZ236" s="80"/>
      <c r="BA236" s="80"/>
      <c r="BB236" s="80"/>
      <c r="BC236" s="80"/>
    </row>
    <row r="237" customFormat="false" ht="27.75" hidden="false" customHeight="true" outlineLevel="0" collapsed="false">
      <c r="B237" s="81" t="n">
        <v>1</v>
      </c>
      <c r="C237" s="81"/>
      <c r="D237" s="82"/>
      <c r="E237" s="82"/>
      <c r="F237" s="82"/>
      <c r="G237" s="82"/>
      <c r="H237" s="83"/>
      <c r="I237" s="83"/>
      <c r="J237" s="83"/>
      <c r="K237" s="83"/>
      <c r="L237" s="83"/>
      <c r="M237" s="83"/>
      <c r="N237" s="83"/>
      <c r="O237" s="83"/>
      <c r="P237" s="83"/>
      <c r="Q237" s="83"/>
      <c r="R237" s="83"/>
      <c r="S237" s="83"/>
      <c r="T237" s="83"/>
      <c r="U237" s="83"/>
      <c r="V237" s="83"/>
      <c r="W237" s="90"/>
      <c r="X237" s="90"/>
      <c r="Y237" s="90"/>
      <c r="Z237" s="90"/>
      <c r="AA237" s="90"/>
      <c r="AB237" s="90"/>
      <c r="AC237" s="83"/>
      <c r="AD237" s="83"/>
      <c r="AE237" s="83"/>
      <c r="AF237" s="83"/>
      <c r="AG237" s="83"/>
      <c r="AH237" s="83"/>
      <c r="AI237" s="83"/>
      <c r="AJ237" s="83"/>
      <c r="AK237" s="83"/>
      <c r="AL237" s="83"/>
      <c r="AM237" s="83"/>
      <c r="AN237" s="83"/>
      <c r="AO237" s="83"/>
      <c r="AP237" s="83"/>
      <c r="AQ237" s="83"/>
      <c r="AR237" s="83"/>
      <c r="AS237" s="83"/>
      <c r="AT237" s="83"/>
      <c r="AU237" s="83"/>
      <c r="AV237" s="83"/>
      <c r="AW237" s="83"/>
      <c r="AX237" s="83"/>
      <c r="AY237" s="83"/>
      <c r="AZ237" s="83"/>
      <c r="BA237" s="83"/>
      <c r="BB237" s="83"/>
      <c r="BC237" s="83"/>
    </row>
    <row r="238" customFormat="false" ht="27.75" hidden="false" customHeight="true" outlineLevel="0" collapsed="false">
      <c r="B238" s="81" t="n">
        <v>2</v>
      </c>
      <c r="C238" s="81"/>
      <c r="D238" s="82"/>
      <c r="E238" s="82"/>
      <c r="F238" s="82"/>
      <c r="G238" s="82"/>
      <c r="H238" s="83"/>
      <c r="I238" s="83"/>
      <c r="J238" s="83"/>
      <c r="K238" s="83"/>
      <c r="L238" s="83"/>
      <c r="M238" s="83"/>
      <c r="N238" s="83"/>
      <c r="O238" s="83"/>
      <c r="P238" s="83"/>
      <c r="Q238" s="83"/>
      <c r="R238" s="83"/>
      <c r="S238" s="83"/>
      <c r="T238" s="83"/>
      <c r="U238" s="83"/>
      <c r="V238" s="83"/>
      <c r="W238" s="90"/>
      <c r="X238" s="90"/>
      <c r="Y238" s="90"/>
      <c r="Z238" s="90"/>
      <c r="AA238" s="90"/>
      <c r="AB238" s="90"/>
      <c r="AC238" s="83"/>
      <c r="AD238" s="83"/>
      <c r="AE238" s="83"/>
      <c r="AF238" s="83"/>
      <c r="AG238" s="83"/>
      <c r="AH238" s="83"/>
      <c r="AI238" s="83"/>
      <c r="AJ238" s="83"/>
      <c r="AK238" s="83"/>
      <c r="AL238" s="83"/>
      <c r="AM238" s="83"/>
      <c r="AN238" s="83"/>
      <c r="AO238" s="83"/>
      <c r="AP238" s="83"/>
      <c r="AQ238" s="83"/>
      <c r="AR238" s="83"/>
      <c r="AS238" s="83"/>
      <c r="AT238" s="83"/>
      <c r="AU238" s="83"/>
      <c r="AV238" s="83"/>
      <c r="AW238" s="83"/>
      <c r="AX238" s="83"/>
      <c r="AY238" s="83"/>
      <c r="AZ238" s="83"/>
      <c r="BA238" s="83"/>
      <c r="BB238" s="83"/>
      <c r="BC238" s="83"/>
    </row>
    <row r="239" customFormat="false" ht="27.75" hidden="false" customHeight="true" outlineLevel="0" collapsed="false">
      <c r="B239" s="81" t="n">
        <v>3</v>
      </c>
      <c r="C239" s="81"/>
      <c r="D239" s="82"/>
      <c r="E239" s="82"/>
      <c r="F239" s="82"/>
      <c r="G239" s="82"/>
      <c r="H239" s="83"/>
      <c r="I239" s="83"/>
      <c r="J239" s="83"/>
      <c r="K239" s="83"/>
      <c r="L239" s="83"/>
      <c r="M239" s="83"/>
      <c r="N239" s="83"/>
      <c r="O239" s="83"/>
      <c r="P239" s="83"/>
      <c r="Q239" s="83"/>
      <c r="R239" s="83"/>
      <c r="S239" s="83"/>
      <c r="T239" s="83"/>
      <c r="U239" s="83"/>
      <c r="V239" s="83"/>
      <c r="W239" s="90"/>
      <c r="X239" s="90"/>
      <c r="Y239" s="90"/>
      <c r="Z239" s="90"/>
      <c r="AA239" s="90"/>
      <c r="AB239" s="90"/>
      <c r="AC239" s="83"/>
      <c r="AD239" s="83"/>
      <c r="AE239" s="83"/>
      <c r="AF239" s="83"/>
      <c r="AG239" s="83"/>
      <c r="AH239" s="83"/>
      <c r="AI239" s="83"/>
      <c r="AJ239" s="83"/>
      <c r="AK239" s="83"/>
      <c r="AL239" s="83"/>
      <c r="AM239" s="83"/>
      <c r="AN239" s="83"/>
      <c r="AO239" s="83"/>
      <c r="AP239" s="83"/>
      <c r="AQ239" s="83"/>
      <c r="AR239" s="83"/>
      <c r="AS239" s="83"/>
      <c r="AT239" s="83"/>
      <c r="AU239" s="83"/>
      <c r="AV239" s="83"/>
      <c r="AW239" s="83"/>
      <c r="AX239" s="83"/>
      <c r="AY239" s="83"/>
      <c r="AZ239" s="83"/>
      <c r="BA239" s="83"/>
      <c r="BB239" s="83"/>
      <c r="BC239" s="83"/>
    </row>
    <row r="240" customFormat="false" ht="27.75" hidden="false" customHeight="true" outlineLevel="0" collapsed="false">
      <c r="B240" s="81" t="n">
        <v>4</v>
      </c>
      <c r="C240" s="81"/>
      <c r="D240" s="82"/>
      <c r="E240" s="82"/>
      <c r="F240" s="82"/>
      <c r="G240" s="82"/>
      <c r="H240" s="83"/>
      <c r="I240" s="83"/>
      <c r="J240" s="83"/>
      <c r="K240" s="83"/>
      <c r="L240" s="83"/>
      <c r="M240" s="83"/>
      <c r="N240" s="83"/>
      <c r="O240" s="83"/>
      <c r="P240" s="83"/>
      <c r="Q240" s="83"/>
      <c r="R240" s="83"/>
      <c r="S240" s="83"/>
      <c r="T240" s="83"/>
      <c r="U240" s="83"/>
      <c r="V240" s="83"/>
      <c r="W240" s="90"/>
      <c r="X240" s="90"/>
      <c r="Y240" s="90"/>
      <c r="Z240" s="90"/>
      <c r="AA240" s="90"/>
      <c r="AB240" s="90"/>
      <c r="AC240" s="83"/>
      <c r="AD240" s="83"/>
      <c r="AE240" s="83"/>
      <c r="AF240" s="83"/>
      <c r="AG240" s="83"/>
      <c r="AH240" s="83"/>
      <c r="AI240" s="83"/>
      <c r="AJ240" s="83"/>
      <c r="AK240" s="83"/>
      <c r="AL240" s="83"/>
      <c r="AM240" s="83"/>
      <c r="AN240" s="83"/>
      <c r="AO240" s="83"/>
      <c r="AP240" s="83"/>
      <c r="AQ240" s="83"/>
      <c r="AR240" s="83"/>
      <c r="AS240" s="83"/>
      <c r="AT240" s="83"/>
      <c r="AU240" s="83"/>
      <c r="AV240" s="83"/>
      <c r="AW240" s="83"/>
      <c r="AX240" s="83"/>
      <c r="AY240" s="83"/>
      <c r="AZ240" s="83"/>
      <c r="BA240" s="83"/>
      <c r="BB240" s="83"/>
      <c r="BC240" s="83"/>
    </row>
    <row r="241" customFormat="false" ht="27.75" hidden="false" customHeight="true" outlineLevel="0" collapsed="false">
      <c r="B241" s="81" t="n">
        <v>5</v>
      </c>
      <c r="C241" s="81"/>
      <c r="D241" s="82"/>
      <c r="E241" s="82"/>
      <c r="F241" s="82"/>
      <c r="G241" s="82"/>
      <c r="H241" s="83"/>
      <c r="I241" s="83"/>
      <c r="J241" s="83"/>
      <c r="K241" s="83"/>
      <c r="L241" s="83"/>
      <c r="M241" s="83"/>
      <c r="N241" s="83"/>
      <c r="O241" s="83"/>
      <c r="P241" s="83"/>
      <c r="Q241" s="83"/>
      <c r="R241" s="83"/>
      <c r="S241" s="83"/>
      <c r="T241" s="83"/>
      <c r="U241" s="83"/>
      <c r="V241" s="83"/>
      <c r="W241" s="90"/>
      <c r="X241" s="90"/>
      <c r="Y241" s="90"/>
      <c r="Z241" s="90"/>
      <c r="AA241" s="90"/>
      <c r="AB241" s="90"/>
      <c r="AC241" s="83"/>
      <c r="AD241" s="83"/>
      <c r="AE241" s="83"/>
      <c r="AF241" s="83"/>
      <c r="AG241" s="83"/>
      <c r="AH241" s="83"/>
      <c r="AI241" s="83"/>
      <c r="AJ241" s="83"/>
      <c r="AK241" s="83"/>
      <c r="AL241" s="83"/>
      <c r="AM241" s="83"/>
      <c r="AN241" s="83"/>
      <c r="AO241" s="83"/>
      <c r="AP241" s="83"/>
      <c r="AQ241" s="83"/>
      <c r="AR241" s="83"/>
      <c r="AS241" s="83"/>
      <c r="AT241" s="83"/>
      <c r="AU241" s="83"/>
      <c r="AV241" s="83"/>
      <c r="AW241" s="83"/>
      <c r="AX241" s="83"/>
      <c r="AY241" s="83"/>
      <c r="AZ241" s="83"/>
      <c r="BA241" s="83"/>
      <c r="BB241" s="83"/>
      <c r="BC241" s="83"/>
    </row>
    <row r="242" customFormat="false" ht="24" hidden="false" customHeight="true" outlineLevel="0" collapsed="false">
      <c r="B242" s="84" t="s">
        <v>132</v>
      </c>
      <c r="C242" s="84"/>
      <c r="E242" s="85" t="s">
        <v>155</v>
      </c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  <c r="AE242" s="85"/>
      <c r="AF242" s="85"/>
      <c r="AG242" s="85"/>
      <c r="AH242" s="85"/>
      <c r="AI242" s="85"/>
      <c r="AJ242" s="85"/>
      <c r="AK242" s="85"/>
      <c r="AL242" s="85"/>
      <c r="AM242" s="85"/>
      <c r="AN242" s="85"/>
      <c r="AO242" s="85"/>
      <c r="AP242" s="85"/>
      <c r="AQ242" s="85"/>
      <c r="AR242" s="85"/>
      <c r="AS242" s="85"/>
      <c r="AT242" s="85"/>
      <c r="AU242" s="85"/>
      <c r="AV242" s="85"/>
      <c r="AW242" s="85"/>
      <c r="AX242" s="85"/>
      <c r="AY242" s="85"/>
      <c r="AZ242" s="85"/>
      <c r="BA242" s="85"/>
      <c r="BB242" s="85"/>
      <c r="BC242" s="85"/>
    </row>
    <row r="243" customFormat="false" ht="55.5" hidden="false" customHeight="true" outlineLevel="0" collapsed="false"/>
    <row r="244" customFormat="false" ht="18" hidden="false" customHeight="true" outlineLevel="0" collapsed="false">
      <c r="B244" s="75" t="s">
        <v>134</v>
      </c>
      <c r="C244" s="75"/>
      <c r="D244" s="75"/>
      <c r="E244" s="75"/>
      <c r="F244" s="75"/>
      <c r="G244" s="75"/>
      <c r="H244" s="75"/>
      <c r="I244" s="75"/>
      <c r="J244" s="75"/>
      <c r="K244" s="75"/>
      <c r="L244" s="75"/>
      <c r="M244" s="75"/>
      <c r="N244" s="75"/>
      <c r="O244" s="75"/>
      <c r="P244" s="75"/>
      <c r="Q244" s="75"/>
      <c r="R244" s="75"/>
      <c r="S244" s="75"/>
      <c r="T244" s="75"/>
      <c r="U244" s="75"/>
      <c r="V244" s="75"/>
      <c r="W244" s="75"/>
      <c r="X244" s="75"/>
      <c r="Y244" s="75"/>
      <c r="Z244" s="75"/>
      <c r="AA244" s="75"/>
      <c r="AB244" s="76" t="s">
        <v>156</v>
      </c>
      <c r="AC244" s="76"/>
      <c r="AD244" s="76"/>
      <c r="AE244" s="76"/>
      <c r="AF244" s="76"/>
      <c r="AG244" s="76"/>
      <c r="AH244" s="76"/>
      <c r="AI244" s="76"/>
      <c r="AJ244" s="76"/>
      <c r="AK244" s="76"/>
      <c r="AL244" s="76"/>
      <c r="AM244" s="76"/>
      <c r="AN244" s="76"/>
      <c r="AO244" s="76"/>
      <c r="AP244" s="76"/>
      <c r="AQ244" s="76"/>
      <c r="AR244" s="76"/>
      <c r="AS244" s="76"/>
      <c r="AT244" s="76"/>
      <c r="AU244" s="76"/>
      <c r="AV244" s="76"/>
      <c r="AW244" s="76"/>
      <c r="AX244" s="76"/>
      <c r="AY244" s="76"/>
      <c r="AZ244" s="76"/>
      <c r="BA244" s="76"/>
      <c r="BB244" s="76"/>
      <c r="BC244" s="76"/>
    </row>
    <row r="245" customFormat="false" ht="7.5" hidden="false" customHeight="true" outlineLevel="0" collapsed="false"/>
    <row r="246" customFormat="false" ht="24" hidden="false" customHeight="true" outlineLevel="0" collapsed="false">
      <c r="B246" s="86" t="s">
        <v>115</v>
      </c>
      <c r="C246" s="86"/>
      <c r="D246" s="86"/>
      <c r="E246" s="86"/>
      <c r="F246" s="86"/>
      <c r="H246" s="87" t="s">
        <v>116</v>
      </c>
      <c r="I246" s="87"/>
      <c r="J246" s="87"/>
      <c r="K246" s="87"/>
      <c r="L246" s="87"/>
      <c r="M246" s="87"/>
      <c r="N246" s="87"/>
      <c r="O246" s="87"/>
      <c r="P246" s="87"/>
      <c r="AA246" s="88" t="s">
        <v>136</v>
      </c>
      <c r="AB246" s="88"/>
      <c r="AC246" s="88"/>
      <c r="AD246" s="88"/>
      <c r="AE246" s="88"/>
      <c r="AF246" s="89" t="str">
        <f aca="false">Dashboard!$C$6</f>
        <v>Bindhya TB</v>
      </c>
      <c r="AG246" s="89"/>
      <c r="AH246" s="89"/>
      <c r="AI246" s="89"/>
      <c r="AJ246" s="89"/>
      <c r="AK246" s="89"/>
      <c r="AL246" s="89"/>
      <c r="AM246" s="89"/>
      <c r="AN246" s="89"/>
      <c r="AO246" s="89"/>
      <c r="AP246" s="89"/>
      <c r="AR246" s="88" t="s">
        <v>137</v>
      </c>
      <c r="AS246" s="88"/>
      <c r="AT246" s="89" t="str">
        <f aca="false">TEXT(Cal!H3,"dd mmm")&amp;" to "&amp;TEXT(Cal!I3,"dd mmm yy")</f>
        <v>05 Oct to 10 Oct 26</v>
      </c>
      <c r="AU246" s="89"/>
      <c r="AV246" s="89"/>
      <c r="AW246" s="89"/>
      <c r="AX246" s="89"/>
      <c r="AY246" s="89"/>
      <c r="AZ246" s="89"/>
      <c r="BA246" s="89"/>
      <c r="BB246" s="89"/>
      <c r="BC246" s="89"/>
    </row>
    <row r="247" customFormat="false" ht="3" hidden="false" customHeight="true" outlineLevel="0" collapsed="false"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</row>
    <row r="248" customFormat="false" ht="9.75" hidden="false" customHeight="true" outlineLevel="0" collapsed="false"/>
    <row r="249" customFormat="false" ht="21.75" hidden="false" customHeight="true" outlineLevel="0" collapsed="false">
      <c r="B249" s="6"/>
      <c r="C249" s="19" t="s">
        <v>157</v>
      </c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59" t="s">
        <v>158</v>
      </c>
      <c r="AM249" s="59"/>
      <c r="AN249" s="59"/>
      <c r="AO249" s="59"/>
      <c r="AP249" s="59"/>
      <c r="AQ249" s="59"/>
      <c r="AR249" s="59"/>
      <c r="AS249" s="59"/>
      <c r="AT249" s="59"/>
      <c r="AU249" s="59"/>
      <c r="AV249" s="59"/>
      <c r="AW249" s="59"/>
      <c r="AX249" s="59"/>
      <c r="AY249" s="59"/>
      <c r="AZ249" s="59"/>
      <c r="BA249" s="59"/>
      <c r="BB249" s="59"/>
      <c r="BC249" s="59"/>
    </row>
    <row r="250" customFormat="false" ht="27.75" hidden="false" customHeight="true" outlineLevel="0" collapsed="false">
      <c r="B250" s="79" t="s">
        <v>124</v>
      </c>
      <c r="C250" s="79"/>
      <c r="D250" s="80" t="s">
        <v>140</v>
      </c>
      <c r="E250" s="80"/>
      <c r="F250" s="80"/>
      <c r="G250" s="80"/>
      <c r="H250" s="80" t="s">
        <v>126</v>
      </c>
      <c r="I250" s="80"/>
      <c r="J250" s="80"/>
      <c r="K250" s="80"/>
      <c r="L250" s="80"/>
      <c r="M250" s="80"/>
      <c r="N250" s="80"/>
      <c r="O250" s="80" t="s">
        <v>159</v>
      </c>
      <c r="P250" s="80"/>
      <c r="Q250" s="80"/>
      <c r="R250" s="80"/>
      <c r="S250" s="80"/>
      <c r="T250" s="80"/>
      <c r="U250" s="80"/>
      <c r="V250" s="80"/>
      <c r="W250" s="80"/>
      <c r="X250" s="80"/>
      <c r="Y250" s="80"/>
      <c r="Z250" s="80"/>
      <c r="AA250" s="80"/>
      <c r="AB250" s="80"/>
      <c r="AC250" s="80"/>
      <c r="AD250" s="80"/>
      <c r="AE250" s="80" t="s">
        <v>160</v>
      </c>
      <c r="AF250" s="80"/>
      <c r="AG250" s="80"/>
      <c r="AH250" s="80"/>
      <c r="AI250" s="80" t="s">
        <v>161</v>
      </c>
      <c r="AJ250" s="80"/>
      <c r="AK250" s="80"/>
      <c r="AL250" s="80"/>
      <c r="AM250" s="80"/>
      <c r="AN250" s="80"/>
      <c r="AO250" s="80"/>
      <c r="AP250" s="80"/>
      <c r="AQ250" s="80"/>
      <c r="AR250" s="80"/>
      <c r="AS250" s="80"/>
      <c r="AT250" s="80"/>
      <c r="AU250" s="80"/>
      <c r="AV250" s="80"/>
      <c r="AW250" s="80" t="s">
        <v>162</v>
      </c>
      <c r="AX250" s="80"/>
      <c r="AY250" s="80"/>
      <c r="AZ250" s="80"/>
      <c r="BA250" s="80"/>
      <c r="BB250" s="80"/>
      <c r="BC250" s="80"/>
    </row>
    <row r="251" customFormat="false" ht="27.75" hidden="false" customHeight="true" outlineLevel="0" collapsed="false">
      <c r="B251" s="81" t="n">
        <v>1</v>
      </c>
      <c r="C251" s="81"/>
      <c r="D251" s="82"/>
      <c r="E251" s="82"/>
      <c r="F251" s="82"/>
      <c r="G251" s="82"/>
      <c r="H251" s="83"/>
      <c r="I251" s="83"/>
      <c r="J251" s="83"/>
      <c r="K251" s="83"/>
      <c r="L251" s="83"/>
      <c r="M251" s="83"/>
      <c r="N251" s="83"/>
      <c r="O251" s="83"/>
      <c r="P251" s="83"/>
      <c r="Q251" s="83"/>
      <c r="R251" s="83"/>
      <c r="S251" s="83"/>
      <c r="T251" s="83"/>
      <c r="U251" s="83"/>
      <c r="V251" s="83"/>
      <c r="W251" s="83"/>
      <c r="X251" s="83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  <c r="AI251" s="83"/>
      <c r="AJ251" s="83"/>
      <c r="AK251" s="83"/>
      <c r="AL251" s="83"/>
      <c r="AM251" s="83"/>
      <c r="AN251" s="83"/>
      <c r="AO251" s="83"/>
      <c r="AP251" s="83"/>
      <c r="AQ251" s="83"/>
      <c r="AR251" s="83"/>
      <c r="AS251" s="83"/>
      <c r="AT251" s="83"/>
      <c r="AU251" s="83"/>
      <c r="AV251" s="83"/>
      <c r="AW251" s="83"/>
      <c r="AX251" s="83"/>
      <c r="AY251" s="83"/>
      <c r="AZ251" s="83"/>
      <c r="BA251" s="83"/>
      <c r="BB251" s="83"/>
      <c r="BC251" s="83"/>
    </row>
    <row r="252" customFormat="false" ht="27.75" hidden="false" customHeight="true" outlineLevel="0" collapsed="false">
      <c r="B252" s="81" t="n">
        <v>2</v>
      </c>
      <c r="C252" s="81"/>
      <c r="D252" s="82"/>
      <c r="E252" s="82"/>
      <c r="F252" s="82"/>
      <c r="G252" s="82"/>
      <c r="H252" s="83"/>
      <c r="I252" s="83"/>
      <c r="J252" s="83"/>
      <c r="K252" s="83"/>
      <c r="L252" s="83"/>
      <c r="M252" s="83"/>
      <c r="N252" s="83"/>
      <c r="O252" s="83"/>
      <c r="P252" s="83"/>
      <c r="Q252" s="83"/>
      <c r="R252" s="83"/>
      <c r="S252" s="83"/>
      <c r="T252" s="83"/>
      <c r="U252" s="83"/>
      <c r="V252" s="83"/>
      <c r="W252" s="83"/>
      <c r="X252" s="83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  <c r="AI252" s="83"/>
      <c r="AJ252" s="83"/>
      <c r="AK252" s="83"/>
      <c r="AL252" s="83"/>
      <c r="AM252" s="83"/>
      <c r="AN252" s="83"/>
      <c r="AO252" s="83"/>
      <c r="AP252" s="83"/>
      <c r="AQ252" s="83"/>
      <c r="AR252" s="83"/>
      <c r="AS252" s="83"/>
      <c r="AT252" s="83"/>
      <c r="AU252" s="83"/>
      <c r="AV252" s="83"/>
      <c r="AW252" s="83"/>
      <c r="AX252" s="83"/>
      <c r="AY252" s="83"/>
      <c r="AZ252" s="83"/>
      <c r="BA252" s="83"/>
      <c r="BB252" s="83"/>
      <c r="BC252" s="83"/>
    </row>
    <row r="253" customFormat="false" ht="27.75" hidden="false" customHeight="true" outlineLevel="0" collapsed="false">
      <c r="B253" s="81" t="n">
        <v>3</v>
      </c>
      <c r="C253" s="81"/>
      <c r="D253" s="82"/>
      <c r="E253" s="82"/>
      <c r="F253" s="82"/>
      <c r="G253" s="82"/>
      <c r="H253" s="83"/>
      <c r="I253" s="83"/>
      <c r="J253" s="83"/>
      <c r="K253" s="83"/>
      <c r="L253" s="83"/>
      <c r="M253" s="83"/>
      <c r="N253" s="83"/>
      <c r="O253" s="83"/>
      <c r="P253" s="83"/>
      <c r="Q253" s="83"/>
      <c r="R253" s="83"/>
      <c r="S253" s="83"/>
      <c r="T253" s="83"/>
      <c r="U253" s="83"/>
      <c r="V253" s="83"/>
      <c r="W253" s="83"/>
      <c r="X253" s="83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  <c r="AI253" s="83"/>
      <c r="AJ253" s="83"/>
      <c r="AK253" s="83"/>
      <c r="AL253" s="83"/>
      <c r="AM253" s="83"/>
      <c r="AN253" s="83"/>
      <c r="AO253" s="83"/>
      <c r="AP253" s="83"/>
      <c r="AQ253" s="83"/>
      <c r="AR253" s="83"/>
      <c r="AS253" s="83"/>
      <c r="AT253" s="83"/>
      <c r="AU253" s="83"/>
      <c r="AV253" s="83"/>
      <c r="AW253" s="83"/>
      <c r="AX253" s="83"/>
      <c r="AY253" s="83"/>
      <c r="AZ253" s="83"/>
      <c r="BA253" s="83"/>
      <c r="BB253" s="83"/>
      <c r="BC253" s="83"/>
    </row>
    <row r="254" customFormat="false" ht="27.75" hidden="false" customHeight="true" outlineLevel="0" collapsed="false">
      <c r="B254" s="81" t="n">
        <v>4</v>
      </c>
      <c r="C254" s="81"/>
      <c r="D254" s="82"/>
      <c r="E254" s="82"/>
      <c r="F254" s="82"/>
      <c r="G254" s="82"/>
      <c r="H254" s="83"/>
      <c r="I254" s="83"/>
      <c r="J254" s="83"/>
      <c r="K254" s="83"/>
      <c r="L254" s="83"/>
      <c r="M254" s="83"/>
      <c r="N254" s="83"/>
      <c r="O254" s="83"/>
      <c r="P254" s="83"/>
      <c r="Q254" s="83"/>
      <c r="R254" s="83"/>
      <c r="S254" s="83"/>
      <c r="T254" s="83"/>
      <c r="U254" s="83"/>
      <c r="V254" s="83"/>
      <c r="W254" s="83"/>
      <c r="X254" s="83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  <c r="AI254" s="83"/>
      <c r="AJ254" s="83"/>
      <c r="AK254" s="83"/>
      <c r="AL254" s="83"/>
      <c r="AM254" s="83"/>
      <c r="AN254" s="83"/>
      <c r="AO254" s="83"/>
      <c r="AP254" s="83"/>
      <c r="AQ254" s="83"/>
      <c r="AR254" s="83"/>
      <c r="AS254" s="83"/>
      <c r="AT254" s="83"/>
      <c r="AU254" s="83"/>
      <c r="AV254" s="83"/>
      <c r="AW254" s="83"/>
      <c r="AX254" s="83"/>
      <c r="AY254" s="83"/>
      <c r="AZ254" s="83"/>
      <c r="BA254" s="83"/>
      <c r="BB254" s="83"/>
      <c r="BC254" s="83"/>
    </row>
    <row r="255" customFormat="false" ht="27.75" hidden="false" customHeight="true" outlineLevel="0" collapsed="false">
      <c r="B255" s="81" t="n">
        <v>5</v>
      </c>
      <c r="C255" s="81"/>
      <c r="D255" s="82"/>
      <c r="E255" s="82"/>
      <c r="F255" s="82"/>
      <c r="G255" s="82"/>
      <c r="H255" s="83"/>
      <c r="I255" s="83"/>
      <c r="J255" s="83"/>
      <c r="K255" s="83"/>
      <c r="L255" s="83"/>
      <c r="M255" s="83"/>
      <c r="N255" s="83"/>
      <c r="O255" s="83"/>
      <c r="P255" s="83"/>
      <c r="Q255" s="83"/>
      <c r="R255" s="83"/>
      <c r="S255" s="83"/>
      <c r="T255" s="83"/>
      <c r="U255" s="83"/>
      <c r="V255" s="83"/>
      <c r="W255" s="83"/>
      <c r="X255" s="83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  <c r="AI255" s="83"/>
      <c r="AJ255" s="83"/>
      <c r="AK255" s="83"/>
      <c r="AL255" s="83"/>
      <c r="AM255" s="83"/>
      <c r="AN255" s="83"/>
      <c r="AO255" s="83"/>
      <c r="AP255" s="83"/>
      <c r="AQ255" s="83"/>
      <c r="AR255" s="83"/>
      <c r="AS255" s="83"/>
      <c r="AT255" s="83"/>
      <c r="AU255" s="83"/>
      <c r="AV255" s="83"/>
      <c r="AW255" s="83"/>
      <c r="AX255" s="83"/>
      <c r="AY255" s="83"/>
      <c r="AZ255" s="83"/>
      <c r="BA255" s="83"/>
      <c r="BB255" s="83"/>
      <c r="BC255" s="83"/>
    </row>
    <row r="256" customFormat="false" ht="24" hidden="false" customHeight="true" outlineLevel="0" collapsed="false">
      <c r="B256" s="84" t="s">
        <v>132</v>
      </c>
      <c r="C256" s="84"/>
      <c r="E256" s="85" t="s">
        <v>163</v>
      </c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  <c r="AE256" s="85"/>
      <c r="AF256" s="85"/>
      <c r="AG256" s="85"/>
      <c r="AH256" s="85"/>
      <c r="AI256" s="85"/>
      <c r="AJ256" s="85"/>
      <c r="AK256" s="85"/>
      <c r="AL256" s="85"/>
      <c r="AM256" s="85"/>
      <c r="AN256" s="85"/>
      <c r="AO256" s="85"/>
      <c r="AP256" s="85"/>
      <c r="AQ256" s="85"/>
      <c r="AR256" s="85"/>
      <c r="AS256" s="85"/>
      <c r="AT256" s="85"/>
      <c r="AU256" s="85"/>
      <c r="AV256" s="85"/>
      <c r="AW256" s="85"/>
      <c r="AX256" s="85"/>
      <c r="AY256" s="85"/>
      <c r="AZ256" s="85"/>
      <c r="BA256" s="85"/>
      <c r="BB256" s="85"/>
      <c r="BC256" s="85"/>
    </row>
    <row r="257" customFormat="false" ht="9.75" hidden="false" customHeight="true" outlineLevel="0" collapsed="false"/>
    <row r="258" customFormat="false" ht="21.75" hidden="false" customHeight="true" outlineLevel="0" collapsed="false">
      <c r="B258" s="6"/>
      <c r="C258" s="19" t="s">
        <v>164</v>
      </c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59" t="s">
        <v>165</v>
      </c>
      <c r="AM258" s="59"/>
      <c r="AN258" s="59"/>
      <c r="AO258" s="59"/>
      <c r="AP258" s="59"/>
      <c r="AQ258" s="59"/>
      <c r="AR258" s="59"/>
      <c r="AS258" s="59"/>
      <c r="AT258" s="59"/>
      <c r="AU258" s="59"/>
      <c r="AV258" s="59"/>
      <c r="AW258" s="59"/>
      <c r="AX258" s="59"/>
      <c r="AY258" s="59"/>
      <c r="AZ258" s="59"/>
      <c r="BA258" s="59"/>
      <c r="BB258" s="59"/>
      <c r="BC258" s="59"/>
    </row>
    <row r="259" customFormat="false" ht="27.75" hidden="false" customHeight="true" outlineLevel="0" collapsed="false">
      <c r="B259" s="79" t="s">
        <v>124</v>
      </c>
      <c r="C259" s="79"/>
      <c r="D259" s="80" t="s">
        <v>140</v>
      </c>
      <c r="E259" s="80"/>
      <c r="F259" s="80"/>
      <c r="G259" s="80"/>
      <c r="H259" s="80" t="s">
        <v>127</v>
      </c>
      <c r="I259" s="80"/>
      <c r="J259" s="80"/>
      <c r="K259" s="80"/>
      <c r="L259" s="80"/>
      <c r="M259" s="80"/>
      <c r="N259" s="80"/>
      <c r="O259" s="80"/>
      <c r="P259" s="80"/>
      <c r="Q259" s="80" t="s">
        <v>126</v>
      </c>
      <c r="R259" s="80"/>
      <c r="S259" s="80"/>
      <c r="T259" s="80"/>
      <c r="U259" s="80"/>
      <c r="V259" s="80"/>
      <c r="W259" s="80"/>
      <c r="X259" s="80" t="s">
        <v>166</v>
      </c>
      <c r="Y259" s="80"/>
      <c r="Z259" s="80"/>
      <c r="AA259" s="80"/>
      <c r="AB259" s="80"/>
      <c r="AC259" s="80" t="s">
        <v>167</v>
      </c>
      <c r="AD259" s="80"/>
      <c r="AE259" s="80"/>
      <c r="AF259" s="80"/>
      <c r="AG259" s="80"/>
      <c r="AH259" s="80" t="s">
        <v>149</v>
      </c>
      <c r="AI259" s="80"/>
      <c r="AJ259" s="80"/>
      <c r="AK259" s="80"/>
      <c r="AL259" s="80" t="s">
        <v>168</v>
      </c>
      <c r="AM259" s="80"/>
      <c r="AN259" s="80"/>
      <c r="AO259" s="80"/>
      <c r="AP259" s="80"/>
      <c r="AQ259" s="80"/>
      <c r="AR259" s="80"/>
      <c r="AS259" s="80"/>
      <c r="AT259" s="80"/>
      <c r="AU259" s="80"/>
      <c r="AV259" s="80"/>
      <c r="AW259" s="80"/>
      <c r="AX259" s="80"/>
      <c r="AY259" s="80"/>
      <c r="AZ259" s="80"/>
      <c r="BA259" s="80"/>
      <c r="BB259" s="80"/>
      <c r="BC259" s="80"/>
    </row>
    <row r="260" customFormat="false" ht="27.75" hidden="false" customHeight="true" outlineLevel="0" collapsed="false">
      <c r="B260" s="81" t="n">
        <v>1</v>
      </c>
      <c r="C260" s="81"/>
      <c r="D260" s="82"/>
      <c r="E260" s="82"/>
      <c r="F260" s="82"/>
      <c r="G260" s="82"/>
      <c r="H260" s="83"/>
      <c r="I260" s="83"/>
      <c r="J260" s="83"/>
      <c r="K260" s="83"/>
      <c r="L260" s="83"/>
      <c r="M260" s="83"/>
      <c r="N260" s="83"/>
      <c r="O260" s="83"/>
      <c r="P260" s="83"/>
      <c r="Q260" s="83"/>
      <c r="R260" s="83"/>
      <c r="S260" s="83"/>
      <c r="T260" s="83"/>
      <c r="U260" s="83"/>
      <c r="V260" s="83"/>
      <c r="W260" s="83"/>
      <c r="X260" s="83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  <c r="AI260" s="83"/>
      <c r="AJ260" s="83"/>
      <c r="AK260" s="83"/>
      <c r="AL260" s="83"/>
      <c r="AM260" s="83"/>
      <c r="AN260" s="83"/>
      <c r="AO260" s="83"/>
      <c r="AP260" s="83"/>
      <c r="AQ260" s="83"/>
      <c r="AR260" s="83"/>
      <c r="AS260" s="83"/>
      <c r="AT260" s="83"/>
      <c r="AU260" s="83"/>
      <c r="AV260" s="83"/>
      <c r="AW260" s="83"/>
      <c r="AX260" s="83"/>
      <c r="AY260" s="83"/>
      <c r="AZ260" s="83"/>
      <c r="BA260" s="83"/>
      <c r="BB260" s="83"/>
      <c r="BC260" s="83"/>
    </row>
    <row r="261" customFormat="false" ht="27.75" hidden="false" customHeight="true" outlineLevel="0" collapsed="false">
      <c r="B261" s="81" t="n">
        <v>2</v>
      </c>
      <c r="C261" s="81"/>
      <c r="D261" s="82"/>
      <c r="E261" s="82"/>
      <c r="F261" s="82"/>
      <c r="G261" s="82"/>
      <c r="H261" s="83"/>
      <c r="I261" s="83"/>
      <c r="J261" s="83"/>
      <c r="K261" s="83"/>
      <c r="L261" s="83"/>
      <c r="M261" s="83"/>
      <c r="N261" s="83"/>
      <c r="O261" s="83"/>
      <c r="P261" s="83"/>
      <c r="Q261" s="83"/>
      <c r="R261" s="83"/>
      <c r="S261" s="83"/>
      <c r="T261" s="83"/>
      <c r="U261" s="83"/>
      <c r="V261" s="83"/>
      <c r="W261" s="83"/>
      <c r="X261" s="83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  <c r="AI261" s="83"/>
      <c r="AJ261" s="83"/>
      <c r="AK261" s="83"/>
      <c r="AL261" s="83"/>
      <c r="AM261" s="83"/>
      <c r="AN261" s="83"/>
      <c r="AO261" s="83"/>
      <c r="AP261" s="83"/>
      <c r="AQ261" s="83"/>
      <c r="AR261" s="83"/>
      <c r="AS261" s="83"/>
      <c r="AT261" s="83"/>
      <c r="AU261" s="83"/>
      <c r="AV261" s="83"/>
      <c r="AW261" s="83"/>
      <c r="AX261" s="83"/>
      <c r="AY261" s="83"/>
      <c r="AZ261" s="83"/>
      <c r="BA261" s="83"/>
      <c r="BB261" s="83"/>
      <c r="BC261" s="83"/>
    </row>
    <row r="262" customFormat="false" ht="27.75" hidden="false" customHeight="true" outlineLevel="0" collapsed="false">
      <c r="B262" s="81" t="n">
        <v>3</v>
      </c>
      <c r="C262" s="81"/>
      <c r="D262" s="82"/>
      <c r="E262" s="82"/>
      <c r="F262" s="82"/>
      <c r="G262" s="82"/>
      <c r="H262" s="83"/>
      <c r="I262" s="83"/>
      <c r="J262" s="83"/>
      <c r="K262" s="83"/>
      <c r="L262" s="83"/>
      <c r="M262" s="83"/>
      <c r="N262" s="83"/>
      <c r="O262" s="83"/>
      <c r="P262" s="83"/>
      <c r="Q262" s="83"/>
      <c r="R262" s="83"/>
      <c r="S262" s="83"/>
      <c r="T262" s="83"/>
      <c r="U262" s="83"/>
      <c r="V262" s="83"/>
      <c r="W262" s="83"/>
      <c r="X262" s="83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  <c r="AI262" s="83"/>
      <c r="AJ262" s="83"/>
      <c r="AK262" s="83"/>
      <c r="AL262" s="83"/>
      <c r="AM262" s="83"/>
      <c r="AN262" s="83"/>
      <c r="AO262" s="83"/>
      <c r="AP262" s="83"/>
      <c r="AQ262" s="83"/>
      <c r="AR262" s="83"/>
      <c r="AS262" s="83"/>
      <c r="AT262" s="83"/>
      <c r="AU262" s="83"/>
      <c r="AV262" s="83"/>
      <c r="AW262" s="83"/>
      <c r="AX262" s="83"/>
      <c r="AY262" s="83"/>
      <c r="AZ262" s="83"/>
      <c r="BA262" s="83"/>
      <c r="BB262" s="83"/>
      <c r="BC262" s="83"/>
    </row>
    <row r="263" customFormat="false" ht="27.75" hidden="false" customHeight="true" outlineLevel="0" collapsed="false">
      <c r="B263" s="81" t="n">
        <v>4</v>
      </c>
      <c r="C263" s="81"/>
      <c r="D263" s="82"/>
      <c r="E263" s="82"/>
      <c r="F263" s="82"/>
      <c r="G263" s="82"/>
      <c r="H263" s="83"/>
      <c r="I263" s="83"/>
      <c r="J263" s="83"/>
      <c r="K263" s="83"/>
      <c r="L263" s="83"/>
      <c r="M263" s="83"/>
      <c r="N263" s="83"/>
      <c r="O263" s="83"/>
      <c r="P263" s="83"/>
      <c r="Q263" s="83"/>
      <c r="R263" s="83"/>
      <c r="S263" s="83"/>
      <c r="T263" s="83"/>
      <c r="U263" s="83"/>
      <c r="V263" s="83"/>
      <c r="W263" s="83"/>
      <c r="X263" s="83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  <c r="AI263" s="83"/>
      <c r="AJ263" s="83"/>
      <c r="AK263" s="83"/>
      <c r="AL263" s="83"/>
      <c r="AM263" s="83"/>
      <c r="AN263" s="83"/>
      <c r="AO263" s="83"/>
      <c r="AP263" s="83"/>
      <c r="AQ263" s="83"/>
      <c r="AR263" s="83"/>
      <c r="AS263" s="83"/>
      <c r="AT263" s="83"/>
      <c r="AU263" s="83"/>
      <c r="AV263" s="83"/>
      <c r="AW263" s="83"/>
      <c r="AX263" s="83"/>
      <c r="AY263" s="83"/>
      <c r="AZ263" s="83"/>
      <c r="BA263" s="83"/>
      <c r="BB263" s="83"/>
      <c r="BC263" s="83"/>
    </row>
    <row r="264" customFormat="false" ht="27.75" hidden="false" customHeight="true" outlineLevel="0" collapsed="false">
      <c r="B264" s="81" t="n">
        <v>5</v>
      </c>
      <c r="C264" s="81"/>
      <c r="D264" s="82"/>
      <c r="E264" s="82"/>
      <c r="F264" s="82"/>
      <c r="G264" s="82"/>
      <c r="H264" s="83"/>
      <c r="I264" s="83"/>
      <c r="J264" s="83"/>
      <c r="K264" s="83"/>
      <c r="L264" s="83"/>
      <c r="M264" s="83"/>
      <c r="N264" s="83"/>
      <c r="O264" s="83"/>
      <c r="P264" s="83"/>
      <c r="Q264" s="83"/>
      <c r="R264" s="83"/>
      <c r="S264" s="83"/>
      <c r="T264" s="83"/>
      <c r="U264" s="83"/>
      <c r="V264" s="83"/>
      <c r="W264" s="83"/>
      <c r="X264" s="83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  <c r="AI264" s="83"/>
      <c r="AJ264" s="83"/>
      <c r="AK264" s="83"/>
      <c r="AL264" s="83"/>
      <c r="AM264" s="83"/>
      <c r="AN264" s="83"/>
      <c r="AO264" s="83"/>
      <c r="AP264" s="83"/>
      <c r="AQ264" s="83"/>
      <c r="AR264" s="83"/>
      <c r="AS264" s="83"/>
      <c r="AT264" s="83"/>
      <c r="AU264" s="83"/>
      <c r="AV264" s="83"/>
      <c r="AW264" s="83"/>
      <c r="AX264" s="83"/>
      <c r="AY264" s="83"/>
      <c r="AZ264" s="83"/>
      <c r="BA264" s="83"/>
      <c r="BB264" s="83"/>
      <c r="BC264" s="83"/>
    </row>
    <row r="265" customFormat="false" ht="24" hidden="false" customHeight="true" outlineLevel="0" collapsed="false">
      <c r="B265" s="84" t="s">
        <v>132</v>
      </c>
      <c r="C265" s="84"/>
      <c r="E265" s="85" t="s">
        <v>169</v>
      </c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  <c r="AE265" s="85"/>
      <c r="AF265" s="85"/>
      <c r="AG265" s="85"/>
      <c r="AH265" s="85"/>
      <c r="AI265" s="85"/>
      <c r="AJ265" s="85"/>
      <c r="AK265" s="85"/>
      <c r="AL265" s="85"/>
      <c r="AM265" s="85"/>
      <c r="AN265" s="85"/>
      <c r="AO265" s="85"/>
      <c r="AP265" s="85"/>
      <c r="AQ265" s="85"/>
      <c r="AR265" s="85"/>
      <c r="AS265" s="85"/>
      <c r="AT265" s="85"/>
      <c r="AU265" s="85"/>
      <c r="AV265" s="85"/>
      <c r="AW265" s="85"/>
      <c r="AX265" s="85"/>
      <c r="AY265" s="85"/>
      <c r="AZ265" s="85"/>
      <c r="BA265" s="85"/>
      <c r="BB265" s="85"/>
      <c r="BC265" s="85"/>
    </row>
    <row r="266" customFormat="false" ht="84" hidden="false" customHeight="true" outlineLevel="0" collapsed="false"/>
    <row r="267" customFormat="false" ht="18" hidden="false" customHeight="true" outlineLevel="0" collapsed="false">
      <c r="B267" s="75" t="s">
        <v>134</v>
      </c>
      <c r="C267" s="75"/>
      <c r="D267" s="75"/>
      <c r="E267" s="75"/>
      <c r="F267" s="75"/>
      <c r="G267" s="75"/>
      <c r="H267" s="75"/>
      <c r="I267" s="75"/>
      <c r="J267" s="75"/>
      <c r="K267" s="75"/>
      <c r="L267" s="75"/>
      <c r="M267" s="75"/>
      <c r="N267" s="75"/>
      <c r="O267" s="75"/>
      <c r="P267" s="75"/>
      <c r="Q267" s="75"/>
      <c r="R267" s="75"/>
      <c r="S267" s="75"/>
      <c r="T267" s="75"/>
      <c r="U267" s="75"/>
      <c r="V267" s="75"/>
      <c r="W267" s="75"/>
      <c r="X267" s="75"/>
      <c r="Y267" s="75"/>
      <c r="Z267" s="75"/>
      <c r="AA267" s="75"/>
      <c r="AB267" s="76" t="s">
        <v>170</v>
      </c>
      <c r="AC267" s="76"/>
      <c r="AD267" s="76"/>
      <c r="AE267" s="76"/>
      <c r="AF267" s="76"/>
      <c r="AG267" s="76"/>
      <c r="AH267" s="76"/>
      <c r="AI267" s="76"/>
      <c r="AJ267" s="76"/>
      <c r="AK267" s="76"/>
      <c r="AL267" s="76"/>
      <c r="AM267" s="76"/>
      <c r="AN267" s="76"/>
      <c r="AO267" s="76"/>
      <c r="AP267" s="76"/>
      <c r="AQ267" s="76"/>
      <c r="AR267" s="76"/>
      <c r="AS267" s="76"/>
      <c r="AT267" s="76"/>
      <c r="AU267" s="76"/>
      <c r="AV267" s="76"/>
      <c r="AW267" s="76"/>
      <c r="AX267" s="76"/>
      <c r="AY267" s="76"/>
      <c r="AZ267" s="76"/>
      <c r="BA267" s="76"/>
      <c r="BB267" s="76"/>
      <c r="BC267" s="76"/>
    </row>
    <row r="268" customFormat="false" ht="7.5" hidden="false" customHeight="true" outlineLevel="0" collapsed="false"/>
    <row r="269" customFormat="false" ht="24" hidden="false" customHeight="true" outlineLevel="0" collapsed="false">
      <c r="B269" s="86" t="s">
        <v>115</v>
      </c>
      <c r="C269" s="86"/>
      <c r="D269" s="86"/>
      <c r="E269" s="86"/>
      <c r="F269" s="86"/>
      <c r="H269" s="87" t="s">
        <v>116</v>
      </c>
      <c r="I269" s="87"/>
      <c r="J269" s="87"/>
      <c r="K269" s="87"/>
      <c r="L269" s="87"/>
      <c r="M269" s="87"/>
      <c r="N269" s="87"/>
      <c r="O269" s="87"/>
      <c r="P269" s="87"/>
      <c r="AA269" s="88" t="s">
        <v>136</v>
      </c>
      <c r="AB269" s="88"/>
      <c r="AC269" s="88"/>
      <c r="AD269" s="88"/>
      <c r="AE269" s="88"/>
      <c r="AF269" s="89" t="str">
        <f aca="false">Dashboard!$C$6</f>
        <v>Bindhya TB</v>
      </c>
      <c r="AG269" s="89"/>
      <c r="AH269" s="89"/>
      <c r="AI269" s="89"/>
      <c r="AJ269" s="89"/>
      <c r="AK269" s="89"/>
      <c r="AL269" s="89"/>
      <c r="AM269" s="89"/>
      <c r="AN269" s="89"/>
      <c r="AO269" s="89"/>
      <c r="AP269" s="89"/>
      <c r="AR269" s="88" t="s">
        <v>137</v>
      </c>
      <c r="AS269" s="88"/>
      <c r="AT269" s="89" t="str">
        <f aca="false">TEXT(Cal!H3,"dd mmm")&amp;" to "&amp;TEXT(Cal!I3,"dd mmm yy")</f>
        <v>05 Oct to 10 Oct 26</v>
      </c>
      <c r="AU269" s="89"/>
      <c r="AV269" s="89"/>
      <c r="AW269" s="89"/>
      <c r="AX269" s="89"/>
      <c r="AY269" s="89"/>
      <c r="AZ269" s="89"/>
      <c r="BA269" s="89"/>
      <c r="BB269" s="89"/>
      <c r="BC269" s="89"/>
    </row>
    <row r="270" customFormat="false" ht="3" hidden="false" customHeight="true" outlineLevel="0" collapsed="false"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</row>
    <row r="271" customFormat="false" ht="9.75" hidden="false" customHeight="true" outlineLevel="0" collapsed="false"/>
    <row r="272" customFormat="false" ht="21.75" hidden="false" customHeight="true" outlineLevel="0" collapsed="false">
      <c r="B272" s="6"/>
      <c r="C272" s="19" t="s">
        <v>171</v>
      </c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59" t="s">
        <v>172</v>
      </c>
      <c r="AM272" s="59"/>
      <c r="AN272" s="59"/>
      <c r="AO272" s="59"/>
      <c r="AP272" s="59"/>
      <c r="AQ272" s="59"/>
      <c r="AR272" s="59"/>
      <c r="AS272" s="59"/>
      <c r="AT272" s="59"/>
      <c r="AU272" s="59"/>
      <c r="AV272" s="59"/>
      <c r="AW272" s="59"/>
      <c r="AX272" s="59"/>
      <c r="AY272" s="59"/>
      <c r="AZ272" s="59"/>
      <c r="BA272" s="59"/>
      <c r="BB272" s="59"/>
      <c r="BC272" s="59"/>
    </row>
    <row r="273" customFormat="false" ht="27.75" hidden="false" customHeight="true" outlineLevel="0" collapsed="false">
      <c r="B273" s="79" t="s">
        <v>124</v>
      </c>
      <c r="C273" s="79"/>
      <c r="D273" s="80" t="s">
        <v>140</v>
      </c>
      <c r="E273" s="80"/>
      <c r="F273" s="80"/>
      <c r="G273" s="80"/>
      <c r="H273" s="80" t="s">
        <v>173</v>
      </c>
      <c r="I273" s="80"/>
      <c r="J273" s="80"/>
      <c r="K273" s="80"/>
      <c r="L273" s="80" t="s">
        <v>159</v>
      </c>
      <c r="M273" s="80"/>
      <c r="N273" s="80"/>
      <c r="O273" s="80"/>
      <c r="P273" s="80"/>
      <c r="Q273" s="80"/>
      <c r="R273" s="80"/>
      <c r="S273" s="80"/>
      <c r="T273" s="80"/>
      <c r="U273" s="80"/>
      <c r="V273" s="80"/>
      <c r="W273" s="80"/>
      <c r="X273" s="80"/>
      <c r="Y273" s="80"/>
      <c r="Z273" s="80"/>
      <c r="AA273" s="80"/>
      <c r="AB273" s="80"/>
      <c r="AC273" s="80"/>
      <c r="AD273" s="80"/>
      <c r="AE273" s="80"/>
      <c r="AF273" s="80"/>
      <c r="AG273" s="80"/>
      <c r="AH273" s="80" t="s">
        <v>174</v>
      </c>
      <c r="AI273" s="80"/>
      <c r="AJ273" s="80"/>
      <c r="AK273" s="80"/>
      <c r="AL273" s="80" t="s">
        <v>175</v>
      </c>
      <c r="AM273" s="80"/>
      <c r="AN273" s="80"/>
      <c r="AO273" s="80"/>
      <c r="AP273" s="80"/>
      <c r="AQ273" s="80"/>
      <c r="AR273" s="80"/>
      <c r="AS273" s="80"/>
      <c r="AT273" s="80"/>
      <c r="AU273" s="80"/>
      <c r="AV273" s="80" t="s">
        <v>162</v>
      </c>
      <c r="AW273" s="80"/>
      <c r="AX273" s="80"/>
      <c r="AY273" s="80"/>
      <c r="AZ273" s="80"/>
      <c r="BA273" s="80"/>
      <c r="BB273" s="80"/>
      <c r="BC273" s="80"/>
    </row>
    <row r="274" customFormat="false" ht="27.75" hidden="false" customHeight="true" outlineLevel="0" collapsed="false">
      <c r="B274" s="81" t="n">
        <v>1</v>
      </c>
      <c r="C274" s="81"/>
      <c r="D274" s="82"/>
      <c r="E274" s="82"/>
      <c r="F274" s="82"/>
      <c r="G274" s="82"/>
      <c r="H274" s="83"/>
      <c r="I274" s="83"/>
      <c r="J274" s="83"/>
      <c r="K274" s="83"/>
      <c r="L274" s="83"/>
      <c r="M274" s="83"/>
      <c r="N274" s="83"/>
      <c r="O274" s="83"/>
      <c r="P274" s="83"/>
      <c r="Q274" s="83"/>
      <c r="R274" s="83"/>
      <c r="S274" s="83"/>
      <c r="T274" s="83"/>
      <c r="U274" s="83"/>
      <c r="V274" s="83"/>
      <c r="W274" s="83"/>
      <c r="X274" s="83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  <c r="AI274" s="83"/>
      <c r="AJ274" s="83"/>
      <c r="AK274" s="83"/>
      <c r="AL274" s="83"/>
      <c r="AM274" s="83"/>
      <c r="AN274" s="83"/>
      <c r="AO274" s="83"/>
      <c r="AP274" s="83"/>
      <c r="AQ274" s="83"/>
      <c r="AR274" s="83"/>
      <c r="AS274" s="83"/>
      <c r="AT274" s="83"/>
      <c r="AU274" s="83"/>
      <c r="AV274" s="83"/>
      <c r="AW274" s="83"/>
      <c r="AX274" s="83"/>
      <c r="AY274" s="83"/>
      <c r="AZ274" s="83"/>
      <c r="BA274" s="83"/>
      <c r="BB274" s="83"/>
      <c r="BC274" s="83"/>
    </row>
    <row r="275" customFormat="false" ht="27.75" hidden="false" customHeight="true" outlineLevel="0" collapsed="false">
      <c r="B275" s="81" t="n">
        <v>2</v>
      </c>
      <c r="C275" s="81"/>
      <c r="D275" s="82"/>
      <c r="E275" s="82"/>
      <c r="F275" s="82"/>
      <c r="G275" s="82"/>
      <c r="H275" s="83"/>
      <c r="I275" s="83"/>
      <c r="J275" s="83"/>
      <c r="K275" s="83"/>
      <c r="L275" s="83"/>
      <c r="M275" s="83"/>
      <c r="N275" s="83"/>
      <c r="O275" s="83"/>
      <c r="P275" s="83"/>
      <c r="Q275" s="83"/>
      <c r="R275" s="83"/>
      <c r="S275" s="83"/>
      <c r="T275" s="83"/>
      <c r="U275" s="83"/>
      <c r="V275" s="83"/>
      <c r="W275" s="83"/>
      <c r="X275" s="83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  <c r="AI275" s="83"/>
      <c r="AJ275" s="83"/>
      <c r="AK275" s="83"/>
      <c r="AL275" s="83"/>
      <c r="AM275" s="83"/>
      <c r="AN275" s="83"/>
      <c r="AO275" s="83"/>
      <c r="AP275" s="83"/>
      <c r="AQ275" s="83"/>
      <c r="AR275" s="83"/>
      <c r="AS275" s="83"/>
      <c r="AT275" s="83"/>
      <c r="AU275" s="83"/>
      <c r="AV275" s="83"/>
      <c r="AW275" s="83"/>
      <c r="AX275" s="83"/>
      <c r="AY275" s="83"/>
      <c r="AZ275" s="83"/>
      <c r="BA275" s="83"/>
      <c r="BB275" s="83"/>
      <c r="BC275" s="83"/>
    </row>
    <row r="276" customFormat="false" ht="27.75" hidden="false" customHeight="true" outlineLevel="0" collapsed="false">
      <c r="B276" s="81" t="n">
        <v>3</v>
      </c>
      <c r="C276" s="81"/>
      <c r="D276" s="82"/>
      <c r="E276" s="82"/>
      <c r="F276" s="82"/>
      <c r="G276" s="82"/>
      <c r="H276" s="83"/>
      <c r="I276" s="83"/>
      <c r="J276" s="83"/>
      <c r="K276" s="83"/>
      <c r="L276" s="83"/>
      <c r="M276" s="83"/>
      <c r="N276" s="83"/>
      <c r="O276" s="83"/>
      <c r="P276" s="83"/>
      <c r="Q276" s="83"/>
      <c r="R276" s="83"/>
      <c r="S276" s="83"/>
      <c r="T276" s="83"/>
      <c r="U276" s="83"/>
      <c r="V276" s="83"/>
      <c r="W276" s="83"/>
      <c r="X276" s="83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  <c r="AI276" s="83"/>
      <c r="AJ276" s="83"/>
      <c r="AK276" s="83"/>
      <c r="AL276" s="83"/>
      <c r="AM276" s="83"/>
      <c r="AN276" s="83"/>
      <c r="AO276" s="83"/>
      <c r="AP276" s="83"/>
      <c r="AQ276" s="83"/>
      <c r="AR276" s="83"/>
      <c r="AS276" s="83"/>
      <c r="AT276" s="83"/>
      <c r="AU276" s="83"/>
      <c r="AV276" s="83"/>
      <c r="AW276" s="83"/>
      <c r="AX276" s="83"/>
      <c r="AY276" s="83"/>
      <c r="AZ276" s="83"/>
      <c r="BA276" s="83"/>
      <c r="BB276" s="83"/>
      <c r="BC276" s="83"/>
    </row>
    <row r="277" customFormat="false" ht="27.75" hidden="false" customHeight="true" outlineLevel="0" collapsed="false">
      <c r="B277" s="81" t="n">
        <v>4</v>
      </c>
      <c r="C277" s="81"/>
      <c r="D277" s="82"/>
      <c r="E277" s="82"/>
      <c r="F277" s="82"/>
      <c r="G277" s="82"/>
      <c r="H277" s="83"/>
      <c r="I277" s="83"/>
      <c r="J277" s="83"/>
      <c r="K277" s="83"/>
      <c r="L277" s="83"/>
      <c r="M277" s="83"/>
      <c r="N277" s="83"/>
      <c r="O277" s="83"/>
      <c r="P277" s="83"/>
      <c r="Q277" s="83"/>
      <c r="R277" s="83"/>
      <c r="S277" s="83"/>
      <c r="T277" s="83"/>
      <c r="U277" s="83"/>
      <c r="V277" s="83"/>
      <c r="W277" s="83"/>
      <c r="X277" s="83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  <c r="AI277" s="83"/>
      <c r="AJ277" s="83"/>
      <c r="AK277" s="83"/>
      <c r="AL277" s="83"/>
      <c r="AM277" s="83"/>
      <c r="AN277" s="83"/>
      <c r="AO277" s="83"/>
      <c r="AP277" s="83"/>
      <c r="AQ277" s="83"/>
      <c r="AR277" s="83"/>
      <c r="AS277" s="83"/>
      <c r="AT277" s="83"/>
      <c r="AU277" s="83"/>
      <c r="AV277" s="83"/>
      <c r="AW277" s="83"/>
      <c r="AX277" s="83"/>
      <c r="AY277" s="83"/>
      <c r="AZ277" s="83"/>
      <c r="BA277" s="83"/>
      <c r="BB277" s="83"/>
      <c r="BC277" s="83"/>
    </row>
    <row r="278" customFormat="false" ht="27.75" hidden="false" customHeight="true" outlineLevel="0" collapsed="false">
      <c r="B278" s="81" t="n">
        <v>5</v>
      </c>
      <c r="C278" s="81"/>
      <c r="D278" s="82"/>
      <c r="E278" s="82"/>
      <c r="F278" s="82"/>
      <c r="G278" s="82"/>
      <c r="H278" s="83"/>
      <c r="I278" s="83"/>
      <c r="J278" s="83"/>
      <c r="K278" s="83"/>
      <c r="L278" s="83"/>
      <c r="M278" s="83"/>
      <c r="N278" s="83"/>
      <c r="O278" s="83"/>
      <c r="P278" s="83"/>
      <c r="Q278" s="83"/>
      <c r="R278" s="83"/>
      <c r="S278" s="83"/>
      <c r="T278" s="83"/>
      <c r="U278" s="83"/>
      <c r="V278" s="83"/>
      <c r="W278" s="83"/>
      <c r="X278" s="83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  <c r="AI278" s="83"/>
      <c r="AJ278" s="83"/>
      <c r="AK278" s="83"/>
      <c r="AL278" s="83"/>
      <c r="AM278" s="83"/>
      <c r="AN278" s="83"/>
      <c r="AO278" s="83"/>
      <c r="AP278" s="83"/>
      <c r="AQ278" s="83"/>
      <c r="AR278" s="83"/>
      <c r="AS278" s="83"/>
      <c r="AT278" s="83"/>
      <c r="AU278" s="83"/>
      <c r="AV278" s="83"/>
      <c r="AW278" s="83"/>
      <c r="AX278" s="83"/>
      <c r="AY278" s="83"/>
      <c r="AZ278" s="83"/>
      <c r="BA278" s="83"/>
      <c r="BB278" s="83"/>
      <c r="BC278" s="83"/>
    </row>
    <row r="279" customFormat="false" ht="27.75" hidden="false" customHeight="true" outlineLevel="0" collapsed="false">
      <c r="B279" s="81" t="n">
        <v>6</v>
      </c>
      <c r="C279" s="81"/>
      <c r="D279" s="82"/>
      <c r="E279" s="82"/>
      <c r="F279" s="82"/>
      <c r="G279" s="82"/>
      <c r="H279" s="83"/>
      <c r="I279" s="83"/>
      <c r="J279" s="83"/>
      <c r="K279" s="83"/>
      <c r="L279" s="83"/>
      <c r="M279" s="83"/>
      <c r="N279" s="83"/>
      <c r="O279" s="83"/>
      <c r="P279" s="83"/>
      <c r="Q279" s="83"/>
      <c r="R279" s="83"/>
      <c r="S279" s="83"/>
      <c r="T279" s="83"/>
      <c r="U279" s="83"/>
      <c r="V279" s="83"/>
      <c r="W279" s="83"/>
      <c r="X279" s="83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  <c r="AI279" s="83"/>
      <c r="AJ279" s="83"/>
      <c r="AK279" s="83"/>
      <c r="AL279" s="83"/>
      <c r="AM279" s="83"/>
      <c r="AN279" s="83"/>
      <c r="AO279" s="83"/>
      <c r="AP279" s="83"/>
      <c r="AQ279" s="83"/>
      <c r="AR279" s="83"/>
      <c r="AS279" s="83"/>
      <c r="AT279" s="83"/>
      <c r="AU279" s="83"/>
      <c r="AV279" s="83"/>
      <c r="AW279" s="83"/>
      <c r="AX279" s="83"/>
      <c r="AY279" s="83"/>
      <c r="AZ279" s="83"/>
      <c r="BA279" s="83"/>
      <c r="BB279" s="83"/>
      <c r="BC279" s="83"/>
    </row>
    <row r="280" customFormat="false" ht="24" hidden="false" customHeight="true" outlineLevel="0" collapsed="false">
      <c r="B280" s="84" t="s">
        <v>132</v>
      </c>
      <c r="C280" s="84"/>
      <c r="E280" s="85" t="s">
        <v>177</v>
      </c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  <c r="AE280" s="85"/>
      <c r="AF280" s="85"/>
      <c r="AG280" s="85"/>
      <c r="AH280" s="85"/>
      <c r="AI280" s="85"/>
      <c r="AJ280" s="85"/>
      <c r="AK280" s="85"/>
      <c r="AL280" s="85"/>
      <c r="AM280" s="85"/>
      <c r="AN280" s="85"/>
      <c r="AO280" s="85"/>
      <c r="AP280" s="85"/>
      <c r="AQ280" s="85"/>
      <c r="AR280" s="85"/>
      <c r="AS280" s="85"/>
      <c r="AT280" s="85"/>
      <c r="AU280" s="85"/>
      <c r="AV280" s="85"/>
      <c r="AW280" s="85"/>
      <c r="AX280" s="85"/>
      <c r="AY280" s="85"/>
      <c r="AZ280" s="85"/>
      <c r="BA280" s="85"/>
      <c r="BB280" s="85"/>
      <c r="BC280" s="85"/>
    </row>
    <row r="281" customFormat="false" ht="9.75" hidden="false" customHeight="true" outlineLevel="0" collapsed="false"/>
    <row r="282" customFormat="false" ht="21.75" hidden="false" customHeight="true" outlineLevel="0" collapsed="false">
      <c r="B282" s="6"/>
      <c r="C282" s="19" t="s">
        <v>178</v>
      </c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59" t="s">
        <v>179</v>
      </c>
      <c r="AM282" s="59"/>
      <c r="AN282" s="59"/>
      <c r="AO282" s="59"/>
      <c r="AP282" s="59"/>
      <c r="AQ282" s="59"/>
      <c r="AR282" s="59"/>
      <c r="AS282" s="59"/>
      <c r="AT282" s="59"/>
      <c r="AU282" s="59"/>
      <c r="AV282" s="59"/>
      <c r="AW282" s="59"/>
      <c r="AX282" s="59"/>
      <c r="AY282" s="59"/>
      <c r="AZ282" s="59"/>
      <c r="BA282" s="59"/>
      <c r="BB282" s="59"/>
      <c r="BC282" s="59"/>
    </row>
    <row r="283" customFormat="false" ht="27.75" hidden="false" customHeight="true" outlineLevel="0" collapsed="false">
      <c r="B283" s="79" t="s">
        <v>124</v>
      </c>
      <c r="C283" s="79"/>
      <c r="D283" s="80" t="s">
        <v>140</v>
      </c>
      <c r="E283" s="80"/>
      <c r="F283" s="80"/>
      <c r="G283" s="80"/>
      <c r="H283" s="80" t="s">
        <v>180</v>
      </c>
      <c r="I283" s="80"/>
      <c r="J283" s="80"/>
      <c r="K283" s="80"/>
      <c r="L283" s="80"/>
      <c r="M283" s="80"/>
      <c r="N283" s="80"/>
      <c r="O283" s="80"/>
      <c r="P283" s="80" t="s">
        <v>181</v>
      </c>
      <c r="Q283" s="80"/>
      <c r="R283" s="80"/>
      <c r="S283" s="80"/>
      <c r="T283" s="80" t="s">
        <v>182</v>
      </c>
      <c r="U283" s="80"/>
      <c r="V283" s="80"/>
      <c r="W283" s="80"/>
      <c r="X283" s="80"/>
      <c r="Y283" s="80"/>
      <c r="Z283" s="80"/>
      <c r="AA283" s="80"/>
      <c r="AB283" s="80"/>
      <c r="AC283" s="80"/>
      <c r="AD283" s="80"/>
      <c r="AE283" s="80"/>
      <c r="AF283" s="80" t="s">
        <v>183</v>
      </c>
      <c r="AG283" s="80"/>
      <c r="AH283" s="80"/>
      <c r="AI283" s="80"/>
      <c r="AJ283" s="80"/>
      <c r="AK283" s="80"/>
      <c r="AL283" s="80"/>
      <c r="AM283" s="80"/>
      <c r="AN283" s="80"/>
      <c r="AO283" s="80"/>
      <c r="AP283" s="80"/>
      <c r="AQ283" s="80"/>
      <c r="AR283" s="80"/>
      <c r="AS283" s="80"/>
      <c r="AT283" s="80"/>
      <c r="AU283" s="80"/>
      <c r="AV283" s="80"/>
      <c r="AW283" s="80"/>
      <c r="AX283" s="80"/>
      <c r="AY283" s="80"/>
      <c r="AZ283" s="80"/>
      <c r="BA283" s="80"/>
      <c r="BB283" s="80"/>
      <c r="BC283" s="80"/>
    </row>
    <row r="284" customFormat="false" ht="24" hidden="false" customHeight="true" outlineLevel="0" collapsed="false">
      <c r="B284" s="81" t="n">
        <v>1</v>
      </c>
      <c r="C284" s="81"/>
      <c r="D284" s="82"/>
      <c r="E284" s="82"/>
      <c r="F284" s="82"/>
      <c r="G284" s="82"/>
      <c r="H284" s="83"/>
      <c r="I284" s="83"/>
      <c r="J284" s="83"/>
      <c r="K284" s="83"/>
      <c r="L284" s="83"/>
      <c r="M284" s="83"/>
      <c r="N284" s="83"/>
      <c r="O284" s="83"/>
      <c r="P284" s="83"/>
      <c r="Q284" s="83"/>
      <c r="R284" s="83"/>
      <c r="S284" s="83"/>
      <c r="T284" s="83"/>
      <c r="U284" s="83"/>
      <c r="V284" s="83"/>
      <c r="W284" s="83"/>
      <c r="X284" s="83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  <c r="AI284" s="83"/>
      <c r="AJ284" s="83"/>
      <c r="AK284" s="83"/>
      <c r="AL284" s="83"/>
      <c r="AM284" s="83"/>
      <c r="AN284" s="83"/>
      <c r="AO284" s="83"/>
      <c r="AP284" s="83"/>
      <c r="AQ284" s="83"/>
      <c r="AR284" s="83"/>
      <c r="AS284" s="83"/>
      <c r="AT284" s="83"/>
      <c r="AU284" s="83"/>
      <c r="AV284" s="83"/>
      <c r="AW284" s="83"/>
      <c r="AX284" s="83"/>
      <c r="AY284" s="83"/>
      <c r="AZ284" s="83"/>
      <c r="BA284" s="83"/>
      <c r="BB284" s="83"/>
      <c r="BC284" s="83"/>
    </row>
    <row r="285" customFormat="false" ht="24" hidden="false" customHeight="true" outlineLevel="0" collapsed="false">
      <c r="B285" s="81" t="n">
        <v>2</v>
      </c>
      <c r="C285" s="81"/>
      <c r="D285" s="82"/>
      <c r="E285" s="82"/>
      <c r="F285" s="82"/>
      <c r="G285" s="82"/>
      <c r="H285" s="83"/>
      <c r="I285" s="83"/>
      <c r="J285" s="83"/>
      <c r="K285" s="83"/>
      <c r="L285" s="83"/>
      <c r="M285" s="83"/>
      <c r="N285" s="83"/>
      <c r="O285" s="83"/>
      <c r="P285" s="83"/>
      <c r="Q285" s="83"/>
      <c r="R285" s="83"/>
      <c r="S285" s="83"/>
      <c r="T285" s="83"/>
      <c r="U285" s="83"/>
      <c r="V285" s="83"/>
      <c r="W285" s="83"/>
      <c r="X285" s="83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  <c r="AI285" s="83"/>
      <c r="AJ285" s="83"/>
      <c r="AK285" s="83"/>
      <c r="AL285" s="83"/>
      <c r="AM285" s="83"/>
      <c r="AN285" s="83"/>
      <c r="AO285" s="83"/>
      <c r="AP285" s="83"/>
      <c r="AQ285" s="83"/>
      <c r="AR285" s="83"/>
      <c r="AS285" s="83"/>
      <c r="AT285" s="83"/>
      <c r="AU285" s="83"/>
      <c r="AV285" s="83"/>
      <c r="AW285" s="83"/>
      <c r="AX285" s="83"/>
      <c r="AY285" s="83"/>
      <c r="AZ285" s="83"/>
      <c r="BA285" s="83"/>
      <c r="BB285" s="83"/>
      <c r="BC285" s="83"/>
    </row>
    <row r="286" customFormat="false" ht="24" hidden="false" customHeight="true" outlineLevel="0" collapsed="false">
      <c r="B286" s="81" t="n">
        <v>3</v>
      </c>
      <c r="C286" s="81"/>
      <c r="D286" s="82"/>
      <c r="E286" s="82"/>
      <c r="F286" s="82"/>
      <c r="G286" s="82"/>
      <c r="H286" s="83"/>
      <c r="I286" s="83"/>
      <c r="J286" s="83"/>
      <c r="K286" s="83"/>
      <c r="L286" s="83"/>
      <c r="M286" s="83"/>
      <c r="N286" s="83"/>
      <c r="O286" s="83"/>
      <c r="P286" s="83"/>
      <c r="Q286" s="83"/>
      <c r="R286" s="83"/>
      <c r="S286" s="83"/>
      <c r="T286" s="83"/>
      <c r="U286" s="83"/>
      <c r="V286" s="83"/>
      <c r="W286" s="83"/>
      <c r="X286" s="83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  <c r="AI286" s="83"/>
      <c r="AJ286" s="83"/>
      <c r="AK286" s="83"/>
      <c r="AL286" s="83"/>
      <c r="AM286" s="83"/>
      <c r="AN286" s="83"/>
      <c r="AO286" s="83"/>
      <c r="AP286" s="83"/>
      <c r="AQ286" s="83"/>
      <c r="AR286" s="83"/>
      <c r="AS286" s="83"/>
      <c r="AT286" s="83"/>
      <c r="AU286" s="83"/>
      <c r="AV286" s="83"/>
      <c r="AW286" s="83"/>
      <c r="AX286" s="83"/>
      <c r="AY286" s="83"/>
      <c r="AZ286" s="83"/>
      <c r="BA286" s="83"/>
      <c r="BB286" s="83"/>
      <c r="BC286" s="83"/>
    </row>
    <row r="287" customFormat="false" ht="24" hidden="false" customHeight="true" outlineLevel="0" collapsed="false">
      <c r="B287" s="81" t="n">
        <v>4</v>
      </c>
      <c r="C287" s="81"/>
      <c r="D287" s="82"/>
      <c r="E287" s="82"/>
      <c r="F287" s="82"/>
      <c r="G287" s="82"/>
      <c r="H287" s="83"/>
      <c r="I287" s="83"/>
      <c r="J287" s="83"/>
      <c r="K287" s="83"/>
      <c r="L287" s="83"/>
      <c r="M287" s="83"/>
      <c r="N287" s="83"/>
      <c r="O287" s="83"/>
      <c r="P287" s="83"/>
      <c r="Q287" s="83"/>
      <c r="R287" s="83"/>
      <c r="S287" s="83"/>
      <c r="T287" s="83"/>
      <c r="U287" s="83"/>
      <c r="V287" s="83"/>
      <c r="W287" s="83"/>
      <c r="X287" s="83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  <c r="AI287" s="83"/>
      <c r="AJ287" s="83"/>
      <c r="AK287" s="83"/>
      <c r="AL287" s="83"/>
      <c r="AM287" s="83"/>
      <c r="AN287" s="83"/>
      <c r="AO287" s="83"/>
      <c r="AP287" s="83"/>
      <c r="AQ287" s="83"/>
      <c r="AR287" s="83"/>
      <c r="AS287" s="83"/>
      <c r="AT287" s="83"/>
      <c r="AU287" s="83"/>
      <c r="AV287" s="83"/>
      <c r="AW287" s="83"/>
      <c r="AX287" s="83"/>
      <c r="AY287" s="83"/>
      <c r="AZ287" s="83"/>
      <c r="BA287" s="83"/>
      <c r="BB287" s="83"/>
      <c r="BC287" s="83"/>
    </row>
    <row r="288" customFormat="false" ht="24" hidden="false" customHeight="true" outlineLevel="0" collapsed="false">
      <c r="B288" s="81" t="n">
        <v>5</v>
      </c>
      <c r="C288" s="81"/>
      <c r="D288" s="82"/>
      <c r="E288" s="82"/>
      <c r="F288" s="82"/>
      <c r="G288" s="82"/>
      <c r="H288" s="83"/>
      <c r="I288" s="83"/>
      <c r="J288" s="83"/>
      <c r="K288" s="83"/>
      <c r="L288" s="83"/>
      <c r="M288" s="83"/>
      <c r="N288" s="83"/>
      <c r="O288" s="83"/>
      <c r="P288" s="83"/>
      <c r="Q288" s="83"/>
      <c r="R288" s="83"/>
      <c r="S288" s="83"/>
      <c r="T288" s="83"/>
      <c r="U288" s="83"/>
      <c r="V288" s="83"/>
      <c r="W288" s="83"/>
      <c r="X288" s="83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  <c r="AI288" s="83"/>
      <c r="AJ288" s="83"/>
      <c r="AK288" s="83"/>
      <c r="AL288" s="83"/>
      <c r="AM288" s="83"/>
      <c r="AN288" s="83"/>
      <c r="AO288" s="83"/>
      <c r="AP288" s="83"/>
      <c r="AQ288" s="83"/>
      <c r="AR288" s="83"/>
      <c r="AS288" s="83"/>
      <c r="AT288" s="83"/>
      <c r="AU288" s="83"/>
      <c r="AV288" s="83"/>
      <c r="AW288" s="83"/>
      <c r="AX288" s="83"/>
      <c r="AY288" s="83"/>
      <c r="AZ288" s="83"/>
      <c r="BA288" s="83"/>
      <c r="BB288" s="83"/>
      <c r="BC288" s="83"/>
    </row>
    <row r="289" customFormat="false" ht="24" hidden="false" customHeight="true" outlineLevel="0" collapsed="false">
      <c r="B289" s="81" t="n">
        <v>6</v>
      </c>
      <c r="C289" s="81"/>
      <c r="D289" s="82"/>
      <c r="E289" s="82"/>
      <c r="F289" s="82"/>
      <c r="G289" s="82"/>
      <c r="H289" s="83"/>
      <c r="I289" s="83"/>
      <c r="J289" s="83"/>
      <c r="K289" s="83"/>
      <c r="L289" s="83"/>
      <c r="M289" s="83"/>
      <c r="N289" s="83"/>
      <c r="O289" s="83"/>
      <c r="P289" s="83"/>
      <c r="Q289" s="83"/>
      <c r="R289" s="83"/>
      <c r="S289" s="83"/>
      <c r="T289" s="83"/>
      <c r="U289" s="83"/>
      <c r="V289" s="83"/>
      <c r="W289" s="83"/>
      <c r="X289" s="83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  <c r="AI289" s="83"/>
      <c r="AJ289" s="83"/>
      <c r="AK289" s="83"/>
      <c r="AL289" s="83"/>
      <c r="AM289" s="83"/>
      <c r="AN289" s="83"/>
      <c r="AO289" s="83"/>
      <c r="AP289" s="83"/>
      <c r="AQ289" s="83"/>
      <c r="AR289" s="83"/>
      <c r="AS289" s="83"/>
      <c r="AT289" s="83"/>
      <c r="AU289" s="83"/>
      <c r="AV289" s="83"/>
      <c r="AW289" s="83"/>
      <c r="AX289" s="83"/>
      <c r="AY289" s="83"/>
      <c r="AZ289" s="83"/>
      <c r="BA289" s="83"/>
      <c r="BB289" s="83"/>
      <c r="BC289" s="83"/>
    </row>
    <row r="290" customFormat="false" ht="24" hidden="false" customHeight="true" outlineLevel="0" collapsed="false">
      <c r="B290" s="81" t="n">
        <v>7</v>
      </c>
      <c r="C290" s="81"/>
      <c r="D290" s="82"/>
      <c r="E290" s="82"/>
      <c r="F290" s="82"/>
      <c r="G290" s="82"/>
      <c r="H290" s="83"/>
      <c r="I290" s="83"/>
      <c r="J290" s="83"/>
      <c r="K290" s="83"/>
      <c r="L290" s="83"/>
      <c r="M290" s="83"/>
      <c r="N290" s="83"/>
      <c r="O290" s="83"/>
      <c r="P290" s="83"/>
      <c r="Q290" s="83"/>
      <c r="R290" s="83"/>
      <c r="S290" s="83"/>
      <c r="T290" s="83"/>
      <c r="U290" s="83"/>
      <c r="V290" s="83"/>
      <c r="W290" s="83"/>
      <c r="X290" s="83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  <c r="AI290" s="83"/>
      <c r="AJ290" s="83"/>
      <c r="AK290" s="83"/>
      <c r="AL290" s="83"/>
      <c r="AM290" s="83"/>
      <c r="AN290" s="83"/>
      <c r="AO290" s="83"/>
      <c r="AP290" s="83"/>
      <c r="AQ290" s="83"/>
      <c r="AR290" s="83"/>
      <c r="AS290" s="83"/>
      <c r="AT290" s="83"/>
      <c r="AU290" s="83"/>
      <c r="AV290" s="83"/>
      <c r="AW290" s="83"/>
      <c r="AX290" s="83"/>
      <c r="AY290" s="83"/>
      <c r="AZ290" s="83"/>
      <c r="BA290" s="83"/>
      <c r="BB290" s="83"/>
      <c r="BC290" s="83"/>
    </row>
    <row r="291" customFormat="false" ht="24" hidden="false" customHeight="true" outlineLevel="0" collapsed="false">
      <c r="B291" s="84" t="s">
        <v>132</v>
      </c>
      <c r="C291" s="84"/>
      <c r="E291" s="85" t="s">
        <v>184</v>
      </c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  <c r="AE291" s="85"/>
      <c r="AF291" s="85"/>
      <c r="AG291" s="85"/>
      <c r="AH291" s="85"/>
      <c r="AI291" s="85"/>
      <c r="AJ291" s="85"/>
      <c r="AK291" s="85"/>
      <c r="AL291" s="85"/>
      <c r="AM291" s="85"/>
      <c r="AN291" s="85"/>
      <c r="AO291" s="85"/>
      <c r="AP291" s="85"/>
      <c r="AQ291" s="85"/>
      <c r="AR291" s="85"/>
      <c r="AS291" s="85"/>
      <c r="AT291" s="85"/>
      <c r="AU291" s="85"/>
      <c r="AV291" s="85"/>
      <c r="AW291" s="85"/>
      <c r="AX291" s="85"/>
      <c r="AY291" s="85"/>
      <c r="AZ291" s="85"/>
      <c r="BA291" s="85"/>
      <c r="BB291" s="85"/>
      <c r="BC291" s="85"/>
    </row>
    <row r="292" customFormat="false" ht="27.75" hidden="false" customHeight="true" outlineLevel="0" collapsed="false"/>
    <row r="293" customFormat="false" ht="18" hidden="false" customHeight="true" outlineLevel="0" collapsed="false">
      <c r="B293" s="75" t="s">
        <v>134</v>
      </c>
      <c r="C293" s="75"/>
      <c r="D293" s="75"/>
      <c r="E293" s="75"/>
      <c r="F293" s="75"/>
      <c r="G293" s="75"/>
      <c r="H293" s="75"/>
      <c r="I293" s="75"/>
      <c r="J293" s="75"/>
      <c r="K293" s="75"/>
      <c r="L293" s="75"/>
      <c r="M293" s="75"/>
      <c r="N293" s="75"/>
      <c r="O293" s="75"/>
      <c r="P293" s="75"/>
      <c r="Q293" s="75"/>
      <c r="R293" s="75"/>
      <c r="S293" s="75"/>
      <c r="T293" s="75"/>
      <c r="U293" s="75"/>
      <c r="V293" s="75"/>
      <c r="W293" s="75"/>
      <c r="X293" s="75"/>
      <c r="Y293" s="75"/>
      <c r="Z293" s="75"/>
      <c r="AA293" s="75"/>
      <c r="AB293" s="76" t="s">
        <v>185</v>
      </c>
      <c r="AC293" s="76"/>
      <c r="AD293" s="76"/>
      <c r="AE293" s="76"/>
      <c r="AF293" s="76"/>
      <c r="AG293" s="76"/>
      <c r="AH293" s="76"/>
      <c r="AI293" s="76"/>
      <c r="AJ293" s="76"/>
      <c r="AK293" s="76"/>
      <c r="AL293" s="76"/>
      <c r="AM293" s="76"/>
      <c r="AN293" s="76"/>
      <c r="AO293" s="76"/>
      <c r="AP293" s="76"/>
      <c r="AQ293" s="76"/>
      <c r="AR293" s="76"/>
      <c r="AS293" s="76"/>
      <c r="AT293" s="76"/>
      <c r="AU293" s="76"/>
      <c r="AV293" s="76"/>
      <c r="AW293" s="76"/>
      <c r="AX293" s="76"/>
      <c r="AY293" s="76"/>
      <c r="AZ293" s="76"/>
      <c r="BA293" s="76"/>
      <c r="BB293" s="76"/>
      <c r="BC293" s="76"/>
    </row>
    <row r="294" customFormat="false" ht="7.5" hidden="false" customHeight="true" outlineLevel="0" collapsed="false"/>
    <row r="295" customFormat="false" ht="24" hidden="false" customHeight="true" outlineLevel="0" collapsed="false">
      <c r="B295" s="86" t="s">
        <v>115</v>
      </c>
      <c r="C295" s="86"/>
      <c r="D295" s="86"/>
      <c r="E295" s="86"/>
      <c r="F295" s="86"/>
      <c r="H295" s="87" t="s">
        <v>116</v>
      </c>
      <c r="I295" s="87"/>
      <c r="J295" s="87"/>
      <c r="K295" s="87"/>
      <c r="L295" s="87"/>
      <c r="M295" s="87"/>
      <c r="N295" s="87"/>
      <c r="O295" s="87"/>
      <c r="P295" s="87"/>
      <c r="AA295" s="88" t="s">
        <v>136</v>
      </c>
      <c r="AB295" s="88"/>
      <c r="AC295" s="88"/>
      <c r="AD295" s="88"/>
      <c r="AE295" s="88"/>
      <c r="AF295" s="89" t="str">
        <f aca="false">Dashboard!$C$6</f>
        <v>Bindhya TB</v>
      </c>
      <c r="AG295" s="89"/>
      <c r="AH295" s="89"/>
      <c r="AI295" s="89"/>
      <c r="AJ295" s="89"/>
      <c r="AK295" s="89"/>
      <c r="AL295" s="89"/>
      <c r="AM295" s="89"/>
      <c r="AN295" s="89"/>
      <c r="AO295" s="89"/>
      <c r="AP295" s="89"/>
      <c r="AR295" s="88" t="s">
        <v>137</v>
      </c>
      <c r="AS295" s="88"/>
      <c r="AT295" s="89" t="str">
        <f aca="false">TEXT(Cal!H3,"dd mmm")&amp;" to "&amp;TEXT(Cal!I3,"dd mmm yy")</f>
        <v>05 Oct to 10 Oct 26</v>
      </c>
      <c r="AU295" s="89"/>
      <c r="AV295" s="89"/>
      <c r="AW295" s="89"/>
      <c r="AX295" s="89"/>
      <c r="AY295" s="89"/>
      <c r="AZ295" s="89"/>
      <c r="BA295" s="89"/>
      <c r="BB295" s="89"/>
      <c r="BC295" s="89"/>
    </row>
    <row r="296" customFormat="false" ht="3" hidden="false" customHeight="true" outlineLevel="0" collapsed="false"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</row>
    <row r="297" customFormat="false" ht="9.75" hidden="false" customHeight="true" outlineLevel="0" collapsed="false"/>
    <row r="298" customFormat="false" ht="21.75" hidden="false" customHeight="true" outlineLevel="0" collapsed="false">
      <c r="B298" s="6"/>
      <c r="C298" s="19" t="s">
        <v>186</v>
      </c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59" t="s">
        <v>187</v>
      </c>
      <c r="AM298" s="59"/>
      <c r="AN298" s="59"/>
      <c r="AO298" s="59"/>
      <c r="AP298" s="59"/>
      <c r="AQ298" s="59"/>
      <c r="AR298" s="59"/>
      <c r="AS298" s="59"/>
      <c r="AT298" s="59"/>
      <c r="AU298" s="59"/>
      <c r="AV298" s="59"/>
      <c r="AW298" s="59"/>
      <c r="AX298" s="59"/>
      <c r="AY298" s="59"/>
      <c r="AZ298" s="59"/>
      <c r="BA298" s="59"/>
      <c r="BB298" s="59"/>
      <c r="BC298" s="59"/>
    </row>
    <row r="299" customFormat="false" ht="27.75" hidden="false" customHeight="true" outlineLevel="0" collapsed="false">
      <c r="B299" s="79" t="s">
        <v>124</v>
      </c>
      <c r="C299" s="79"/>
      <c r="D299" s="80" t="s">
        <v>127</v>
      </c>
      <c r="E299" s="80"/>
      <c r="F299" s="80"/>
      <c r="G299" s="80"/>
      <c r="H299" s="80"/>
      <c r="I299" s="80"/>
      <c r="J299" s="80"/>
      <c r="K299" s="80"/>
      <c r="L299" s="80"/>
      <c r="M299" s="80"/>
      <c r="N299" s="80" t="s">
        <v>126</v>
      </c>
      <c r="O299" s="80"/>
      <c r="P299" s="80"/>
      <c r="Q299" s="80"/>
      <c r="R299" s="80"/>
      <c r="S299" s="80"/>
      <c r="T299" s="80"/>
      <c r="U299" s="80"/>
      <c r="V299" s="80" t="s">
        <v>188</v>
      </c>
      <c r="W299" s="80"/>
      <c r="X299" s="80"/>
      <c r="Y299" s="80"/>
      <c r="Z299" s="80"/>
      <c r="AA299" s="80"/>
      <c r="AB299" s="80"/>
      <c r="AC299" s="80"/>
      <c r="AD299" s="80"/>
      <c r="AE299" s="80"/>
      <c r="AF299" s="80"/>
      <c r="AG299" s="80"/>
      <c r="AH299" s="80"/>
      <c r="AI299" s="80"/>
      <c r="AJ299" s="80"/>
      <c r="AK299" s="80"/>
      <c r="AL299" s="80"/>
      <c r="AM299" s="80"/>
      <c r="AN299" s="80"/>
      <c r="AO299" s="80"/>
      <c r="AP299" s="80"/>
      <c r="AQ299" s="80"/>
      <c r="AR299" s="80"/>
      <c r="AS299" s="80"/>
      <c r="AT299" s="80"/>
      <c r="AU299" s="80"/>
      <c r="AV299" s="80" t="s">
        <v>189</v>
      </c>
      <c r="AW299" s="80"/>
      <c r="AX299" s="80"/>
      <c r="AY299" s="80"/>
      <c r="AZ299" s="80"/>
      <c r="BA299" s="80"/>
      <c r="BB299" s="80"/>
      <c r="BC299" s="80"/>
    </row>
    <row r="300" customFormat="false" ht="27.75" hidden="false" customHeight="true" outlineLevel="0" collapsed="false">
      <c r="B300" s="81" t="n">
        <v>1</v>
      </c>
      <c r="C300" s="81"/>
      <c r="D300" s="83"/>
      <c r="E300" s="83"/>
      <c r="F300" s="83"/>
      <c r="G300" s="83"/>
      <c r="H300" s="83"/>
      <c r="I300" s="83"/>
      <c r="J300" s="83"/>
      <c r="K300" s="83"/>
      <c r="L300" s="83"/>
      <c r="M300" s="83"/>
      <c r="N300" s="83"/>
      <c r="O300" s="83"/>
      <c r="P300" s="83"/>
      <c r="Q300" s="83"/>
      <c r="R300" s="83"/>
      <c r="S300" s="83"/>
      <c r="T300" s="83"/>
      <c r="U300" s="83"/>
      <c r="V300" s="83"/>
      <c r="W300" s="83"/>
      <c r="X300" s="83"/>
      <c r="Y300" s="83"/>
      <c r="Z300" s="83"/>
      <c r="AA300" s="83"/>
      <c r="AB300" s="83"/>
      <c r="AC300" s="83"/>
      <c r="AD300" s="83"/>
      <c r="AE300" s="83"/>
      <c r="AF300" s="83"/>
      <c r="AG300" s="83"/>
      <c r="AH300" s="83"/>
      <c r="AI300" s="83"/>
      <c r="AJ300" s="83"/>
      <c r="AK300" s="83"/>
      <c r="AL300" s="83"/>
      <c r="AM300" s="83"/>
      <c r="AN300" s="83"/>
      <c r="AO300" s="83"/>
      <c r="AP300" s="83"/>
      <c r="AQ300" s="83"/>
      <c r="AR300" s="83"/>
      <c r="AS300" s="83"/>
      <c r="AT300" s="83"/>
      <c r="AU300" s="83"/>
      <c r="AV300" s="82"/>
      <c r="AW300" s="82"/>
      <c r="AX300" s="82"/>
      <c r="AY300" s="82"/>
      <c r="AZ300" s="82"/>
      <c r="BA300" s="82"/>
      <c r="BB300" s="82"/>
      <c r="BC300" s="82"/>
    </row>
    <row r="301" customFormat="false" ht="27.75" hidden="false" customHeight="true" outlineLevel="0" collapsed="false">
      <c r="B301" s="81" t="n">
        <v>2</v>
      </c>
      <c r="C301" s="81"/>
      <c r="D301" s="83"/>
      <c r="E301" s="83"/>
      <c r="F301" s="83"/>
      <c r="G301" s="83"/>
      <c r="H301" s="83"/>
      <c r="I301" s="83"/>
      <c r="J301" s="83"/>
      <c r="K301" s="83"/>
      <c r="L301" s="83"/>
      <c r="M301" s="83"/>
      <c r="N301" s="83"/>
      <c r="O301" s="83"/>
      <c r="P301" s="83"/>
      <c r="Q301" s="83"/>
      <c r="R301" s="83"/>
      <c r="S301" s="83"/>
      <c r="T301" s="83"/>
      <c r="U301" s="83"/>
      <c r="V301" s="83"/>
      <c r="W301" s="83"/>
      <c r="X301" s="83"/>
      <c r="Y301" s="83"/>
      <c r="Z301" s="83"/>
      <c r="AA301" s="83"/>
      <c r="AB301" s="83"/>
      <c r="AC301" s="83"/>
      <c r="AD301" s="83"/>
      <c r="AE301" s="83"/>
      <c r="AF301" s="83"/>
      <c r="AG301" s="83"/>
      <c r="AH301" s="83"/>
      <c r="AI301" s="83"/>
      <c r="AJ301" s="83"/>
      <c r="AK301" s="83"/>
      <c r="AL301" s="83"/>
      <c r="AM301" s="83"/>
      <c r="AN301" s="83"/>
      <c r="AO301" s="83"/>
      <c r="AP301" s="83"/>
      <c r="AQ301" s="83"/>
      <c r="AR301" s="83"/>
      <c r="AS301" s="83"/>
      <c r="AT301" s="83"/>
      <c r="AU301" s="83"/>
      <c r="AV301" s="82"/>
      <c r="AW301" s="82"/>
      <c r="AX301" s="82"/>
      <c r="AY301" s="82"/>
      <c r="AZ301" s="82"/>
      <c r="BA301" s="82"/>
      <c r="BB301" s="82"/>
      <c r="BC301" s="82"/>
    </row>
    <row r="302" customFormat="false" ht="27.75" hidden="false" customHeight="true" outlineLevel="0" collapsed="false">
      <c r="B302" s="81" t="n">
        <v>3</v>
      </c>
      <c r="C302" s="81"/>
      <c r="D302" s="83"/>
      <c r="E302" s="83"/>
      <c r="F302" s="83"/>
      <c r="G302" s="83"/>
      <c r="H302" s="83"/>
      <c r="I302" s="83"/>
      <c r="J302" s="83"/>
      <c r="K302" s="83"/>
      <c r="L302" s="83"/>
      <c r="M302" s="83"/>
      <c r="N302" s="83"/>
      <c r="O302" s="83"/>
      <c r="P302" s="83"/>
      <c r="Q302" s="83"/>
      <c r="R302" s="83"/>
      <c r="S302" s="83"/>
      <c r="T302" s="83"/>
      <c r="U302" s="83"/>
      <c r="V302" s="83"/>
      <c r="W302" s="83"/>
      <c r="X302" s="83"/>
      <c r="Y302" s="83"/>
      <c r="Z302" s="83"/>
      <c r="AA302" s="83"/>
      <c r="AB302" s="83"/>
      <c r="AC302" s="83"/>
      <c r="AD302" s="83"/>
      <c r="AE302" s="83"/>
      <c r="AF302" s="83"/>
      <c r="AG302" s="83"/>
      <c r="AH302" s="83"/>
      <c r="AI302" s="83"/>
      <c r="AJ302" s="83"/>
      <c r="AK302" s="83"/>
      <c r="AL302" s="83"/>
      <c r="AM302" s="83"/>
      <c r="AN302" s="83"/>
      <c r="AO302" s="83"/>
      <c r="AP302" s="83"/>
      <c r="AQ302" s="83"/>
      <c r="AR302" s="83"/>
      <c r="AS302" s="83"/>
      <c r="AT302" s="83"/>
      <c r="AU302" s="83"/>
      <c r="AV302" s="82"/>
      <c r="AW302" s="82"/>
      <c r="AX302" s="82"/>
      <c r="AY302" s="82"/>
      <c r="AZ302" s="82"/>
      <c r="BA302" s="82"/>
      <c r="BB302" s="82"/>
      <c r="BC302" s="82"/>
    </row>
    <row r="303" customFormat="false" ht="27.75" hidden="false" customHeight="true" outlineLevel="0" collapsed="false">
      <c r="B303" s="81" t="n">
        <v>4</v>
      </c>
      <c r="C303" s="81"/>
      <c r="D303" s="83"/>
      <c r="E303" s="83"/>
      <c r="F303" s="83"/>
      <c r="G303" s="83"/>
      <c r="H303" s="83"/>
      <c r="I303" s="83"/>
      <c r="J303" s="83"/>
      <c r="K303" s="83"/>
      <c r="L303" s="83"/>
      <c r="M303" s="83"/>
      <c r="N303" s="83"/>
      <c r="O303" s="83"/>
      <c r="P303" s="83"/>
      <c r="Q303" s="83"/>
      <c r="R303" s="83"/>
      <c r="S303" s="83"/>
      <c r="T303" s="83"/>
      <c r="U303" s="83"/>
      <c r="V303" s="83"/>
      <c r="W303" s="83"/>
      <c r="X303" s="83"/>
      <c r="Y303" s="83"/>
      <c r="Z303" s="83"/>
      <c r="AA303" s="83"/>
      <c r="AB303" s="83"/>
      <c r="AC303" s="83"/>
      <c r="AD303" s="83"/>
      <c r="AE303" s="83"/>
      <c r="AF303" s="83"/>
      <c r="AG303" s="83"/>
      <c r="AH303" s="83"/>
      <c r="AI303" s="83"/>
      <c r="AJ303" s="83"/>
      <c r="AK303" s="83"/>
      <c r="AL303" s="83"/>
      <c r="AM303" s="83"/>
      <c r="AN303" s="83"/>
      <c r="AO303" s="83"/>
      <c r="AP303" s="83"/>
      <c r="AQ303" s="83"/>
      <c r="AR303" s="83"/>
      <c r="AS303" s="83"/>
      <c r="AT303" s="83"/>
      <c r="AU303" s="83"/>
      <c r="AV303" s="82"/>
      <c r="AW303" s="82"/>
      <c r="AX303" s="82"/>
      <c r="AY303" s="82"/>
      <c r="AZ303" s="82"/>
      <c r="BA303" s="82"/>
      <c r="BB303" s="82"/>
      <c r="BC303" s="82"/>
    </row>
    <row r="304" customFormat="false" ht="27.75" hidden="false" customHeight="true" outlineLevel="0" collapsed="false">
      <c r="B304" s="81" t="n">
        <v>5</v>
      </c>
      <c r="C304" s="81"/>
      <c r="D304" s="83"/>
      <c r="E304" s="83"/>
      <c r="F304" s="83"/>
      <c r="G304" s="83"/>
      <c r="H304" s="83"/>
      <c r="I304" s="83"/>
      <c r="J304" s="83"/>
      <c r="K304" s="83"/>
      <c r="L304" s="83"/>
      <c r="M304" s="83"/>
      <c r="N304" s="83"/>
      <c r="O304" s="83"/>
      <c r="P304" s="83"/>
      <c r="Q304" s="83"/>
      <c r="R304" s="83"/>
      <c r="S304" s="83"/>
      <c r="T304" s="83"/>
      <c r="U304" s="83"/>
      <c r="V304" s="83"/>
      <c r="W304" s="83"/>
      <c r="X304" s="83"/>
      <c r="Y304" s="83"/>
      <c r="Z304" s="83"/>
      <c r="AA304" s="83"/>
      <c r="AB304" s="83"/>
      <c r="AC304" s="83"/>
      <c r="AD304" s="83"/>
      <c r="AE304" s="83"/>
      <c r="AF304" s="83"/>
      <c r="AG304" s="83"/>
      <c r="AH304" s="83"/>
      <c r="AI304" s="83"/>
      <c r="AJ304" s="83"/>
      <c r="AK304" s="83"/>
      <c r="AL304" s="83"/>
      <c r="AM304" s="83"/>
      <c r="AN304" s="83"/>
      <c r="AO304" s="83"/>
      <c r="AP304" s="83"/>
      <c r="AQ304" s="83"/>
      <c r="AR304" s="83"/>
      <c r="AS304" s="83"/>
      <c r="AT304" s="83"/>
      <c r="AU304" s="83"/>
      <c r="AV304" s="82"/>
      <c r="AW304" s="82"/>
      <c r="AX304" s="82"/>
      <c r="AY304" s="82"/>
      <c r="AZ304" s="82"/>
      <c r="BA304" s="82"/>
      <c r="BB304" s="82"/>
      <c r="BC304" s="82"/>
    </row>
    <row r="305" customFormat="false" ht="27.75" hidden="false" customHeight="true" outlineLevel="0" collapsed="false">
      <c r="B305" s="81" t="n">
        <v>6</v>
      </c>
      <c r="C305" s="81"/>
      <c r="D305" s="83"/>
      <c r="E305" s="83"/>
      <c r="F305" s="83"/>
      <c r="G305" s="83"/>
      <c r="H305" s="83"/>
      <c r="I305" s="83"/>
      <c r="J305" s="83"/>
      <c r="K305" s="83"/>
      <c r="L305" s="83"/>
      <c r="M305" s="83"/>
      <c r="N305" s="83"/>
      <c r="O305" s="83"/>
      <c r="P305" s="83"/>
      <c r="Q305" s="83"/>
      <c r="R305" s="83"/>
      <c r="S305" s="83"/>
      <c r="T305" s="83"/>
      <c r="U305" s="83"/>
      <c r="V305" s="83"/>
      <c r="W305" s="83"/>
      <c r="X305" s="83"/>
      <c r="Y305" s="83"/>
      <c r="Z305" s="83"/>
      <c r="AA305" s="83"/>
      <c r="AB305" s="83"/>
      <c r="AC305" s="83"/>
      <c r="AD305" s="83"/>
      <c r="AE305" s="83"/>
      <c r="AF305" s="83"/>
      <c r="AG305" s="83"/>
      <c r="AH305" s="83"/>
      <c r="AI305" s="83"/>
      <c r="AJ305" s="83"/>
      <c r="AK305" s="83"/>
      <c r="AL305" s="83"/>
      <c r="AM305" s="83"/>
      <c r="AN305" s="83"/>
      <c r="AO305" s="83"/>
      <c r="AP305" s="83"/>
      <c r="AQ305" s="83"/>
      <c r="AR305" s="83"/>
      <c r="AS305" s="83"/>
      <c r="AT305" s="83"/>
      <c r="AU305" s="83"/>
      <c r="AV305" s="82"/>
      <c r="AW305" s="82"/>
      <c r="AX305" s="82"/>
      <c r="AY305" s="82"/>
      <c r="AZ305" s="82"/>
      <c r="BA305" s="82"/>
      <c r="BB305" s="82"/>
      <c r="BC305" s="82"/>
    </row>
    <row r="306" customFormat="false" ht="9.75" hidden="false" customHeight="true" outlineLevel="0" collapsed="false"/>
    <row r="307" customFormat="false" ht="21.75" hidden="false" customHeight="true" outlineLevel="0" collapsed="false">
      <c r="B307" s="6"/>
      <c r="C307" s="19" t="s">
        <v>190</v>
      </c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59" t="s">
        <v>191</v>
      </c>
      <c r="AM307" s="59"/>
      <c r="AN307" s="59"/>
      <c r="AO307" s="59"/>
      <c r="AP307" s="59"/>
      <c r="AQ307" s="59"/>
      <c r="AR307" s="59"/>
      <c r="AS307" s="59"/>
      <c r="AT307" s="59"/>
      <c r="AU307" s="59"/>
      <c r="AV307" s="59"/>
      <c r="AW307" s="59"/>
      <c r="AX307" s="59"/>
      <c r="AY307" s="59"/>
      <c r="AZ307" s="59"/>
      <c r="BA307" s="59"/>
      <c r="BB307" s="59"/>
      <c r="BC307" s="59"/>
    </row>
    <row r="308" customFormat="false" ht="27.75" hidden="false" customHeight="true" outlineLevel="0" collapsed="false">
      <c r="B308" s="79" t="s">
        <v>124</v>
      </c>
      <c r="C308" s="79"/>
      <c r="D308" s="80" t="s">
        <v>126</v>
      </c>
      <c r="E308" s="80"/>
      <c r="F308" s="80"/>
      <c r="G308" s="80"/>
      <c r="H308" s="80"/>
      <c r="I308" s="80"/>
      <c r="J308" s="80"/>
      <c r="K308" s="80"/>
      <c r="L308" s="80"/>
      <c r="M308" s="80" t="s">
        <v>149</v>
      </c>
      <c r="N308" s="80"/>
      <c r="O308" s="80"/>
      <c r="P308" s="80"/>
      <c r="Q308" s="80"/>
      <c r="R308" s="80"/>
      <c r="S308" s="80"/>
      <c r="T308" s="80"/>
      <c r="U308" s="80"/>
      <c r="V308" s="80"/>
      <c r="W308" s="80"/>
      <c r="X308" s="80"/>
      <c r="Y308" s="80" t="s">
        <v>192</v>
      </c>
      <c r="Z308" s="80"/>
      <c r="AA308" s="80"/>
      <c r="AB308" s="80"/>
      <c r="AC308" s="80"/>
      <c r="AD308" s="80"/>
      <c r="AE308" s="80"/>
      <c r="AF308" s="80"/>
      <c r="AG308" s="80"/>
      <c r="AH308" s="80"/>
      <c r="AI308" s="80"/>
      <c r="AJ308" s="80"/>
      <c r="AK308" s="80"/>
      <c r="AL308" s="80"/>
      <c r="AM308" s="80"/>
      <c r="AN308" s="80"/>
      <c r="AO308" s="80"/>
      <c r="AP308" s="80" t="s">
        <v>193</v>
      </c>
      <c r="AQ308" s="80"/>
      <c r="AR308" s="80"/>
      <c r="AS308" s="80"/>
      <c r="AT308" s="80"/>
      <c r="AU308" s="80"/>
      <c r="AV308" s="80"/>
      <c r="AW308" s="80"/>
      <c r="AX308" s="80"/>
      <c r="AY308" s="80"/>
      <c r="AZ308" s="80"/>
      <c r="BA308" s="80"/>
      <c r="BB308" s="80"/>
      <c r="BC308" s="80"/>
    </row>
    <row r="309" customFormat="false" ht="27.75" hidden="false" customHeight="true" outlineLevel="0" collapsed="false">
      <c r="B309" s="81" t="n">
        <v>1</v>
      </c>
      <c r="C309" s="81"/>
      <c r="D309" s="83"/>
      <c r="E309" s="83"/>
      <c r="F309" s="83"/>
      <c r="G309" s="83"/>
      <c r="H309" s="83"/>
      <c r="I309" s="83"/>
      <c r="J309" s="83"/>
      <c r="K309" s="83"/>
      <c r="L309" s="83"/>
      <c r="M309" s="83"/>
      <c r="N309" s="83"/>
      <c r="O309" s="83"/>
      <c r="P309" s="83"/>
      <c r="Q309" s="83"/>
      <c r="R309" s="83"/>
      <c r="S309" s="83"/>
      <c r="T309" s="83"/>
      <c r="U309" s="83"/>
      <c r="V309" s="83"/>
      <c r="W309" s="83"/>
      <c r="X309" s="83"/>
      <c r="Y309" s="83"/>
      <c r="Z309" s="83"/>
      <c r="AA309" s="83"/>
      <c r="AB309" s="83"/>
      <c r="AC309" s="83"/>
      <c r="AD309" s="83"/>
      <c r="AE309" s="83"/>
      <c r="AF309" s="83"/>
      <c r="AG309" s="83"/>
      <c r="AH309" s="83"/>
      <c r="AI309" s="83"/>
      <c r="AJ309" s="83"/>
      <c r="AK309" s="83"/>
      <c r="AL309" s="83"/>
      <c r="AM309" s="83"/>
      <c r="AN309" s="83"/>
      <c r="AO309" s="83"/>
      <c r="AP309" s="83"/>
      <c r="AQ309" s="83"/>
      <c r="AR309" s="83"/>
      <c r="AS309" s="83"/>
      <c r="AT309" s="83"/>
      <c r="AU309" s="83"/>
      <c r="AV309" s="83"/>
      <c r="AW309" s="83"/>
      <c r="AX309" s="83"/>
      <c r="AY309" s="83"/>
      <c r="AZ309" s="83"/>
      <c r="BA309" s="83"/>
      <c r="BB309" s="83"/>
      <c r="BC309" s="83"/>
    </row>
    <row r="310" customFormat="false" ht="27.75" hidden="false" customHeight="true" outlineLevel="0" collapsed="false">
      <c r="B310" s="81" t="n">
        <v>2</v>
      </c>
      <c r="C310" s="81"/>
      <c r="D310" s="83"/>
      <c r="E310" s="83"/>
      <c r="F310" s="83"/>
      <c r="G310" s="83"/>
      <c r="H310" s="83"/>
      <c r="I310" s="83"/>
      <c r="J310" s="83"/>
      <c r="K310" s="83"/>
      <c r="L310" s="83"/>
      <c r="M310" s="83"/>
      <c r="N310" s="83"/>
      <c r="O310" s="83"/>
      <c r="P310" s="83"/>
      <c r="Q310" s="83"/>
      <c r="R310" s="83"/>
      <c r="S310" s="83"/>
      <c r="T310" s="83"/>
      <c r="U310" s="83"/>
      <c r="V310" s="83"/>
      <c r="W310" s="83"/>
      <c r="X310" s="83"/>
      <c r="Y310" s="83"/>
      <c r="Z310" s="83"/>
      <c r="AA310" s="83"/>
      <c r="AB310" s="83"/>
      <c r="AC310" s="83"/>
      <c r="AD310" s="83"/>
      <c r="AE310" s="83"/>
      <c r="AF310" s="83"/>
      <c r="AG310" s="83"/>
      <c r="AH310" s="83"/>
      <c r="AI310" s="83"/>
      <c r="AJ310" s="83"/>
      <c r="AK310" s="83"/>
      <c r="AL310" s="83"/>
      <c r="AM310" s="83"/>
      <c r="AN310" s="83"/>
      <c r="AO310" s="83"/>
      <c r="AP310" s="83"/>
      <c r="AQ310" s="83"/>
      <c r="AR310" s="83"/>
      <c r="AS310" s="83"/>
      <c r="AT310" s="83"/>
      <c r="AU310" s="83"/>
      <c r="AV310" s="83"/>
      <c r="AW310" s="83"/>
      <c r="AX310" s="83"/>
      <c r="AY310" s="83"/>
      <c r="AZ310" s="83"/>
      <c r="BA310" s="83"/>
      <c r="BB310" s="83"/>
      <c r="BC310" s="83"/>
    </row>
    <row r="311" customFormat="false" ht="27.75" hidden="false" customHeight="true" outlineLevel="0" collapsed="false">
      <c r="B311" s="81" t="n">
        <v>3</v>
      </c>
      <c r="C311" s="81"/>
      <c r="D311" s="83"/>
      <c r="E311" s="83"/>
      <c r="F311" s="83"/>
      <c r="G311" s="83"/>
      <c r="H311" s="83"/>
      <c r="I311" s="83"/>
      <c r="J311" s="83"/>
      <c r="K311" s="83"/>
      <c r="L311" s="83"/>
      <c r="M311" s="83"/>
      <c r="N311" s="83"/>
      <c r="O311" s="83"/>
      <c r="P311" s="83"/>
      <c r="Q311" s="83"/>
      <c r="R311" s="83"/>
      <c r="S311" s="83"/>
      <c r="T311" s="83"/>
      <c r="U311" s="83"/>
      <c r="V311" s="83"/>
      <c r="W311" s="83"/>
      <c r="X311" s="83"/>
      <c r="Y311" s="83"/>
      <c r="Z311" s="83"/>
      <c r="AA311" s="83"/>
      <c r="AB311" s="83"/>
      <c r="AC311" s="83"/>
      <c r="AD311" s="83"/>
      <c r="AE311" s="83"/>
      <c r="AF311" s="83"/>
      <c r="AG311" s="83"/>
      <c r="AH311" s="83"/>
      <c r="AI311" s="83"/>
      <c r="AJ311" s="83"/>
      <c r="AK311" s="83"/>
      <c r="AL311" s="83"/>
      <c r="AM311" s="83"/>
      <c r="AN311" s="83"/>
      <c r="AO311" s="83"/>
      <c r="AP311" s="83"/>
      <c r="AQ311" s="83"/>
      <c r="AR311" s="83"/>
      <c r="AS311" s="83"/>
      <c r="AT311" s="83"/>
      <c r="AU311" s="83"/>
      <c r="AV311" s="83"/>
      <c r="AW311" s="83"/>
      <c r="AX311" s="83"/>
      <c r="AY311" s="83"/>
      <c r="AZ311" s="83"/>
      <c r="BA311" s="83"/>
      <c r="BB311" s="83"/>
      <c r="BC311" s="83"/>
    </row>
    <row r="312" customFormat="false" ht="27.75" hidden="false" customHeight="true" outlineLevel="0" collapsed="false">
      <c r="B312" s="81" t="n">
        <v>4</v>
      </c>
      <c r="C312" s="81"/>
      <c r="D312" s="83"/>
      <c r="E312" s="83"/>
      <c r="F312" s="83"/>
      <c r="G312" s="83"/>
      <c r="H312" s="83"/>
      <c r="I312" s="83"/>
      <c r="J312" s="83"/>
      <c r="K312" s="83"/>
      <c r="L312" s="83"/>
      <c r="M312" s="83"/>
      <c r="N312" s="83"/>
      <c r="O312" s="83"/>
      <c r="P312" s="83"/>
      <c r="Q312" s="83"/>
      <c r="R312" s="83"/>
      <c r="S312" s="83"/>
      <c r="T312" s="83"/>
      <c r="U312" s="83"/>
      <c r="V312" s="83"/>
      <c r="W312" s="83"/>
      <c r="X312" s="83"/>
      <c r="Y312" s="83"/>
      <c r="Z312" s="83"/>
      <c r="AA312" s="83"/>
      <c r="AB312" s="83"/>
      <c r="AC312" s="83"/>
      <c r="AD312" s="83"/>
      <c r="AE312" s="83"/>
      <c r="AF312" s="83"/>
      <c r="AG312" s="83"/>
      <c r="AH312" s="83"/>
      <c r="AI312" s="83"/>
      <c r="AJ312" s="83"/>
      <c r="AK312" s="83"/>
      <c r="AL312" s="83"/>
      <c r="AM312" s="83"/>
      <c r="AN312" s="83"/>
      <c r="AO312" s="83"/>
      <c r="AP312" s="83"/>
      <c r="AQ312" s="83"/>
      <c r="AR312" s="83"/>
      <c r="AS312" s="83"/>
      <c r="AT312" s="83"/>
      <c r="AU312" s="83"/>
      <c r="AV312" s="83"/>
      <c r="AW312" s="83"/>
      <c r="AX312" s="83"/>
      <c r="AY312" s="83"/>
      <c r="AZ312" s="83"/>
      <c r="BA312" s="83"/>
      <c r="BB312" s="83"/>
      <c r="BC312" s="83"/>
    </row>
    <row r="313" customFormat="false" ht="27.75" hidden="false" customHeight="true" outlineLevel="0" collapsed="false">
      <c r="B313" s="81" t="n">
        <v>5</v>
      </c>
      <c r="C313" s="81"/>
      <c r="D313" s="83"/>
      <c r="E313" s="83"/>
      <c r="F313" s="83"/>
      <c r="G313" s="83"/>
      <c r="H313" s="83"/>
      <c r="I313" s="83"/>
      <c r="J313" s="83"/>
      <c r="K313" s="83"/>
      <c r="L313" s="83"/>
      <c r="M313" s="83"/>
      <c r="N313" s="83"/>
      <c r="O313" s="83"/>
      <c r="P313" s="83"/>
      <c r="Q313" s="83"/>
      <c r="R313" s="83"/>
      <c r="S313" s="83"/>
      <c r="T313" s="83"/>
      <c r="U313" s="83"/>
      <c r="V313" s="83"/>
      <c r="W313" s="83"/>
      <c r="X313" s="83"/>
      <c r="Y313" s="83"/>
      <c r="Z313" s="83"/>
      <c r="AA313" s="83"/>
      <c r="AB313" s="83"/>
      <c r="AC313" s="83"/>
      <c r="AD313" s="83"/>
      <c r="AE313" s="83"/>
      <c r="AF313" s="83"/>
      <c r="AG313" s="83"/>
      <c r="AH313" s="83"/>
      <c r="AI313" s="83"/>
      <c r="AJ313" s="83"/>
      <c r="AK313" s="83"/>
      <c r="AL313" s="83"/>
      <c r="AM313" s="83"/>
      <c r="AN313" s="83"/>
      <c r="AO313" s="83"/>
      <c r="AP313" s="83"/>
      <c r="AQ313" s="83"/>
      <c r="AR313" s="83"/>
      <c r="AS313" s="83"/>
      <c r="AT313" s="83"/>
      <c r="AU313" s="83"/>
      <c r="AV313" s="83"/>
      <c r="AW313" s="83"/>
      <c r="AX313" s="83"/>
      <c r="AY313" s="83"/>
      <c r="AZ313" s="83"/>
      <c r="BA313" s="83"/>
      <c r="BB313" s="83"/>
      <c r="BC313" s="83"/>
    </row>
    <row r="314" customFormat="false" ht="103.5" hidden="false" customHeight="true" outlineLevel="0" collapsed="false"/>
    <row r="315" customFormat="false" ht="18" hidden="false" customHeight="true" outlineLevel="0" collapsed="false">
      <c r="B315" s="75" t="s">
        <v>134</v>
      </c>
      <c r="C315" s="75"/>
      <c r="D315" s="75"/>
      <c r="E315" s="75"/>
      <c r="F315" s="75"/>
      <c r="G315" s="75"/>
      <c r="H315" s="75"/>
      <c r="I315" s="75"/>
      <c r="J315" s="75"/>
      <c r="K315" s="75"/>
      <c r="L315" s="75"/>
      <c r="M315" s="75"/>
      <c r="N315" s="75"/>
      <c r="O315" s="75"/>
      <c r="P315" s="75"/>
      <c r="Q315" s="75"/>
      <c r="R315" s="75"/>
      <c r="S315" s="75"/>
      <c r="T315" s="75"/>
      <c r="U315" s="75"/>
      <c r="V315" s="75"/>
      <c r="W315" s="75"/>
      <c r="X315" s="75"/>
      <c r="Y315" s="75"/>
      <c r="Z315" s="75"/>
      <c r="AA315" s="75"/>
      <c r="AB315" s="76" t="s">
        <v>194</v>
      </c>
      <c r="AC315" s="76"/>
      <c r="AD315" s="76"/>
      <c r="AE315" s="76"/>
      <c r="AF315" s="76"/>
      <c r="AG315" s="76"/>
      <c r="AH315" s="76"/>
      <c r="AI315" s="76"/>
      <c r="AJ315" s="76"/>
      <c r="AK315" s="76"/>
      <c r="AL315" s="76"/>
      <c r="AM315" s="76"/>
      <c r="AN315" s="76"/>
      <c r="AO315" s="76"/>
      <c r="AP315" s="76"/>
      <c r="AQ315" s="76"/>
      <c r="AR315" s="76"/>
      <c r="AS315" s="76"/>
      <c r="AT315" s="76"/>
      <c r="AU315" s="76"/>
      <c r="AV315" s="76"/>
      <c r="AW315" s="76"/>
      <c r="AX315" s="76"/>
      <c r="AY315" s="76"/>
      <c r="AZ315" s="76"/>
      <c r="BA315" s="76"/>
      <c r="BB315" s="76"/>
      <c r="BC315" s="76"/>
    </row>
    <row r="316" customFormat="false" ht="7.5" hidden="false" customHeight="true" outlineLevel="0" collapsed="false"/>
    <row r="317" customFormat="false" ht="24" hidden="false" customHeight="true" outlineLevel="0" collapsed="false">
      <c r="B317" s="86" t="s">
        <v>115</v>
      </c>
      <c r="C317" s="86"/>
      <c r="D317" s="86"/>
      <c r="E317" s="86"/>
      <c r="F317" s="86"/>
      <c r="H317" s="87" t="s">
        <v>116</v>
      </c>
      <c r="I317" s="87"/>
      <c r="J317" s="87"/>
      <c r="K317" s="87"/>
      <c r="L317" s="87"/>
      <c r="M317" s="87"/>
      <c r="N317" s="87"/>
      <c r="O317" s="87"/>
      <c r="P317" s="87"/>
      <c r="AA317" s="88" t="s">
        <v>136</v>
      </c>
      <c r="AB317" s="88"/>
      <c r="AC317" s="88"/>
      <c r="AD317" s="88"/>
      <c r="AE317" s="88"/>
      <c r="AF317" s="89" t="str">
        <f aca="false">Dashboard!$C$6</f>
        <v>Bindhya TB</v>
      </c>
      <c r="AG317" s="89"/>
      <c r="AH317" s="89"/>
      <c r="AI317" s="89"/>
      <c r="AJ317" s="89"/>
      <c r="AK317" s="89"/>
      <c r="AL317" s="89"/>
      <c r="AM317" s="89"/>
      <c r="AN317" s="89"/>
      <c r="AO317" s="89"/>
      <c r="AP317" s="89"/>
      <c r="AR317" s="88" t="s">
        <v>137</v>
      </c>
      <c r="AS317" s="88"/>
      <c r="AT317" s="89" t="str">
        <f aca="false">TEXT(Cal!H3,"dd mmm")&amp;" to "&amp;TEXT(Cal!I3,"dd mmm yy")</f>
        <v>05 Oct to 10 Oct 26</v>
      </c>
      <c r="AU317" s="89"/>
      <c r="AV317" s="89"/>
      <c r="AW317" s="89"/>
      <c r="AX317" s="89"/>
      <c r="AY317" s="89"/>
      <c r="AZ317" s="89"/>
      <c r="BA317" s="89"/>
      <c r="BB317" s="89"/>
      <c r="BC317" s="89"/>
    </row>
    <row r="318" customFormat="false" ht="3" hidden="false" customHeight="true" outlineLevel="0" collapsed="false"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</row>
    <row r="319" customFormat="false" ht="9.75" hidden="false" customHeight="true" outlineLevel="0" collapsed="false"/>
    <row r="320" customFormat="false" ht="21.75" hidden="false" customHeight="true" outlineLevel="0" collapsed="false">
      <c r="B320" s="6"/>
      <c r="C320" s="19" t="s">
        <v>195</v>
      </c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59" t="s">
        <v>196</v>
      </c>
      <c r="AM320" s="59"/>
      <c r="AN320" s="59"/>
      <c r="AO320" s="59"/>
      <c r="AP320" s="59"/>
      <c r="AQ320" s="59"/>
      <c r="AR320" s="59"/>
      <c r="AS320" s="59"/>
      <c r="AT320" s="59"/>
      <c r="AU320" s="59"/>
      <c r="AV320" s="59"/>
      <c r="AW320" s="59"/>
      <c r="AX320" s="59"/>
      <c r="AY320" s="59"/>
      <c r="AZ320" s="59"/>
      <c r="BA320" s="59"/>
      <c r="BB320" s="59"/>
      <c r="BC320" s="59"/>
    </row>
    <row r="321" customFormat="false" ht="27.75" hidden="false" customHeight="true" outlineLevel="0" collapsed="false">
      <c r="B321" s="79" t="s">
        <v>124</v>
      </c>
      <c r="C321" s="79"/>
      <c r="D321" s="80" t="s">
        <v>140</v>
      </c>
      <c r="E321" s="80"/>
      <c r="F321" s="80"/>
      <c r="G321" s="80"/>
      <c r="H321" s="80" t="s">
        <v>141</v>
      </c>
      <c r="I321" s="80"/>
      <c r="J321" s="80"/>
      <c r="K321" s="80"/>
      <c r="L321" s="80"/>
      <c r="M321" s="80"/>
      <c r="N321" s="80"/>
      <c r="O321" s="80"/>
      <c r="P321" s="80"/>
      <c r="Q321" s="80" t="s">
        <v>197</v>
      </c>
      <c r="R321" s="80"/>
      <c r="S321" s="80"/>
      <c r="T321" s="80"/>
      <c r="U321" s="80"/>
      <c r="V321" s="80"/>
      <c r="W321" s="80" t="s">
        <v>142</v>
      </c>
      <c r="X321" s="80"/>
      <c r="Y321" s="80"/>
      <c r="Z321" s="80"/>
      <c r="AA321" s="80"/>
      <c r="AB321" s="80"/>
      <c r="AC321" s="80"/>
      <c r="AD321" s="80"/>
      <c r="AE321" s="80"/>
      <c r="AF321" s="80"/>
      <c r="AG321" s="80"/>
      <c r="AH321" s="80"/>
      <c r="AI321" s="80"/>
      <c r="AJ321" s="80"/>
      <c r="AK321" s="80"/>
      <c r="AL321" s="80"/>
      <c r="AM321" s="80"/>
      <c r="AN321" s="80"/>
      <c r="AO321" s="80"/>
      <c r="AP321" s="80"/>
      <c r="AQ321" s="80"/>
      <c r="AR321" s="80"/>
      <c r="AS321" s="80"/>
      <c r="AT321" s="80"/>
      <c r="AU321" s="80"/>
      <c r="AV321" s="80"/>
      <c r="AW321" s="80"/>
      <c r="AX321" s="80"/>
      <c r="AY321" s="80"/>
      <c r="AZ321" s="80"/>
      <c r="BA321" s="80"/>
      <c r="BB321" s="80"/>
      <c r="BC321" s="80"/>
    </row>
    <row r="322" customFormat="false" ht="33.75" hidden="false" customHeight="true" outlineLevel="0" collapsed="false">
      <c r="B322" s="81" t="n">
        <v>1</v>
      </c>
      <c r="C322" s="81"/>
      <c r="D322" s="82"/>
      <c r="E322" s="82"/>
      <c r="F322" s="82"/>
      <c r="G322" s="82"/>
      <c r="H322" s="83"/>
      <c r="I322" s="83"/>
      <c r="J322" s="83"/>
      <c r="K322" s="83"/>
      <c r="L322" s="83"/>
      <c r="M322" s="83"/>
      <c r="N322" s="83"/>
      <c r="O322" s="83"/>
      <c r="P322" s="83"/>
      <c r="Q322" s="83"/>
      <c r="R322" s="83"/>
      <c r="S322" s="83"/>
      <c r="T322" s="83"/>
      <c r="U322" s="83"/>
      <c r="V322" s="83"/>
      <c r="W322" s="83"/>
      <c r="X322" s="83"/>
      <c r="Y322" s="83"/>
      <c r="Z322" s="83"/>
      <c r="AA322" s="83"/>
      <c r="AB322" s="83"/>
      <c r="AC322" s="83"/>
      <c r="AD322" s="83"/>
      <c r="AE322" s="83"/>
      <c r="AF322" s="83"/>
      <c r="AG322" s="83"/>
      <c r="AH322" s="83"/>
      <c r="AI322" s="83"/>
      <c r="AJ322" s="83"/>
      <c r="AK322" s="83"/>
      <c r="AL322" s="83"/>
      <c r="AM322" s="83"/>
      <c r="AN322" s="83"/>
      <c r="AO322" s="83"/>
      <c r="AP322" s="83"/>
      <c r="AQ322" s="83"/>
      <c r="AR322" s="83"/>
      <c r="AS322" s="83"/>
      <c r="AT322" s="83"/>
      <c r="AU322" s="83"/>
      <c r="AV322" s="83"/>
      <c r="AW322" s="83"/>
      <c r="AX322" s="83"/>
      <c r="AY322" s="83"/>
      <c r="AZ322" s="83"/>
      <c r="BA322" s="83"/>
      <c r="BB322" s="83"/>
      <c r="BC322" s="83"/>
    </row>
    <row r="323" customFormat="false" ht="33.75" hidden="false" customHeight="true" outlineLevel="0" collapsed="false">
      <c r="B323" s="81" t="n">
        <v>2</v>
      </c>
      <c r="C323" s="81"/>
      <c r="D323" s="82"/>
      <c r="E323" s="82"/>
      <c r="F323" s="82"/>
      <c r="G323" s="82"/>
      <c r="H323" s="83"/>
      <c r="I323" s="83"/>
      <c r="J323" s="83"/>
      <c r="K323" s="83"/>
      <c r="L323" s="83"/>
      <c r="M323" s="83"/>
      <c r="N323" s="83"/>
      <c r="O323" s="83"/>
      <c r="P323" s="83"/>
      <c r="Q323" s="83"/>
      <c r="R323" s="83"/>
      <c r="S323" s="83"/>
      <c r="T323" s="83"/>
      <c r="U323" s="83"/>
      <c r="V323" s="83"/>
      <c r="W323" s="83"/>
      <c r="X323" s="83"/>
      <c r="Y323" s="83"/>
      <c r="Z323" s="83"/>
      <c r="AA323" s="83"/>
      <c r="AB323" s="83"/>
      <c r="AC323" s="83"/>
      <c r="AD323" s="83"/>
      <c r="AE323" s="83"/>
      <c r="AF323" s="83"/>
      <c r="AG323" s="83"/>
      <c r="AH323" s="83"/>
      <c r="AI323" s="83"/>
      <c r="AJ323" s="83"/>
      <c r="AK323" s="83"/>
      <c r="AL323" s="83"/>
      <c r="AM323" s="83"/>
      <c r="AN323" s="83"/>
      <c r="AO323" s="83"/>
      <c r="AP323" s="83"/>
      <c r="AQ323" s="83"/>
      <c r="AR323" s="83"/>
      <c r="AS323" s="83"/>
      <c r="AT323" s="83"/>
      <c r="AU323" s="83"/>
      <c r="AV323" s="83"/>
      <c r="AW323" s="83"/>
      <c r="AX323" s="83"/>
      <c r="AY323" s="83"/>
      <c r="AZ323" s="83"/>
      <c r="BA323" s="83"/>
      <c r="BB323" s="83"/>
      <c r="BC323" s="83"/>
    </row>
    <row r="324" customFormat="false" ht="33.75" hidden="false" customHeight="true" outlineLevel="0" collapsed="false">
      <c r="B324" s="81" t="n">
        <v>3</v>
      </c>
      <c r="C324" s="81"/>
      <c r="D324" s="82"/>
      <c r="E324" s="82"/>
      <c r="F324" s="82"/>
      <c r="G324" s="82"/>
      <c r="H324" s="83"/>
      <c r="I324" s="83"/>
      <c r="J324" s="83"/>
      <c r="K324" s="83"/>
      <c r="L324" s="83"/>
      <c r="M324" s="83"/>
      <c r="N324" s="83"/>
      <c r="O324" s="83"/>
      <c r="P324" s="83"/>
      <c r="Q324" s="83"/>
      <c r="R324" s="83"/>
      <c r="S324" s="83"/>
      <c r="T324" s="83"/>
      <c r="U324" s="83"/>
      <c r="V324" s="83"/>
      <c r="W324" s="83"/>
      <c r="X324" s="83"/>
      <c r="Y324" s="83"/>
      <c r="Z324" s="83"/>
      <c r="AA324" s="83"/>
      <c r="AB324" s="83"/>
      <c r="AC324" s="83"/>
      <c r="AD324" s="83"/>
      <c r="AE324" s="83"/>
      <c r="AF324" s="83"/>
      <c r="AG324" s="83"/>
      <c r="AH324" s="83"/>
      <c r="AI324" s="83"/>
      <c r="AJ324" s="83"/>
      <c r="AK324" s="83"/>
      <c r="AL324" s="83"/>
      <c r="AM324" s="83"/>
      <c r="AN324" s="83"/>
      <c r="AO324" s="83"/>
      <c r="AP324" s="83"/>
      <c r="AQ324" s="83"/>
      <c r="AR324" s="83"/>
      <c r="AS324" s="83"/>
      <c r="AT324" s="83"/>
      <c r="AU324" s="83"/>
      <c r="AV324" s="83"/>
      <c r="AW324" s="83"/>
      <c r="AX324" s="83"/>
      <c r="AY324" s="83"/>
      <c r="AZ324" s="83"/>
      <c r="BA324" s="83"/>
      <c r="BB324" s="83"/>
      <c r="BC324" s="83"/>
    </row>
    <row r="325" customFormat="false" ht="33.75" hidden="false" customHeight="true" outlineLevel="0" collapsed="false">
      <c r="B325" s="81" t="n">
        <v>4</v>
      </c>
      <c r="C325" s="81"/>
      <c r="D325" s="82"/>
      <c r="E325" s="82"/>
      <c r="F325" s="82"/>
      <c r="G325" s="82"/>
      <c r="H325" s="83"/>
      <c r="I325" s="83"/>
      <c r="J325" s="83"/>
      <c r="K325" s="83"/>
      <c r="L325" s="83"/>
      <c r="M325" s="83"/>
      <c r="N325" s="83"/>
      <c r="O325" s="83"/>
      <c r="P325" s="83"/>
      <c r="Q325" s="83"/>
      <c r="R325" s="83"/>
      <c r="S325" s="83"/>
      <c r="T325" s="83"/>
      <c r="U325" s="83"/>
      <c r="V325" s="83"/>
      <c r="W325" s="83"/>
      <c r="X325" s="83"/>
      <c r="Y325" s="83"/>
      <c r="Z325" s="83"/>
      <c r="AA325" s="83"/>
      <c r="AB325" s="83"/>
      <c r="AC325" s="83"/>
      <c r="AD325" s="83"/>
      <c r="AE325" s="83"/>
      <c r="AF325" s="83"/>
      <c r="AG325" s="83"/>
      <c r="AH325" s="83"/>
      <c r="AI325" s="83"/>
      <c r="AJ325" s="83"/>
      <c r="AK325" s="83"/>
      <c r="AL325" s="83"/>
      <c r="AM325" s="83"/>
      <c r="AN325" s="83"/>
      <c r="AO325" s="83"/>
      <c r="AP325" s="83"/>
      <c r="AQ325" s="83"/>
      <c r="AR325" s="83"/>
      <c r="AS325" s="83"/>
      <c r="AT325" s="83"/>
      <c r="AU325" s="83"/>
      <c r="AV325" s="83"/>
      <c r="AW325" s="83"/>
      <c r="AX325" s="83"/>
      <c r="AY325" s="83"/>
      <c r="AZ325" s="83"/>
      <c r="BA325" s="83"/>
      <c r="BB325" s="83"/>
      <c r="BC325" s="83"/>
    </row>
    <row r="326" customFormat="false" ht="24" hidden="false" customHeight="true" outlineLevel="0" collapsed="false">
      <c r="B326" s="84" t="s">
        <v>132</v>
      </c>
      <c r="C326" s="84"/>
      <c r="E326" s="85" t="s">
        <v>198</v>
      </c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  <c r="AE326" s="85"/>
      <c r="AF326" s="85"/>
      <c r="AG326" s="85"/>
      <c r="AH326" s="85"/>
      <c r="AI326" s="85"/>
      <c r="AJ326" s="85"/>
      <c r="AK326" s="85"/>
      <c r="AL326" s="85"/>
      <c r="AM326" s="85"/>
      <c r="AN326" s="85"/>
      <c r="AO326" s="85"/>
      <c r="AP326" s="85"/>
      <c r="AQ326" s="85"/>
      <c r="AR326" s="85"/>
      <c r="AS326" s="85"/>
      <c r="AT326" s="85"/>
      <c r="AU326" s="85"/>
      <c r="AV326" s="85"/>
      <c r="AW326" s="85"/>
      <c r="AX326" s="85"/>
      <c r="AY326" s="85"/>
      <c r="AZ326" s="85"/>
      <c r="BA326" s="85"/>
      <c r="BB326" s="85"/>
      <c r="BC326" s="85"/>
    </row>
    <row r="327" customFormat="false" ht="9.75" hidden="false" customHeight="true" outlineLevel="0" collapsed="false"/>
    <row r="328" customFormat="false" ht="21.75" hidden="false" customHeight="true" outlineLevel="0" collapsed="false">
      <c r="B328" s="6"/>
      <c r="C328" s="19" t="s">
        <v>199</v>
      </c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59" t="s">
        <v>200</v>
      </c>
      <c r="AG328" s="59"/>
      <c r="AH328" s="59"/>
      <c r="AI328" s="59"/>
      <c r="AJ328" s="59"/>
      <c r="AK328" s="59"/>
      <c r="AL328" s="59"/>
      <c r="AM328" s="59"/>
      <c r="AN328" s="59"/>
      <c r="AO328" s="59"/>
      <c r="AP328" s="59"/>
      <c r="AQ328" s="59"/>
      <c r="AR328" s="59"/>
      <c r="AS328" s="59"/>
      <c r="AT328" s="59"/>
      <c r="AU328" s="59"/>
      <c r="AV328" s="59"/>
      <c r="AW328" s="59"/>
      <c r="AX328" s="59"/>
      <c r="AY328" s="59"/>
      <c r="AZ328" s="59"/>
      <c r="BA328" s="59"/>
      <c r="BB328" s="59"/>
      <c r="BC328" s="59"/>
    </row>
    <row r="329" customFormat="false" ht="19.5" hidden="false" customHeight="true" outlineLevel="0" collapsed="false">
      <c r="B329" s="60"/>
      <c r="C329" s="91" t="s">
        <v>89</v>
      </c>
      <c r="D329" s="91"/>
      <c r="E329" s="91"/>
      <c r="F329" s="91"/>
      <c r="G329" s="91"/>
      <c r="H329" s="91"/>
      <c r="I329" s="91"/>
      <c r="J329" s="91"/>
      <c r="K329" s="91"/>
      <c r="L329" s="91"/>
      <c r="M329" s="91"/>
      <c r="N329" s="92"/>
      <c r="P329" s="60"/>
      <c r="Q329" s="91" t="s">
        <v>201</v>
      </c>
      <c r="R329" s="91"/>
      <c r="S329" s="91"/>
      <c r="T329" s="91"/>
      <c r="U329" s="91"/>
      <c r="V329" s="91"/>
      <c r="W329" s="91"/>
      <c r="X329" s="91"/>
      <c r="Y329" s="91"/>
      <c r="Z329" s="91"/>
      <c r="AA329" s="91"/>
      <c r="AB329" s="92"/>
      <c r="AD329" s="60"/>
      <c r="AE329" s="91" t="s">
        <v>100</v>
      </c>
      <c r="AF329" s="91"/>
      <c r="AG329" s="91"/>
      <c r="AH329" s="91"/>
      <c r="AI329" s="91"/>
      <c r="AJ329" s="91"/>
      <c r="AK329" s="91"/>
      <c r="AL329" s="91"/>
      <c r="AM329" s="91"/>
      <c r="AN329" s="91"/>
      <c r="AO329" s="91"/>
      <c r="AP329" s="92"/>
      <c r="AR329" s="60"/>
      <c r="AS329" s="91" t="s">
        <v>101</v>
      </c>
      <c r="AT329" s="91"/>
      <c r="AU329" s="91"/>
      <c r="AV329" s="91"/>
      <c r="AW329" s="91"/>
      <c r="AX329" s="91"/>
      <c r="AY329" s="91"/>
      <c r="AZ329" s="91"/>
      <c r="BA329" s="91"/>
      <c r="BB329" s="91"/>
      <c r="BC329" s="92"/>
    </row>
    <row r="330" customFormat="false" ht="12" hidden="false" customHeight="true" outlineLevel="0" collapsed="false">
      <c r="B330" s="63"/>
      <c r="C330" s="93" t="s">
        <v>202</v>
      </c>
      <c r="D330" s="93"/>
      <c r="E330" s="93"/>
      <c r="F330" s="93"/>
      <c r="G330" s="93"/>
      <c r="H330" s="93"/>
      <c r="I330" s="93"/>
      <c r="J330" s="93"/>
      <c r="K330" s="93"/>
      <c r="L330" s="93"/>
      <c r="M330" s="93"/>
      <c r="N330" s="65"/>
      <c r="P330" s="63"/>
      <c r="Q330" s="93" t="s">
        <v>202</v>
      </c>
      <c r="R330" s="93"/>
      <c r="S330" s="93"/>
      <c r="T330" s="93"/>
      <c r="U330" s="93"/>
      <c r="V330" s="93"/>
      <c r="W330" s="93"/>
      <c r="X330" s="93"/>
      <c r="Y330" s="93"/>
      <c r="Z330" s="93"/>
      <c r="AA330" s="93"/>
      <c r="AB330" s="65"/>
      <c r="AD330" s="63"/>
      <c r="AE330" s="93" t="s">
        <v>202</v>
      </c>
      <c r="AF330" s="93"/>
      <c r="AG330" s="93"/>
      <c r="AH330" s="93"/>
      <c r="AI330" s="93"/>
      <c r="AJ330" s="93"/>
      <c r="AK330" s="93"/>
      <c r="AL330" s="93"/>
      <c r="AM330" s="93"/>
      <c r="AN330" s="93"/>
      <c r="AO330" s="93"/>
      <c r="AP330" s="65"/>
      <c r="AR330" s="63"/>
      <c r="AS330" s="93" t="s">
        <v>202</v>
      </c>
      <c r="AT330" s="93"/>
      <c r="AU330" s="93"/>
      <c r="AV330" s="93"/>
      <c r="AW330" s="93"/>
      <c r="AX330" s="94"/>
      <c r="AY330" s="93" t="s">
        <v>203</v>
      </c>
      <c r="AZ330" s="93"/>
      <c r="BA330" s="93"/>
      <c r="BB330" s="93"/>
      <c r="BC330" s="65"/>
    </row>
    <row r="331" customFormat="false" ht="25.5" hidden="false" customHeight="true" outlineLevel="0" collapsed="false">
      <c r="B331" s="63"/>
      <c r="C331" s="95" t="n">
        <f aca="false">SUMIFS(Data!$D$2:$D$32,Data!$A$2:$A$32,"&gt;="&amp;Cal!$H$3,Data!$A$2:$A$32,"&lt;="&amp;Cal!$I$3)</f>
        <v>0</v>
      </c>
      <c r="D331" s="95"/>
      <c r="E331" s="95"/>
      <c r="F331" s="95"/>
      <c r="G331" s="95"/>
      <c r="H331" s="95"/>
      <c r="I331" s="95"/>
      <c r="J331" s="95"/>
      <c r="K331" s="95"/>
      <c r="L331" s="95"/>
      <c r="M331" s="95"/>
      <c r="N331" s="65"/>
      <c r="P331" s="63"/>
      <c r="Q331" s="95" t="n">
        <f aca="false">SUMIFS(Data!$E$2:$E$32,Data!$A$2:$A$32,"&gt;="&amp;Cal!$H$3,Data!$A$2:$A$32,"&lt;="&amp;Cal!$I$3)</f>
        <v>0</v>
      </c>
      <c r="R331" s="95"/>
      <c r="S331" s="95"/>
      <c r="T331" s="95"/>
      <c r="U331" s="95"/>
      <c r="V331" s="95"/>
      <c r="W331" s="95"/>
      <c r="X331" s="95"/>
      <c r="Y331" s="95"/>
      <c r="Z331" s="95"/>
      <c r="AA331" s="95"/>
      <c r="AB331" s="65"/>
      <c r="AD331" s="63"/>
      <c r="AE331" s="95" t="n">
        <f aca="false">SUMIFS(Data!$I$2:$I$32,Data!$A$2:$A$32,"&gt;="&amp;Cal!$H$3,Data!$A$2:$A$32,"&lt;="&amp;Cal!$I$3)</f>
        <v>0</v>
      </c>
      <c r="AF331" s="95"/>
      <c r="AG331" s="95"/>
      <c r="AH331" s="95"/>
      <c r="AI331" s="95"/>
      <c r="AJ331" s="95"/>
      <c r="AK331" s="95"/>
      <c r="AL331" s="95"/>
      <c r="AM331" s="95"/>
      <c r="AN331" s="95"/>
      <c r="AO331" s="95"/>
      <c r="AP331" s="65"/>
      <c r="AR331" s="63"/>
      <c r="AS331" s="95" t="n">
        <f aca="false">SUMIFS(Data!$J$2:$J$32,Data!$A$2:$A$32,"&gt;="&amp;Cal!$H$3,Data!$A$2:$A$32,"&lt;="&amp;Cal!$I$3)</f>
        <v>0</v>
      </c>
      <c r="AT331" s="95"/>
      <c r="AU331" s="95"/>
      <c r="AV331" s="95"/>
      <c r="AW331" s="95"/>
      <c r="AX331" s="94"/>
      <c r="AY331" s="96" t="n">
        <f aca="false">SUM(W237:W241)</f>
        <v>0</v>
      </c>
      <c r="AZ331" s="96"/>
      <c r="BA331" s="96"/>
      <c r="BB331" s="96"/>
      <c r="BC331" s="65"/>
    </row>
    <row r="332" customFormat="false" ht="6" hidden="false" customHeight="true" outlineLevel="0" collapsed="false">
      <c r="B332" s="67"/>
      <c r="C332" s="68"/>
      <c r="D332" s="68"/>
      <c r="E332" s="68"/>
      <c r="F332" s="68"/>
      <c r="G332" s="68"/>
      <c r="H332" s="68"/>
      <c r="I332" s="68"/>
      <c r="J332" s="68"/>
      <c r="K332" s="68"/>
      <c r="L332" s="68"/>
      <c r="M332" s="68"/>
      <c r="N332" s="69"/>
      <c r="P332" s="67"/>
      <c r="Q332" s="68"/>
      <c r="R332" s="68"/>
      <c r="S332" s="68"/>
      <c r="T332" s="68"/>
      <c r="U332" s="68"/>
      <c r="V332" s="68"/>
      <c r="W332" s="68"/>
      <c r="X332" s="68"/>
      <c r="Y332" s="68"/>
      <c r="Z332" s="68"/>
      <c r="AA332" s="68"/>
      <c r="AB332" s="69"/>
      <c r="AD332" s="67"/>
      <c r="AE332" s="68"/>
      <c r="AF332" s="68"/>
      <c r="AG332" s="68"/>
      <c r="AH332" s="68"/>
      <c r="AI332" s="68"/>
      <c r="AJ332" s="68"/>
      <c r="AK332" s="68"/>
      <c r="AL332" s="68"/>
      <c r="AM332" s="68"/>
      <c r="AN332" s="68"/>
      <c r="AO332" s="68"/>
      <c r="AP332" s="69"/>
      <c r="AR332" s="67"/>
      <c r="AS332" s="68"/>
      <c r="AT332" s="68"/>
      <c r="AU332" s="68"/>
      <c r="AV332" s="68"/>
      <c r="AW332" s="68"/>
      <c r="AX332" s="68"/>
      <c r="AY332" s="68"/>
      <c r="AZ332" s="68"/>
      <c r="BA332" s="68"/>
      <c r="BB332" s="68"/>
      <c r="BC332" s="69"/>
    </row>
    <row r="333" customFormat="false" ht="7.5" hidden="false" customHeight="true" outlineLevel="0" collapsed="false"/>
    <row r="334" customFormat="false" ht="19.5" hidden="false" customHeight="true" outlineLevel="0" collapsed="false">
      <c r="B334" s="60"/>
      <c r="C334" s="91" t="s">
        <v>102</v>
      </c>
      <c r="D334" s="91"/>
      <c r="E334" s="91"/>
      <c r="F334" s="91"/>
      <c r="G334" s="91"/>
      <c r="H334" s="91"/>
      <c r="I334" s="91"/>
      <c r="J334" s="91"/>
      <c r="K334" s="91"/>
      <c r="L334" s="91"/>
      <c r="M334" s="91"/>
      <c r="N334" s="92"/>
      <c r="P334" s="60"/>
      <c r="Q334" s="91" t="s">
        <v>103</v>
      </c>
      <c r="R334" s="91"/>
      <c r="S334" s="91"/>
      <c r="T334" s="91"/>
      <c r="U334" s="91"/>
      <c r="V334" s="91"/>
      <c r="W334" s="91"/>
      <c r="X334" s="91"/>
      <c r="Y334" s="91"/>
      <c r="Z334" s="91"/>
      <c r="AA334" s="91"/>
      <c r="AB334" s="92"/>
      <c r="AD334" s="60"/>
      <c r="AE334" s="91" t="s">
        <v>104</v>
      </c>
      <c r="AF334" s="91"/>
      <c r="AG334" s="91"/>
      <c r="AH334" s="91"/>
      <c r="AI334" s="91"/>
      <c r="AJ334" s="91"/>
      <c r="AK334" s="91"/>
      <c r="AL334" s="91"/>
      <c r="AM334" s="91"/>
      <c r="AN334" s="91"/>
      <c r="AO334" s="91"/>
      <c r="AP334" s="92"/>
      <c r="AR334" s="60"/>
      <c r="AS334" s="91" t="s">
        <v>204</v>
      </c>
      <c r="AT334" s="91"/>
      <c r="AU334" s="91"/>
      <c r="AV334" s="91"/>
      <c r="AW334" s="91"/>
      <c r="AX334" s="91"/>
      <c r="AY334" s="91"/>
      <c r="AZ334" s="91"/>
      <c r="BA334" s="91"/>
      <c r="BB334" s="91"/>
      <c r="BC334" s="92"/>
    </row>
    <row r="335" customFormat="false" ht="12" hidden="false" customHeight="true" outlineLevel="0" collapsed="false">
      <c r="B335" s="63"/>
      <c r="C335" s="93" t="s">
        <v>202</v>
      </c>
      <c r="D335" s="93"/>
      <c r="E335" s="93"/>
      <c r="F335" s="93"/>
      <c r="G335" s="93"/>
      <c r="H335" s="94"/>
      <c r="I335" s="93" t="s">
        <v>205</v>
      </c>
      <c r="J335" s="93"/>
      <c r="K335" s="93"/>
      <c r="L335" s="93"/>
      <c r="M335" s="93"/>
      <c r="N335" s="65"/>
      <c r="P335" s="63"/>
      <c r="Q335" s="93" t="s">
        <v>202</v>
      </c>
      <c r="R335" s="93"/>
      <c r="S335" s="93"/>
      <c r="T335" s="93"/>
      <c r="U335" s="93"/>
      <c r="V335" s="94"/>
      <c r="W335" s="93" t="s">
        <v>206</v>
      </c>
      <c r="X335" s="93"/>
      <c r="Y335" s="93"/>
      <c r="Z335" s="93"/>
      <c r="AA335" s="93"/>
      <c r="AB335" s="65"/>
      <c r="AD335" s="63"/>
      <c r="AE335" s="93" t="s">
        <v>202</v>
      </c>
      <c r="AF335" s="93"/>
      <c r="AG335" s="93"/>
      <c r="AH335" s="93"/>
      <c r="AI335" s="93"/>
      <c r="AJ335" s="94"/>
      <c r="AK335" s="93" t="s">
        <v>205</v>
      </c>
      <c r="AL335" s="93"/>
      <c r="AM335" s="93"/>
      <c r="AN335" s="93"/>
      <c r="AO335" s="93"/>
      <c r="AP335" s="65"/>
      <c r="AR335" s="63"/>
      <c r="AS335" s="93" t="s">
        <v>202</v>
      </c>
      <c r="AT335" s="93"/>
      <c r="AU335" s="93"/>
      <c r="AV335" s="93"/>
      <c r="AW335" s="93"/>
      <c r="AX335" s="93"/>
      <c r="AY335" s="93"/>
      <c r="AZ335" s="93"/>
      <c r="BA335" s="93"/>
      <c r="BB335" s="93"/>
      <c r="BC335" s="65"/>
    </row>
    <row r="336" customFormat="false" ht="25.5" hidden="false" customHeight="true" outlineLevel="0" collapsed="false">
      <c r="B336" s="63"/>
      <c r="C336" s="95" t="n">
        <f aca="false">SUMIFS(Data!$K$2:$K$32,Data!$A$2:$A$32,"&gt;="&amp;Cal!$H$3,Data!$A$2:$A$32,"&lt;="&amp;Cal!$I$3)</f>
        <v>0</v>
      </c>
      <c r="D336" s="95"/>
      <c r="E336" s="95"/>
      <c r="F336" s="95"/>
      <c r="G336" s="95"/>
      <c r="H336" s="94"/>
      <c r="I336" s="95" t="n">
        <f aca="false">COUNTIF(AW251:AW255,"O")</f>
        <v>0</v>
      </c>
      <c r="J336" s="95"/>
      <c r="K336" s="95"/>
      <c r="L336" s="95"/>
      <c r="M336" s="95"/>
      <c r="N336" s="65"/>
      <c r="P336" s="63"/>
      <c r="Q336" s="95" t="n">
        <f aca="false">SUMIFS(Data!$L$2:$L$32,Data!$A$2:$A$32,"&gt;="&amp;Cal!$H$3,Data!$A$2:$A$32,"&lt;="&amp;Cal!$I$3)</f>
        <v>0</v>
      </c>
      <c r="R336" s="95"/>
      <c r="S336" s="95"/>
      <c r="T336" s="95"/>
      <c r="U336" s="95"/>
      <c r="V336" s="94"/>
      <c r="W336" s="95" t="n">
        <f aca="false">COUNTIF(AC260:AC264,"&gt;0")</f>
        <v>0</v>
      </c>
      <c r="X336" s="95"/>
      <c r="Y336" s="95"/>
      <c r="Z336" s="95"/>
      <c r="AA336" s="95"/>
      <c r="AB336" s="65"/>
      <c r="AD336" s="63"/>
      <c r="AE336" s="95" t="n">
        <f aca="false">SUMIFS(Data!$M$2:$M$32,Data!$A$2:$A$32,"&gt;="&amp;Cal!$H$3,Data!$A$2:$A$32,"&lt;="&amp;Cal!$I$3)</f>
        <v>0</v>
      </c>
      <c r="AF336" s="95"/>
      <c r="AG336" s="95"/>
      <c r="AH336" s="95"/>
      <c r="AI336" s="95"/>
      <c r="AJ336" s="94"/>
      <c r="AK336" s="95" t="n">
        <f aca="false">COUNTIF(AV274:AV279,"O")</f>
        <v>0</v>
      </c>
      <c r="AL336" s="95"/>
      <c r="AM336" s="95"/>
      <c r="AN336" s="95"/>
      <c r="AO336" s="95"/>
      <c r="AP336" s="65"/>
      <c r="AR336" s="63"/>
      <c r="AS336" s="95" t="n">
        <f aca="false">SUMIFS(Data!$H$2:$H$32,Data!$A$2:$A$32,"&gt;="&amp;Cal!$H$3,Data!$A$2:$A$32,"&lt;="&amp;Cal!$I$3)</f>
        <v>0</v>
      </c>
      <c r="AT336" s="95"/>
      <c r="AU336" s="95"/>
      <c r="AV336" s="95"/>
      <c r="AW336" s="95"/>
      <c r="AX336" s="95"/>
      <c r="AY336" s="95"/>
      <c r="AZ336" s="95"/>
      <c r="BA336" s="95"/>
      <c r="BB336" s="95"/>
      <c r="BC336" s="65"/>
    </row>
    <row r="337" customFormat="false" ht="6" hidden="false" customHeight="true" outlineLevel="0" collapsed="false">
      <c r="B337" s="67"/>
      <c r="C337" s="68"/>
      <c r="D337" s="68"/>
      <c r="E337" s="68"/>
      <c r="F337" s="68"/>
      <c r="G337" s="68"/>
      <c r="H337" s="68"/>
      <c r="I337" s="68"/>
      <c r="J337" s="68"/>
      <c r="K337" s="68"/>
      <c r="L337" s="68"/>
      <c r="M337" s="68"/>
      <c r="N337" s="69"/>
      <c r="P337" s="67"/>
      <c r="Q337" s="68"/>
      <c r="R337" s="68"/>
      <c r="S337" s="68"/>
      <c r="T337" s="68"/>
      <c r="U337" s="68"/>
      <c r="V337" s="68"/>
      <c r="W337" s="68"/>
      <c r="X337" s="68"/>
      <c r="Y337" s="68"/>
      <c r="Z337" s="68"/>
      <c r="AA337" s="68"/>
      <c r="AB337" s="69"/>
      <c r="AD337" s="67"/>
      <c r="AE337" s="68"/>
      <c r="AF337" s="68"/>
      <c r="AG337" s="68"/>
      <c r="AH337" s="68"/>
      <c r="AI337" s="68"/>
      <c r="AJ337" s="68"/>
      <c r="AK337" s="68"/>
      <c r="AL337" s="68"/>
      <c r="AM337" s="68"/>
      <c r="AN337" s="68"/>
      <c r="AO337" s="68"/>
      <c r="AP337" s="69"/>
      <c r="AR337" s="67"/>
      <c r="AS337" s="68"/>
      <c r="AT337" s="68"/>
      <c r="AU337" s="68"/>
      <c r="AV337" s="68"/>
      <c r="AW337" s="68"/>
      <c r="AX337" s="68"/>
      <c r="AY337" s="68"/>
      <c r="AZ337" s="68"/>
      <c r="BA337" s="68"/>
      <c r="BB337" s="68"/>
      <c r="BC337" s="69"/>
    </row>
    <row r="338" customFormat="false" ht="7.5" hidden="false" customHeight="true" outlineLevel="0" collapsed="false"/>
    <row r="339" customFormat="false" ht="108" hidden="false" customHeight="true" outlineLevel="0" collapsed="false"/>
    <row r="340" customFormat="false" ht="6" hidden="false" customHeight="true" outlineLevel="0" collapsed="false"/>
    <row r="341" customFormat="false" ht="19.5" hidden="false" customHeight="true" outlineLevel="0" collapsed="false">
      <c r="B341" s="73" t="s">
        <v>107</v>
      </c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4" t="s">
        <v>108</v>
      </c>
      <c r="R341" s="74"/>
      <c r="S341" s="74"/>
      <c r="T341" s="74"/>
      <c r="U341" s="74"/>
      <c r="V341" s="74"/>
      <c r="W341" s="74"/>
      <c r="X341" s="74"/>
      <c r="Y341" s="74"/>
      <c r="Z341" s="74"/>
      <c r="AA341" s="74"/>
      <c r="AC341" s="73" t="s">
        <v>207</v>
      </c>
      <c r="AD341" s="73"/>
      <c r="AE341" s="73"/>
      <c r="AF341" s="73"/>
      <c r="AG341" s="73"/>
      <c r="AH341" s="73"/>
      <c r="AI341" s="73"/>
      <c r="AJ341" s="73"/>
      <c r="AK341" s="73"/>
      <c r="AL341" s="73"/>
      <c r="AM341" s="73"/>
      <c r="AN341" s="73"/>
      <c r="AO341" s="73"/>
      <c r="AP341" s="73"/>
      <c r="AQ341" s="73"/>
      <c r="AR341" s="73"/>
      <c r="AS341" s="74" t="s">
        <v>108</v>
      </c>
      <c r="AT341" s="74"/>
      <c r="AU341" s="74"/>
      <c r="AV341" s="74"/>
      <c r="AW341" s="74"/>
      <c r="AX341" s="74"/>
      <c r="AY341" s="74"/>
      <c r="AZ341" s="74"/>
      <c r="BA341" s="74"/>
      <c r="BB341" s="74"/>
      <c r="BC341" s="74"/>
    </row>
    <row r="342" customFormat="false" ht="18" hidden="false" customHeight="true" outlineLevel="0" collapsed="false">
      <c r="B342" s="75" t="s">
        <v>134</v>
      </c>
      <c r="C342" s="75"/>
      <c r="D342" s="75"/>
      <c r="E342" s="75"/>
      <c r="F342" s="75"/>
      <c r="G342" s="75"/>
      <c r="H342" s="75"/>
      <c r="I342" s="75"/>
      <c r="J342" s="75"/>
      <c r="K342" s="75"/>
      <c r="L342" s="75"/>
      <c r="M342" s="75"/>
      <c r="N342" s="75"/>
      <c r="O342" s="75"/>
      <c r="P342" s="75"/>
      <c r="Q342" s="75"/>
      <c r="R342" s="75"/>
      <c r="S342" s="75"/>
      <c r="T342" s="75"/>
      <c r="U342" s="75"/>
      <c r="V342" s="75"/>
      <c r="W342" s="75"/>
      <c r="X342" s="75"/>
      <c r="Y342" s="75"/>
      <c r="Z342" s="75"/>
      <c r="AA342" s="75"/>
      <c r="AB342" s="76" t="s">
        <v>208</v>
      </c>
      <c r="AC342" s="76"/>
      <c r="AD342" s="76"/>
      <c r="AE342" s="76"/>
      <c r="AF342" s="76"/>
      <c r="AG342" s="76"/>
      <c r="AH342" s="76"/>
      <c r="AI342" s="76"/>
      <c r="AJ342" s="76"/>
      <c r="AK342" s="76"/>
      <c r="AL342" s="76"/>
      <c r="AM342" s="76"/>
      <c r="AN342" s="76"/>
      <c r="AO342" s="76"/>
      <c r="AP342" s="76"/>
      <c r="AQ342" s="76"/>
      <c r="AR342" s="76"/>
      <c r="AS342" s="76"/>
      <c r="AT342" s="76"/>
      <c r="AU342" s="76"/>
      <c r="AV342" s="76"/>
      <c r="AW342" s="76"/>
      <c r="AX342" s="76"/>
      <c r="AY342" s="76"/>
      <c r="AZ342" s="76"/>
      <c r="BA342" s="76"/>
      <c r="BB342" s="76"/>
      <c r="BC342" s="76"/>
    </row>
    <row r="343" customFormat="false" ht="7.5" hidden="false" customHeight="true" outlineLevel="0" collapsed="false"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</row>
    <row r="344" customFormat="false" ht="19.5" hidden="false" customHeight="true" outlineLevel="0" collapsed="false">
      <c r="B344" s="1"/>
      <c r="C344" s="51" t="s">
        <v>114</v>
      </c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  <c r="AA344" s="51"/>
      <c r="AB344" s="51"/>
      <c r="AC344" s="51"/>
      <c r="AD344" s="51"/>
      <c r="AE344" s="51"/>
      <c r="AF344" s="51"/>
      <c r="AG344" s="51"/>
      <c r="AH344" s="51"/>
      <c r="AI344" s="51"/>
      <c r="AJ344" s="51"/>
      <c r="AK344" s="51"/>
      <c r="AL344" s="51"/>
      <c r="AM344" s="51"/>
      <c r="AN344" s="51"/>
      <c r="AO344" s="51"/>
      <c r="AP344" s="51"/>
      <c r="AQ344" s="51"/>
      <c r="AR344" s="1"/>
      <c r="AS344" s="1"/>
      <c r="AT344" s="1"/>
      <c r="AU344" s="52" t="s">
        <v>115</v>
      </c>
      <c r="AV344" s="52"/>
      <c r="AW344" s="52"/>
      <c r="AX344" s="52"/>
      <c r="AY344" s="52"/>
      <c r="AZ344" s="52"/>
      <c r="BA344" s="52"/>
      <c r="BB344" s="1"/>
      <c r="BC344" s="1"/>
    </row>
    <row r="345" customFormat="false" ht="30" hidden="false" customHeight="true" outlineLevel="0" collapsed="false">
      <c r="B345" s="1"/>
      <c r="C345" s="53" t="s">
        <v>116</v>
      </c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4" t="s">
        <v>117</v>
      </c>
      <c r="AS345" s="54"/>
      <c r="AT345" s="54"/>
      <c r="AU345" s="54"/>
      <c r="AV345" s="54"/>
      <c r="AW345" s="54"/>
      <c r="AX345" s="54"/>
      <c r="AY345" s="54"/>
      <c r="AZ345" s="54"/>
      <c r="BA345" s="54"/>
      <c r="BB345" s="1"/>
      <c r="BC345" s="1"/>
    </row>
    <row r="346" customFormat="false" ht="15.75" hidden="false" customHeight="true" outlineLevel="0" collapsed="false">
      <c r="B346" s="1"/>
      <c r="C346" s="55" t="s">
        <v>118</v>
      </c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</row>
    <row r="347" customFormat="false" ht="9.75" hidden="false" customHeight="true" outlineLevel="0" collapsed="false"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</row>
    <row r="348" customFormat="false" ht="3.75" hidden="false" customHeight="true" outlineLevel="0" collapsed="false"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  <c r="BB348" s="6"/>
      <c r="BC348" s="6"/>
    </row>
    <row r="349" customFormat="false" ht="7.5" hidden="false" customHeight="true" outlineLevel="0" collapsed="false"/>
    <row r="350" customFormat="false" ht="13.5" hidden="false" customHeight="true" outlineLevel="0" collapsed="false">
      <c r="B350" s="56" t="s">
        <v>83</v>
      </c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U350" s="56" t="s">
        <v>84</v>
      </c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G350" s="56" t="s">
        <v>119</v>
      </c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S350" s="56" t="s">
        <v>120</v>
      </c>
      <c r="AT350" s="56"/>
      <c r="AU350" s="56"/>
      <c r="AV350" s="56"/>
      <c r="AW350" s="56"/>
      <c r="AX350" s="56"/>
      <c r="AY350" s="56"/>
      <c r="AZ350" s="56"/>
      <c r="BA350" s="56"/>
      <c r="BB350" s="56"/>
      <c r="BC350" s="56"/>
    </row>
    <row r="351" customFormat="false" ht="21.75" hidden="false" customHeight="true" outlineLevel="0" collapsed="false">
      <c r="B351" s="57" t="str">
        <f aca="false">Dashboard!$C$6</f>
        <v>Bindhya TB</v>
      </c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U351" s="57" t="str">
        <f aca="false">Dashboard!$C$7</f>
        <v>Tourism &amp; Business</v>
      </c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G351" s="58" t="n">
        <f aca="false">Cal!H4</f>
        <v>46307</v>
      </c>
      <c r="AH351" s="58"/>
      <c r="AI351" s="58"/>
      <c r="AJ351" s="58"/>
      <c r="AK351" s="58"/>
      <c r="AL351" s="58"/>
      <c r="AM351" s="58"/>
      <c r="AN351" s="58"/>
      <c r="AO351" s="58"/>
      <c r="AP351" s="58"/>
      <c r="AQ351" s="58"/>
      <c r="AS351" s="58" t="n">
        <f aca="false">Cal!I4</f>
        <v>46312</v>
      </c>
      <c r="AT351" s="58"/>
      <c r="AU351" s="58"/>
      <c r="AV351" s="58"/>
      <c r="AW351" s="58"/>
      <c r="AX351" s="58"/>
      <c r="AY351" s="58"/>
      <c r="AZ351" s="58"/>
      <c r="BA351" s="58"/>
      <c r="BB351" s="58"/>
      <c r="BC351" s="58"/>
    </row>
    <row r="352" customFormat="false" ht="9.75" hidden="false" customHeight="true" outlineLevel="0" collapsed="false"/>
    <row r="353" customFormat="false" ht="18" hidden="false" customHeight="true" outlineLevel="0" collapsed="false">
      <c r="B353" s="6"/>
      <c r="C353" s="78" t="s">
        <v>121</v>
      </c>
      <c r="D353" s="78"/>
      <c r="E353" s="78"/>
      <c r="F353" s="78"/>
      <c r="G353" s="78"/>
      <c r="H353" s="78"/>
      <c r="I353" s="78"/>
      <c r="J353" s="78"/>
      <c r="K353" s="78"/>
      <c r="L353" s="78"/>
      <c r="M353" s="78"/>
      <c r="N353" s="78"/>
      <c r="O353" s="78"/>
      <c r="P353" s="78"/>
      <c r="Q353" s="78"/>
      <c r="R353" s="78"/>
      <c r="S353" s="78"/>
      <c r="T353" s="78"/>
      <c r="U353" s="78"/>
      <c r="V353" s="78"/>
      <c r="W353" s="78"/>
      <c r="X353" s="78"/>
      <c r="Y353" s="78"/>
      <c r="Z353" s="78"/>
      <c r="AA353" s="78"/>
      <c r="AB353" s="78"/>
      <c r="AC353" s="78"/>
      <c r="AD353" s="78"/>
      <c r="AE353" s="78"/>
      <c r="AF353" s="78"/>
      <c r="AG353" s="78"/>
      <c r="AH353" s="78"/>
      <c r="AI353" s="78"/>
      <c r="AJ353" s="78"/>
      <c r="AK353" s="78"/>
      <c r="AL353" s="78"/>
      <c r="AM353" s="78"/>
      <c r="AN353" s="78"/>
      <c r="AO353" s="78"/>
      <c r="AP353" s="78"/>
      <c r="AQ353" s="78"/>
      <c r="AR353" s="78"/>
      <c r="AS353" s="78"/>
      <c r="AT353" s="78"/>
      <c r="AU353" s="78"/>
      <c r="AV353" s="78"/>
      <c r="AW353" s="78"/>
      <c r="AX353" s="78"/>
      <c r="AY353" s="78"/>
      <c r="AZ353" s="78"/>
      <c r="BA353" s="78"/>
      <c r="BB353" s="78"/>
      <c r="BC353" s="78"/>
    </row>
    <row r="354" customFormat="false" ht="18" hidden="false" customHeight="true" outlineLevel="0" collapsed="false">
      <c r="B354" s="6"/>
      <c r="C354" s="78"/>
      <c r="D354" s="78"/>
      <c r="E354" s="78"/>
      <c r="F354" s="78"/>
      <c r="G354" s="78"/>
      <c r="H354" s="78"/>
      <c r="I354" s="78"/>
      <c r="J354" s="78"/>
      <c r="K354" s="78"/>
      <c r="L354" s="78"/>
      <c r="M354" s="78"/>
      <c r="N354" s="78"/>
      <c r="O354" s="78"/>
      <c r="P354" s="78"/>
      <c r="Q354" s="78"/>
      <c r="R354" s="78"/>
      <c r="S354" s="78"/>
      <c r="T354" s="78"/>
      <c r="U354" s="78"/>
      <c r="V354" s="78"/>
      <c r="W354" s="78"/>
      <c r="X354" s="78"/>
      <c r="Y354" s="78"/>
      <c r="Z354" s="78"/>
      <c r="AA354" s="78"/>
      <c r="AB354" s="78"/>
      <c r="AC354" s="78"/>
      <c r="AD354" s="78"/>
      <c r="AE354" s="78"/>
      <c r="AF354" s="78"/>
      <c r="AG354" s="78"/>
      <c r="AH354" s="78"/>
      <c r="AI354" s="78"/>
      <c r="AJ354" s="78"/>
      <c r="AK354" s="78"/>
      <c r="AL354" s="78"/>
      <c r="AM354" s="78"/>
      <c r="AN354" s="78"/>
      <c r="AO354" s="78"/>
      <c r="AP354" s="78"/>
      <c r="AQ354" s="78"/>
      <c r="AR354" s="78"/>
      <c r="AS354" s="78"/>
      <c r="AT354" s="78"/>
      <c r="AU354" s="78"/>
      <c r="AV354" s="78"/>
      <c r="AW354" s="78"/>
      <c r="AX354" s="78"/>
      <c r="AY354" s="78"/>
      <c r="AZ354" s="78"/>
      <c r="BA354" s="78"/>
      <c r="BB354" s="78"/>
      <c r="BC354" s="78"/>
    </row>
    <row r="355" customFormat="false" ht="9.75" hidden="false" customHeight="true" outlineLevel="0" collapsed="false"/>
    <row r="356" customFormat="false" ht="21.75" hidden="false" customHeight="true" outlineLevel="0" collapsed="false">
      <c r="B356" s="6"/>
      <c r="C356" s="19" t="s">
        <v>122</v>
      </c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59" t="s">
        <v>123</v>
      </c>
      <c r="AM356" s="59"/>
      <c r="AN356" s="59"/>
      <c r="AO356" s="59"/>
      <c r="AP356" s="59"/>
      <c r="AQ356" s="59"/>
      <c r="AR356" s="59"/>
      <c r="AS356" s="59"/>
      <c r="AT356" s="59"/>
      <c r="AU356" s="59"/>
      <c r="AV356" s="59"/>
      <c r="AW356" s="59"/>
      <c r="AX356" s="59"/>
      <c r="AY356" s="59"/>
      <c r="AZ356" s="59"/>
      <c r="BA356" s="59"/>
      <c r="BB356" s="59"/>
      <c r="BC356" s="59"/>
    </row>
    <row r="357" customFormat="false" ht="27.75" hidden="false" customHeight="true" outlineLevel="0" collapsed="false">
      <c r="B357" s="79" t="s">
        <v>124</v>
      </c>
      <c r="C357" s="79"/>
      <c r="D357" s="80" t="s">
        <v>125</v>
      </c>
      <c r="E357" s="80"/>
      <c r="F357" s="80"/>
      <c r="G357" s="80"/>
      <c r="H357" s="80" t="s">
        <v>126</v>
      </c>
      <c r="I357" s="80"/>
      <c r="J357" s="80"/>
      <c r="K357" s="80"/>
      <c r="L357" s="80"/>
      <c r="M357" s="80"/>
      <c r="N357" s="80"/>
      <c r="O357" s="80" t="s">
        <v>127</v>
      </c>
      <c r="P357" s="80"/>
      <c r="Q357" s="80"/>
      <c r="R357" s="80"/>
      <c r="S357" s="80"/>
      <c r="T357" s="80"/>
      <c r="U357" s="80"/>
      <c r="V357" s="80" t="s">
        <v>128</v>
      </c>
      <c r="W357" s="80"/>
      <c r="X357" s="80"/>
      <c r="Y357" s="80"/>
      <c r="Z357" s="80" t="s">
        <v>129</v>
      </c>
      <c r="AA357" s="80"/>
      <c r="AB357" s="80"/>
      <c r="AC357" s="80"/>
      <c r="AD357" s="80"/>
      <c r="AE357" s="80"/>
      <c r="AF357" s="80"/>
      <c r="AG357" s="80"/>
      <c r="AH357" s="80"/>
      <c r="AI357" s="80"/>
      <c r="AJ357" s="80"/>
      <c r="AK357" s="80"/>
      <c r="AL357" s="80"/>
      <c r="AM357" s="80"/>
      <c r="AN357" s="80"/>
      <c r="AO357" s="80"/>
      <c r="AP357" s="80"/>
      <c r="AQ357" s="80"/>
      <c r="AR357" s="80"/>
      <c r="AS357" s="80"/>
      <c r="AT357" s="80"/>
      <c r="AU357" s="80"/>
      <c r="AV357" s="80"/>
      <c r="AW357" s="80"/>
      <c r="AX357" s="80"/>
      <c r="AY357" s="80"/>
      <c r="AZ357" s="80"/>
      <c r="BA357" s="80"/>
      <c r="BB357" s="80"/>
      <c r="BC357" s="80"/>
    </row>
    <row r="358" customFormat="false" ht="24.75" hidden="false" customHeight="true" outlineLevel="0" collapsed="false">
      <c r="B358" s="81" t="n">
        <v>1</v>
      </c>
      <c r="C358" s="81"/>
      <c r="D358" s="82"/>
      <c r="E358" s="82"/>
      <c r="F358" s="82"/>
      <c r="G358" s="82"/>
      <c r="H358" s="83"/>
      <c r="I358" s="83"/>
      <c r="J358" s="83"/>
      <c r="K358" s="83"/>
      <c r="L358" s="83"/>
      <c r="M358" s="83"/>
      <c r="N358" s="83"/>
      <c r="O358" s="83"/>
      <c r="P358" s="83"/>
      <c r="Q358" s="83"/>
      <c r="R358" s="83"/>
      <c r="S358" s="83"/>
      <c r="T358" s="83"/>
      <c r="U358" s="83"/>
      <c r="V358" s="83"/>
      <c r="W358" s="83"/>
      <c r="X358" s="83"/>
      <c r="Y358" s="83"/>
      <c r="Z358" s="83"/>
      <c r="AA358" s="83"/>
      <c r="AB358" s="83"/>
      <c r="AC358" s="83"/>
      <c r="AD358" s="83"/>
      <c r="AE358" s="83"/>
      <c r="AF358" s="83"/>
      <c r="AG358" s="83"/>
      <c r="AH358" s="83"/>
      <c r="AI358" s="83"/>
      <c r="AJ358" s="83"/>
      <c r="AK358" s="83"/>
      <c r="AL358" s="83"/>
      <c r="AM358" s="83"/>
      <c r="AN358" s="83"/>
      <c r="AO358" s="83"/>
      <c r="AP358" s="83"/>
      <c r="AQ358" s="83"/>
      <c r="AR358" s="83"/>
      <c r="AS358" s="83"/>
      <c r="AT358" s="83"/>
      <c r="AU358" s="83"/>
      <c r="AV358" s="83"/>
      <c r="AW358" s="83"/>
      <c r="AX358" s="83"/>
      <c r="AY358" s="83"/>
      <c r="AZ358" s="83"/>
      <c r="BA358" s="83"/>
      <c r="BB358" s="83"/>
      <c r="BC358" s="83"/>
    </row>
    <row r="359" customFormat="false" ht="24.75" hidden="false" customHeight="true" outlineLevel="0" collapsed="false">
      <c r="B359" s="81" t="n">
        <v>2</v>
      </c>
      <c r="C359" s="81"/>
      <c r="D359" s="82"/>
      <c r="E359" s="82"/>
      <c r="F359" s="82"/>
      <c r="G359" s="82"/>
      <c r="H359" s="83"/>
      <c r="I359" s="83"/>
      <c r="J359" s="83"/>
      <c r="K359" s="83"/>
      <c r="L359" s="83"/>
      <c r="M359" s="83"/>
      <c r="N359" s="83"/>
      <c r="O359" s="83"/>
      <c r="P359" s="83"/>
      <c r="Q359" s="83"/>
      <c r="R359" s="83"/>
      <c r="S359" s="83"/>
      <c r="T359" s="83"/>
      <c r="U359" s="83"/>
      <c r="V359" s="83"/>
      <c r="W359" s="83"/>
      <c r="X359" s="83"/>
      <c r="Y359" s="83"/>
      <c r="Z359" s="83"/>
      <c r="AA359" s="83"/>
      <c r="AB359" s="83"/>
      <c r="AC359" s="83"/>
      <c r="AD359" s="83"/>
      <c r="AE359" s="83"/>
      <c r="AF359" s="83"/>
      <c r="AG359" s="83"/>
      <c r="AH359" s="83"/>
      <c r="AI359" s="83"/>
      <c r="AJ359" s="83"/>
      <c r="AK359" s="83"/>
      <c r="AL359" s="83"/>
      <c r="AM359" s="83"/>
      <c r="AN359" s="83"/>
      <c r="AO359" s="83"/>
      <c r="AP359" s="83"/>
      <c r="AQ359" s="83"/>
      <c r="AR359" s="83"/>
      <c r="AS359" s="83"/>
      <c r="AT359" s="83"/>
      <c r="AU359" s="83"/>
      <c r="AV359" s="83"/>
      <c r="AW359" s="83"/>
      <c r="AX359" s="83"/>
      <c r="AY359" s="83"/>
      <c r="AZ359" s="83"/>
      <c r="BA359" s="83"/>
      <c r="BB359" s="83"/>
      <c r="BC359" s="83"/>
    </row>
    <row r="360" customFormat="false" ht="24.75" hidden="false" customHeight="true" outlineLevel="0" collapsed="false">
      <c r="B360" s="81" t="n">
        <v>3</v>
      </c>
      <c r="C360" s="81"/>
      <c r="D360" s="82"/>
      <c r="E360" s="82"/>
      <c r="F360" s="82"/>
      <c r="G360" s="82"/>
      <c r="H360" s="83"/>
      <c r="I360" s="83"/>
      <c r="J360" s="83"/>
      <c r="K360" s="83"/>
      <c r="L360" s="83"/>
      <c r="M360" s="83"/>
      <c r="N360" s="83"/>
      <c r="O360" s="83"/>
      <c r="P360" s="83"/>
      <c r="Q360" s="83"/>
      <c r="R360" s="83"/>
      <c r="S360" s="83"/>
      <c r="T360" s="83"/>
      <c r="U360" s="83"/>
      <c r="V360" s="83"/>
      <c r="W360" s="83"/>
      <c r="X360" s="83"/>
      <c r="Y360" s="83"/>
      <c r="Z360" s="83"/>
      <c r="AA360" s="83"/>
      <c r="AB360" s="83"/>
      <c r="AC360" s="83"/>
      <c r="AD360" s="83"/>
      <c r="AE360" s="83"/>
      <c r="AF360" s="83"/>
      <c r="AG360" s="83"/>
      <c r="AH360" s="83"/>
      <c r="AI360" s="83"/>
      <c r="AJ360" s="83"/>
      <c r="AK360" s="83"/>
      <c r="AL360" s="83"/>
      <c r="AM360" s="83"/>
      <c r="AN360" s="83"/>
      <c r="AO360" s="83"/>
      <c r="AP360" s="83"/>
      <c r="AQ360" s="83"/>
      <c r="AR360" s="83"/>
      <c r="AS360" s="83"/>
      <c r="AT360" s="83"/>
      <c r="AU360" s="83"/>
      <c r="AV360" s="83"/>
      <c r="AW360" s="83"/>
      <c r="AX360" s="83"/>
      <c r="AY360" s="83"/>
      <c r="AZ360" s="83"/>
      <c r="BA360" s="83"/>
      <c r="BB360" s="83"/>
      <c r="BC360" s="83"/>
    </row>
    <row r="361" customFormat="false" ht="24.75" hidden="false" customHeight="true" outlineLevel="0" collapsed="false">
      <c r="B361" s="81" t="n">
        <v>4</v>
      </c>
      <c r="C361" s="81"/>
      <c r="D361" s="82"/>
      <c r="E361" s="82"/>
      <c r="F361" s="82"/>
      <c r="G361" s="82"/>
      <c r="H361" s="83"/>
      <c r="I361" s="83"/>
      <c r="J361" s="83"/>
      <c r="K361" s="83"/>
      <c r="L361" s="83"/>
      <c r="M361" s="83"/>
      <c r="N361" s="83"/>
      <c r="O361" s="83"/>
      <c r="P361" s="83"/>
      <c r="Q361" s="83"/>
      <c r="R361" s="83"/>
      <c r="S361" s="83"/>
      <c r="T361" s="83"/>
      <c r="U361" s="83"/>
      <c r="V361" s="83"/>
      <c r="W361" s="83"/>
      <c r="X361" s="83"/>
      <c r="Y361" s="83"/>
      <c r="Z361" s="83"/>
      <c r="AA361" s="83"/>
      <c r="AB361" s="83"/>
      <c r="AC361" s="83"/>
      <c r="AD361" s="83"/>
      <c r="AE361" s="83"/>
      <c r="AF361" s="83"/>
      <c r="AG361" s="83"/>
      <c r="AH361" s="83"/>
      <c r="AI361" s="83"/>
      <c r="AJ361" s="83"/>
      <c r="AK361" s="83"/>
      <c r="AL361" s="83"/>
      <c r="AM361" s="83"/>
      <c r="AN361" s="83"/>
      <c r="AO361" s="83"/>
      <c r="AP361" s="83"/>
      <c r="AQ361" s="83"/>
      <c r="AR361" s="83"/>
      <c r="AS361" s="83"/>
      <c r="AT361" s="83"/>
      <c r="AU361" s="83"/>
      <c r="AV361" s="83"/>
      <c r="AW361" s="83"/>
      <c r="AX361" s="83"/>
      <c r="AY361" s="83"/>
      <c r="AZ361" s="83"/>
      <c r="BA361" s="83"/>
      <c r="BB361" s="83"/>
      <c r="BC361" s="83"/>
    </row>
    <row r="362" customFormat="false" ht="24.75" hidden="false" customHeight="true" outlineLevel="0" collapsed="false">
      <c r="B362" s="81" t="n">
        <v>5</v>
      </c>
      <c r="C362" s="81"/>
      <c r="D362" s="82"/>
      <c r="E362" s="82"/>
      <c r="F362" s="82"/>
      <c r="G362" s="82"/>
      <c r="H362" s="83"/>
      <c r="I362" s="83"/>
      <c r="J362" s="83"/>
      <c r="K362" s="83"/>
      <c r="L362" s="83"/>
      <c r="M362" s="83"/>
      <c r="N362" s="83"/>
      <c r="O362" s="83"/>
      <c r="P362" s="83"/>
      <c r="Q362" s="83"/>
      <c r="R362" s="83"/>
      <c r="S362" s="83"/>
      <c r="T362" s="83"/>
      <c r="U362" s="83"/>
      <c r="V362" s="83"/>
      <c r="W362" s="83"/>
      <c r="X362" s="83"/>
      <c r="Y362" s="83"/>
      <c r="Z362" s="83"/>
      <c r="AA362" s="83"/>
      <c r="AB362" s="83"/>
      <c r="AC362" s="83"/>
      <c r="AD362" s="83"/>
      <c r="AE362" s="83"/>
      <c r="AF362" s="83"/>
      <c r="AG362" s="83"/>
      <c r="AH362" s="83"/>
      <c r="AI362" s="83"/>
      <c r="AJ362" s="83"/>
      <c r="AK362" s="83"/>
      <c r="AL362" s="83"/>
      <c r="AM362" s="83"/>
      <c r="AN362" s="83"/>
      <c r="AO362" s="83"/>
      <c r="AP362" s="83"/>
      <c r="AQ362" s="83"/>
      <c r="AR362" s="83"/>
      <c r="AS362" s="83"/>
      <c r="AT362" s="83"/>
      <c r="AU362" s="83"/>
      <c r="AV362" s="83"/>
      <c r="AW362" s="83"/>
      <c r="AX362" s="83"/>
      <c r="AY362" s="83"/>
      <c r="AZ362" s="83"/>
      <c r="BA362" s="83"/>
      <c r="BB362" s="83"/>
      <c r="BC362" s="83"/>
    </row>
    <row r="363" customFormat="false" ht="24.75" hidden="false" customHeight="true" outlineLevel="0" collapsed="false">
      <c r="B363" s="81" t="n">
        <v>6</v>
      </c>
      <c r="C363" s="81"/>
      <c r="D363" s="82"/>
      <c r="E363" s="82"/>
      <c r="F363" s="82"/>
      <c r="G363" s="82"/>
      <c r="H363" s="83"/>
      <c r="I363" s="83"/>
      <c r="J363" s="83"/>
      <c r="K363" s="83"/>
      <c r="L363" s="83"/>
      <c r="M363" s="83"/>
      <c r="N363" s="83"/>
      <c r="O363" s="83"/>
      <c r="P363" s="83"/>
      <c r="Q363" s="83"/>
      <c r="R363" s="83"/>
      <c r="S363" s="83"/>
      <c r="T363" s="83"/>
      <c r="U363" s="83"/>
      <c r="V363" s="83"/>
      <c r="W363" s="83"/>
      <c r="X363" s="83"/>
      <c r="Y363" s="83"/>
      <c r="Z363" s="83"/>
      <c r="AA363" s="83"/>
      <c r="AB363" s="83"/>
      <c r="AC363" s="83"/>
      <c r="AD363" s="83"/>
      <c r="AE363" s="83"/>
      <c r="AF363" s="83"/>
      <c r="AG363" s="83"/>
      <c r="AH363" s="83"/>
      <c r="AI363" s="83"/>
      <c r="AJ363" s="83"/>
      <c r="AK363" s="83"/>
      <c r="AL363" s="83"/>
      <c r="AM363" s="83"/>
      <c r="AN363" s="83"/>
      <c r="AO363" s="83"/>
      <c r="AP363" s="83"/>
      <c r="AQ363" s="83"/>
      <c r="AR363" s="83"/>
      <c r="AS363" s="83"/>
      <c r="AT363" s="83"/>
      <c r="AU363" s="83"/>
      <c r="AV363" s="83"/>
      <c r="AW363" s="83"/>
      <c r="AX363" s="83"/>
      <c r="AY363" s="83"/>
      <c r="AZ363" s="83"/>
      <c r="BA363" s="83"/>
      <c r="BB363" s="83"/>
      <c r="BC363" s="83"/>
    </row>
    <row r="364" customFormat="false" ht="24.75" hidden="false" customHeight="true" outlineLevel="0" collapsed="false">
      <c r="B364" s="81" t="n">
        <v>7</v>
      </c>
      <c r="C364" s="81"/>
      <c r="D364" s="82"/>
      <c r="E364" s="82"/>
      <c r="F364" s="82"/>
      <c r="G364" s="82"/>
      <c r="H364" s="83"/>
      <c r="I364" s="83"/>
      <c r="J364" s="83"/>
      <c r="K364" s="83"/>
      <c r="L364" s="83"/>
      <c r="M364" s="83"/>
      <c r="N364" s="83"/>
      <c r="O364" s="83"/>
      <c r="P364" s="83"/>
      <c r="Q364" s="83"/>
      <c r="R364" s="83"/>
      <c r="S364" s="83"/>
      <c r="T364" s="83"/>
      <c r="U364" s="83"/>
      <c r="V364" s="83"/>
      <c r="W364" s="83"/>
      <c r="X364" s="83"/>
      <c r="Y364" s="83"/>
      <c r="Z364" s="83"/>
      <c r="AA364" s="83"/>
      <c r="AB364" s="83"/>
      <c r="AC364" s="83"/>
      <c r="AD364" s="83"/>
      <c r="AE364" s="83"/>
      <c r="AF364" s="83"/>
      <c r="AG364" s="83"/>
      <c r="AH364" s="83"/>
      <c r="AI364" s="83"/>
      <c r="AJ364" s="83"/>
      <c r="AK364" s="83"/>
      <c r="AL364" s="83"/>
      <c r="AM364" s="83"/>
      <c r="AN364" s="83"/>
      <c r="AO364" s="83"/>
      <c r="AP364" s="83"/>
      <c r="AQ364" s="83"/>
      <c r="AR364" s="83"/>
      <c r="AS364" s="83"/>
      <c r="AT364" s="83"/>
      <c r="AU364" s="83"/>
      <c r="AV364" s="83"/>
      <c r="AW364" s="83"/>
      <c r="AX364" s="83"/>
      <c r="AY364" s="83"/>
      <c r="AZ364" s="83"/>
      <c r="BA364" s="83"/>
      <c r="BB364" s="83"/>
      <c r="BC364" s="83"/>
    </row>
    <row r="365" customFormat="false" ht="24.75" hidden="false" customHeight="true" outlineLevel="0" collapsed="false">
      <c r="B365" s="81" t="n">
        <v>8</v>
      </c>
      <c r="C365" s="81"/>
      <c r="D365" s="82"/>
      <c r="E365" s="82"/>
      <c r="F365" s="82"/>
      <c r="G365" s="82"/>
      <c r="H365" s="83"/>
      <c r="I365" s="83"/>
      <c r="J365" s="83"/>
      <c r="K365" s="83"/>
      <c r="L365" s="83"/>
      <c r="M365" s="83"/>
      <c r="N365" s="83"/>
      <c r="O365" s="83"/>
      <c r="P365" s="83"/>
      <c r="Q365" s="83"/>
      <c r="R365" s="83"/>
      <c r="S365" s="83"/>
      <c r="T365" s="83"/>
      <c r="U365" s="83"/>
      <c r="V365" s="83"/>
      <c r="W365" s="83"/>
      <c r="X365" s="83"/>
      <c r="Y365" s="83"/>
      <c r="Z365" s="83"/>
      <c r="AA365" s="83"/>
      <c r="AB365" s="83"/>
      <c r="AC365" s="83"/>
      <c r="AD365" s="83"/>
      <c r="AE365" s="83"/>
      <c r="AF365" s="83"/>
      <c r="AG365" s="83"/>
      <c r="AH365" s="83"/>
      <c r="AI365" s="83"/>
      <c r="AJ365" s="83"/>
      <c r="AK365" s="83"/>
      <c r="AL365" s="83"/>
      <c r="AM365" s="83"/>
      <c r="AN365" s="83"/>
      <c r="AO365" s="83"/>
      <c r="AP365" s="83"/>
      <c r="AQ365" s="83"/>
      <c r="AR365" s="83"/>
      <c r="AS365" s="83"/>
      <c r="AT365" s="83"/>
      <c r="AU365" s="83"/>
      <c r="AV365" s="83"/>
      <c r="AW365" s="83"/>
      <c r="AX365" s="83"/>
      <c r="AY365" s="83"/>
      <c r="AZ365" s="83"/>
      <c r="BA365" s="83"/>
      <c r="BB365" s="83"/>
      <c r="BC365" s="83"/>
    </row>
    <row r="366" customFormat="false" ht="24.75" hidden="false" customHeight="true" outlineLevel="0" collapsed="false">
      <c r="B366" s="81" t="n">
        <v>9</v>
      </c>
      <c r="C366" s="81"/>
      <c r="D366" s="82"/>
      <c r="E366" s="82"/>
      <c r="F366" s="82"/>
      <c r="G366" s="82"/>
      <c r="H366" s="83"/>
      <c r="I366" s="83"/>
      <c r="J366" s="83"/>
      <c r="K366" s="83"/>
      <c r="L366" s="83"/>
      <c r="M366" s="83"/>
      <c r="N366" s="83"/>
      <c r="O366" s="83"/>
      <c r="P366" s="83"/>
      <c r="Q366" s="83"/>
      <c r="R366" s="83"/>
      <c r="S366" s="83"/>
      <c r="T366" s="83"/>
      <c r="U366" s="83"/>
      <c r="V366" s="83"/>
      <c r="W366" s="83"/>
      <c r="X366" s="83"/>
      <c r="Y366" s="83"/>
      <c r="Z366" s="83"/>
      <c r="AA366" s="83"/>
      <c r="AB366" s="83"/>
      <c r="AC366" s="83"/>
      <c r="AD366" s="83"/>
      <c r="AE366" s="83"/>
      <c r="AF366" s="83"/>
      <c r="AG366" s="83"/>
      <c r="AH366" s="83"/>
      <c r="AI366" s="83"/>
      <c r="AJ366" s="83"/>
      <c r="AK366" s="83"/>
      <c r="AL366" s="83"/>
      <c r="AM366" s="83"/>
      <c r="AN366" s="83"/>
      <c r="AO366" s="83"/>
      <c r="AP366" s="83"/>
      <c r="AQ366" s="83"/>
      <c r="AR366" s="83"/>
      <c r="AS366" s="83"/>
      <c r="AT366" s="83"/>
      <c r="AU366" s="83"/>
      <c r="AV366" s="83"/>
      <c r="AW366" s="83"/>
      <c r="AX366" s="83"/>
      <c r="AY366" s="83"/>
      <c r="AZ366" s="83"/>
      <c r="BA366" s="83"/>
      <c r="BB366" s="83"/>
      <c r="BC366" s="83"/>
    </row>
    <row r="367" customFormat="false" ht="24.75" hidden="false" customHeight="true" outlineLevel="0" collapsed="false">
      <c r="B367" s="81" t="n">
        <v>10</v>
      </c>
      <c r="C367" s="81"/>
      <c r="D367" s="82"/>
      <c r="E367" s="82"/>
      <c r="F367" s="82"/>
      <c r="G367" s="82"/>
      <c r="H367" s="83"/>
      <c r="I367" s="83"/>
      <c r="J367" s="83"/>
      <c r="K367" s="83"/>
      <c r="L367" s="83"/>
      <c r="M367" s="83"/>
      <c r="N367" s="83"/>
      <c r="O367" s="83"/>
      <c r="P367" s="83"/>
      <c r="Q367" s="83"/>
      <c r="R367" s="83"/>
      <c r="S367" s="83"/>
      <c r="T367" s="83"/>
      <c r="U367" s="83"/>
      <c r="V367" s="83"/>
      <c r="W367" s="83"/>
      <c r="X367" s="83"/>
      <c r="Y367" s="83"/>
      <c r="Z367" s="83"/>
      <c r="AA367" s="83"/>
      <c r="AB367" s="83"/>
      <c r="AC367" s="83"/>
      <c r="AD367" s="83"/>
      <c r="AE367" s="83"/>
      <c r="AF367" s="83"/>
      <c r="AG367" s="83"/>
      <c r="AH367" s="83"/>
      <c r="AI367" s="83"/>
      <c r="AJ367" s="83"/>
      <c r="AK367" s="83"/>
      <c r="AL367" s="83"/>
      <c r="AM367" s="83"/>
      <c r="AN367" s="83"/>
      <c r="AO367" s="83"/>
      <c r="AP367" s="83"/>
      <c r="AQ367" s="83"/>
      <c r="AR367" s="83"/>
      <c r="AS367" s="83"/>
      <c r="AT367" s="83"/>
      <c r="AU367" s="83"/>
      <c r="AV367" s="83"/>
      <c r="AW367" s="83"/>
      <c r="AX367" s="83"/>
      <c r="AY367" s="83"/>
      <c r="AZ367" s="83"/>
      <c r="BA367" s="83"/>
      <c r="BB367" s="83"/>
      <c r="BC367" s="83"/>
    </row>
    <row r="368" customFormat="false" ht="24.75" hidden="false" customHeight="true" outlineLevel="0" collapsed="false">
      <c r="B368" s="81" t="n">
        <v>11</v>
      </c>
      <c r="C368" s="81"/>
      <c r="D368" s="82"/>
      <c r="E368" s="82"/>
      <c r="F368" s="82"/>
      <c r="G368" s="82"/>
      <c r="H368" s="83"/>
      <c r="I368" s="83"/>
      <c r="J368" s="83"/>
      <c r="K368" s="83"/>
      <c r="L368" s="83"/>
      <c r="M368" s="83"/>
      <c r="N368" s="83"/>
      <c r="O368" s="83"/>
      <c r="P368" s="83"/>
      <c r="Q368" s="83"/>
      <c r="R368" s="83"/>
      <c r="S368" s="83"/>
      <c r="T368" s="83"/>
      <c r="U368" s="83"/>
      <c r="V368" s="83"/>
      <c r="W368" s="83"/>
      <c r="X368" s="83"/>
      <c r="Y368" s="83"/>
      <c r="Z368" s="83"/>
      <c r="AA368" s="83"/>
      <c r="AB368" s="83"/>
      <c r="AC368" s="83"/>
      <c r="AD368" s="83"/>
      <c r="AE368" s="83"/>
      <c r="AF368" s="83"/>
      <c r="AG368" s="83"/>
      <c r="AH368" s="83"/>
      <c r="AI368" s="83"/>
      <c r="AJ368" s="83"/>
      <c r="AK368" s="83"/>
      <c r="AL368" s="83"/>
      <c r="AM368" s="83"/>
      <c r="AN368" s="83"/>
      <c r="AO368" s="83"/>
      <c r="AP368" s="83"/>
      <c r="AQ368" s="83"/>
      <c r="AR368" s="83"/>
      <c r="AS368" s="83"/>
      <c r="AT368" s="83"/>
      <c r="AU368" s="83"/>
      <c r="AV368" s="83"/>
      <c r="AW368" s="83"/>
      <c r="AX368" s="83"/>
      <c r="AY368" s="83"/>
      <c r="AZ368" s="83"/>
      <c r="BA368" s="83"/>
      <c r="BB368" s="83"/>
      <c r="BC368" s="83"/>
    </row>
    <row r="369" customFormat="false" ht="24" hidden="false" customHeight="true" outlineLevel="0" collapsed="false">
      <c r="B369" s="84" t="s">
        <v>132</v>
      </c>
      <c r="C369" s="84"/>
      <c r="E369" s="85" t="s">
        <v>133</v>
      </c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  <c r="AE369" s="85"/>
      <c r="AF369" s="85"/>
      <c r="AG369" s="85"/>
      <c r="AH369" s="85"/>
      <c r="AI369" s="85"/>
      <c r="AJ369" s="85"/>
      <c r="AK369" s="85"/>
      <c r="AL369" s="85"/>
      <c r="AM369" s="85"/>
      <c r="AN369" s="85"/>
      <c r="AO369" s="85"/>
      <c r="AP369" s="85"/>
      <c r="AQ369" s="85"/>
      <c r="AR369" s="85"/>
      <c r="AS369" s="85"/>
      <c r="AT369" s="85"/>
      <c r="AU369" s="85"/>
      <c r="AV369" s="85"/>
      <c r="AW369" s="85"/>
      <c r="AX369" s="85"/>
      <c r="AY369" s="85"/>
      <c r="AZ369" s="85"/>
      <c r="BA369" s="85"/>
      <c r="BB369" s="85"/>
      <c r="BC369" s="85"/>
    </row>
    <row r="370" customFormat="false" ht="30" hidden="false" customHeight="true" outlineLevel="0" collapsed="false"/>
    <row r="371" customFormat="false" ht="18" hidden="false" customHeight="true" outlineLevel="0" collapsed="false">
      <c r="B371" s="75" t="s">
        <v>134</v>
      </c>
      <c r="C371" s="75"/>
      <c r="D371" s="75"/>
      <c r="E371" s="75"/>
      <c r="F371" s="75"/>
      <c r="G371" s="75"/>
      <c r="H371" s="75"/>
      <c r="I371" s="75"/>
      <c r="J371" s="75"/>
      <c r="K371" s="75"/>
      <c r="L371" s="75"/>
      <c r="M371" s="75"/>
      <c r="N371" s="75"/>
      <c r="O371" s="75"/>
      <c r="P371" s="75"/>
      <c r="Q371" s="75"/>
      <c r="R371" s="75"/>
      <c r="S371" s="75"/>
      <c r="T371" s="75"/>
      <c r="U371" s="75"/>
      <c r="V371" s="75"/>
      <c r="W371" s="75"/>
      <c r="X371" s="75"/>
      <c r="Y371" s="75"/>
      <c r="Z371" s="75"/>
      <c r="AA371" s="75"/>
      <c r="AB371" s="76" t="s">
        <v>135</v>
      </c>
      <c r="AC371" s="76"/>
      <c r="AD371" s="76"/>
      <c r="AE371" s="76"/>
      <c r="AF371" s="76"/>
      <c r="AG371" s="76"/>
      <c r="AH371" s="76"/>
      <c r="AI371" s="76"/>
      <c r="AJ371" s="76"/>
      <c r="AK371" s="76"/>
      <c r="AL371" s="76"/>
      <c r="AM371" s="76"/>
      <c r="AN371" s="76"/>
      <c r="AO371" s="76"/>
      <c r="AP371" s="76"/>
      <c r="AQ371" s="76"/>
      <c r="AR371" s="76"/>
      <c r="AS371" s="76"/>
      <c r="AT371" s="76"/>
      <c r="AU371" s="76"/>
      <c r="AV371" s="76"/>
      <c r="AW371" s="76"/>
      <c r="AX371" s="76"/>
      <c r="AY371" s="76"/>
      <c r="AZ371" s="76"/>
      <c r="BA371" s="76"/>
      <c r="BB371" s="76"/>
      <c r="BC371" s="76"/>
    </row>
    <row r="372" customFormat="false" ht="7.5" hidden="false" customHeight="true" outlineLevel="0" collapsed="false"/>
    <row r="373" customFormat="false" ht="24" hidden="false" customHeight="true" outlineLevel="0" collapsed="false">
      <c r="B373" s="86" t="s">
        <v>115</v>
      </c>
      <c r="C373" s="86"/>
      <c r="D373" s="86"/>
      <c r="E373" s="86"/>
      <c r="F373" s="86"/>
      <c r="H373" s="87" t="s">
        <v>116</v>
      </c>
      <c r="I373" s="87"/>
      <c r="J373" s="87"/>
      <c r="K373" s="87"/>
      <c r="L373" s="87"/>
      <c r="M373" s="87"/>
      <c r="N373" s="87"/>
      <c r="O373" s="87"/>
      <c r="P373" s="87"/>
      <c r="AA373" s="88" t="s">
        <v>136</v>
      </c>
      <c r="AB373" s="88"/>
      <c r="AC373" s="88"/>
      <c r="AD373" s="88"/>
      <c r="AE373" s="88"/>
      <c r="AF373" s="89" t="str">
        <f aca="false">Dashboard!$C$6</f>
        <v>Bindhya TB</v>
      </c>
      <c r="AG373" s="89"/>
      <c r="AH373" s="89"/>
      <c r="AI373" s="89"/>
      <c r="AJ373" s="89"/>
      <c r="AK373" s="89"/>
      <c r="AL373" s="89"/>
      <c r="AM373" s="89"/>
      <c r="AN373" s="89"/>
      <c r="AO373" s="89"/>
      <c r="AP373" s="89"/>
      <c r="AR373" s="88" t="s">
        <v>137</v>
      </c>
      <c r="AS373" s="88"/>
      <c r="AT373" s="89" t="str">
        <f aca="false">TEXT(Cal!H4,"dd mmm")&amp;" to "&amp;TEXT(Cal!I4,"dd mmm yy")</f>
        <v>12 Oct to 17 Oct 26</v>
      </c>
      <c r="AU373" s="89"/>
      <c r="AV373" s="89"/>
      <c r="AW373" s="89"/>
      <c r="AX373" s="89"/>
      <c r="AY373" s="89"/>
      <c r="AZ373" s="89"/>
      <c r="BA373" s="89"/>
      <c r="BB373" s="89"/>
      <c r="BC373" s="89"/>
    </row>
    <row r="374" customFormat="false" ht="3" hidden="false" customHeight="true" outlineLevel="0" collapsed="false"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</row>
    <row r="375" customFormat="false" ht="9.75" hidden="false" customHeight="true" outlineLevel="0" collapsed="false"/>
    <row r="376" customFormat="false" ht="21.75" hidden="false" customHeight="true" outlineLevel="0" collapsed="false">
      <c r="B376" s="6"/>
      <c r="C376" s="19" t="s">
        <v>138</v>
      </c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59" t="s">
        <v>139</v>
      </c>
      <c r="AM376" s="59"/>
      <c r="AN376" s="59"/>
      <c r="AO376" s="59"/>
      <c r="AP376" s="59"/>
      <c r="AQ376" s="59"/>
      <c r="AR376" s="59"/>
      <c r="AS376" s="59"/>
      <c r="AT376" s="59"/>
      <c r="AU376" s="59"/>
      <c r="AV376" s="59"/>
      <c r="AW376" s="59"/>
      <c r="AX376" s="59"/>
      <c r="AY376" s="59"/>
      <c r="AZ376" s="59"/>
      <c r="BA376" s="59"/>
      <c r="BB376" s="59"/>
      <c r="BC376" s="59"/>
    </row>
    <row r="377" customFormat="false" ht="27.75" hidden="false" customHeight="true" outlineLevel="0" collapsed="false">
      <c r="B377" s="79" t="s">
        <v>124</v>
      </c>
      <c r="C377" s="79"/>
      <c r="D377" s="80" t="s">
        <v>140</v>
      </c>
      <c r="E377" s="80"/>
      <c r="F377" s="80"/>
      <c r="G377" s="80"/>
      <c r="H377" s="80" t="s">
        <v>126</v>
      </c>
      <c r="I377" s="80"/>
      <c r="J377" s="80"/>
      <c r="K377" s="80"/>
      <c r="L377" s="80"/>
      <c r="M377" s="80"/>
      <c r="N377" s="80"/>
      <c r="O377" s="80"/>
      <c r="P377" s="80" t="s">
        <v>141</v>
      </c>
      <c r="Q377" s="80"/>
      <c r="R377" s="80"/>
      <c r="S377" s="80"/>
      <c r="T377" s="80" t="s">
        <v>142</v>
      </c>
      <c r="U377" s="80"/>
      <c r="V377" s="80"/>
      <c r="W377" s="80"/>
      <c r="X377" s="80"/>
      <c r="Y377" s="80"/>
      <c r="Z377" s="80"/>
      <c r="AA377" s="80"/>
      <c r="AB377" s="80"/>
      <c r="AC377" s="80"/>
      <c r="AD377" s="80"/>
      <c r="AE377" s="80"/>
      <c r="AF377" s="80"/>
      <c r="AG377" s="80"/>
      <c r="AH377" s="80"/>
      <c r="AI377" s="80"/>
      <c r="AJ377" s="80"/>
      <c r="AK377" s="80"/>
      <c r="AL377" s="80"/>
      <c r="AM377" s="80"/>
      <c r="AN377" s="80" t="s">
        <v>143</v>
      </c>
      <c r="AO377" s="80"/>
      <c r="AP377" s="80"/>
      <c r="AQ377" s="80"/>
      <c r="AR377" s="80"/>
      <c r="AS377" s="80"/>
      <c r="AT377" s="80"/>
      <c r="AU377" s="80"/>
      <c r="AV377" s="80"/>
      <c r="AW377" s="80"/>
      <c r="AX377" s="80"/>
      <c r="AY377" s="80"/>
      <c r="AZ377" s="80"/>
      <c r="BA377" s="80"/>
      <c r="BB377" s="80"/>
      <c r="BC377" s="80"/>
    </row>
    <row r="378" customFormat="false" ht="27.75" hidden="false" customHeight="true" outlineLevel="0" collapsed="false">
      <c r="B378" s="81" t="n">
        <v>1</v>
      </c>
      <c r="C378" s="81"/>
      <c r="D378" s="82"/>
      <c r="E378" s="82"/>
      <c r="F378" s="82"/>
      <c r="G378" s="82"/>
      <c r="H378" s="83"/>
      <c r="I378" s="83"/>
      <c r="J378" s="83"/>
      <c r="K378" s="83"/>
      <c r="L378" s="83"/>
      <c r="M378" s="83"/>
      <c r="N378" s="83"/>
      <c r="O378" s="83"/>
      <c r="P378" s="83"/>
      <c r="Q378" s="83"/>
      <c r="R378" s="83"/>
      <c r="S378" s="83"/>
      <c r="T378" s="83"/>
      <c r="U378" s="83"/>
      <c r="V378" s="83"/>
      <c r="W378" s="83"/>
      <c r="X378" s="83"/>
      <c r="Y378" s="83"/>
      <c r="Z378" s="83"/>
      <c r="AA378" s="83"/>
      <c r="AB378" s="83"/>
      <c r="AC378" s="83"/>
      <c r="AD378" s="83"/>
      <c r="AE378" s="83"/>
      <c r="AF378" s="83"/>
      <c r="AG378" s="83"/>
      <c r="AH378" s="83"/>
      <c r="AI378" s="83"/>
      <c r="AJ378" s="83"/>
      <c r="AK378" s="83"/>
      <c r="AL378" s="83"/>
      <c r="AM378" s="83"/>
      <c r="AN378" s="83"/>
      <c r="AO378" s="83"/>
      <c r="AP378" s="83"/>
      <c r="AQ378" s="83"/>
      <c r="AR378" s="83"/>
      <c r="AS378" s="83"/>
      <c r="AT378" s="83"/>
      <c r="AU378" s="83"/>
      <c r="AV378" s="83"/>
      <c r="AW378" s="83"/>
      <c r="AX378" s="83"/>
      <c r="AY378" s="83"/>
      <c r="AZ378" s="83"/>
      <c r="BA378" s="83"/>
      <c r="BB378" s="83"/>
      <c r="BC378" s="83"/>
    </row>
    <row r="379" customFormat="false" ht="27.75" hidden="false" customHeight="true" outlineLevel="0" collapsed="false">
      <c r="B379" s="81" t="n">
        <v>2</v>
      </c>
      <c r="C379" s="81"/>
      <c r="D379" s="82"/>
      <c r="E379" s="82"/>
      <c r="F379" s="82"/>
      <c r="G379" s="82"/>
      <c r="H379" s="83"/>
      <c r="I379" s="83"/>
      <c r="J379" s="83"/>
      <c r="K379" s="83"/>
      <c r="L379" s="83"/>
      <c r="M379" s="83"/>
      <c r="N379" s="83"/>
      <c r="O379" s="83"/>
      <c r="P379" s="83"/>
      <c r="Q379" s="83"/>
      <c r="R379" s="83"/>
      <c r="S379" s="83"/>
      <c r="T379" s="83"/>
      <c r="U379" s="83"/>
      <c r="V379" s="83"/>
      <c r="W379" s="83"/>
      <c r="X379" s="83"/>
      <c r="Y379" s="83"/>
      <c r="Z379" s="83"/>
      <c r="AA379" s="83"/>
      <c r="AB379" s="83"/>
      <c r="AC379" s="83"/>
      <c r="AD379" s="83"/>
      <c r="AE379" s="83"/>
      <c r="AF379" s="83"/>
      <c r="AG379" s="83"/>
      <c r="AH379" s="83"/>
      <c r="AI379" s="83"/>
      <c r="AJ379" s="83"/>
      <c r="AK379" s="83"/>
      <c r="AL379" s="83"/>
      <c r="AM379" s="83"/>
      <c r="AN379" s="83"/>
      <c r="AO379" s="83"/>
      <c r="AP379" s="83"/>
      <c r="AQ379" s="83"/>
      <c r="AR379" s="83"/>
      <c r="AS379" s="83"/>
      <c r="AT379" s="83"/>
      <c r="AU379" s="83"/>
      <c r="AV379" s="83"/>
      <c r="AW379" s="83"/>
      <c r="AX379" s="83"/>
      <c r="AY379" s="83"/>
      <c r="AZ379" s="83"/>
      <c r="BA379" s="83"/>
      <c r="BB379" s="83"/>
      <c r="BC379" s="83"/>
    </row>
    <row r="380" customFormat="false" ht="27.75" hidden="false" customHeight="true" outlineLevel="0" collapsed="false">
      <c r="B380" s="81" t="n">
        <v>3</v>
      </c>
      <c r="C380" s="81"/>
      <c r="D380" s="82"/>
      <c r="E380" s="82"/>
      <c r="F380" s="82"/>
      <c r="G380" s="82"/>
      <c r="H380" s="83"/>
      <c r="I380" s="83"/>
      <c r="J380" s="83"/>
      <c r="K380" s="83"/>
      <c r="L380" s="83"/>
      <c r="M380" s="83"/>
      <c r="N380" s="83"/>
      <c r="O380" s="83"/>
      <c r="P380" s="83"/>
      <c r="Q380" s="83"/>
      <c r="R380" s="83"/>
      <c r="S380" s="83"/>
      <c r="T380" s="83"/>
      <c r="U380" s="83"/>
      <c r="V380" s="83"/>
      <c r="W380" s="83"/>
      <c r="X380" s="83"/>
      <c r="Y380" s="83"/>
      <c r="Z380" s="83"/>
      <c r="AA380" s="83"/>
      <c r="AB380" s="83"/>
      <c r="AC380" s="83"/>
      <c r="AD380" s="83"/>
      <c r="AE380" s="83"/>
      <c r="AF380" s="83"/>
      <c r="AG380" s="83"/>
      <c r="AH380" s="83"/>
      <c r="AI380" s="83"/>
      <c r="AJ380" s="83"/>
      <c r="AK380" s="83"/>
      <c r="AL380" s="83"/>
      <c r="AM380" s="83"/>
      <c r="AN380" s="83"/>
      <c r="AO380" s="83"/>
      <c r="AP380" s="83"/>
      <c r="AQ380" s="83"/>
      <c r="AR380" s="83"/>
      <c r="AS380" s="83"/>
      <c r="AT380" s="83"/>
      <c r="AU380" s="83"/>
      <c r="AV380" s="83"/>
      <c r="AW380" s="83"/>
      <c r="AX380" s="83"/>
      <c r="AY380" s="83"/>
      <c r="AZ380" s="83"/>
      <c r="BA380" s="83"/>
      <c r="BB380" s="83"/>
      <c r="BC380" s="83"/>
    </row>
    <row r="381" customFormat="false" ht="27.75" hidden="false" customHeight="true" outlineLevel="0" collapsed="false">
      <c r="B381" s="81" t="n">
        <v>4</v>
      </c>
      <c r="C381" s="81"/>
      <c r="D381" s="82"/>
      <c r="E381" s="82"/>
      <c r="F381" s="82"/>
      <c r="G381" s="82"/>
      <c r="H381" s="83"/>
      <c r="I381" s="83"/>
      <c r="J381" s="83"/>
      <c r="K381" s="83"/>
      <c r="L381" s="83"/>
      <c r="M381" s="83"/>
      <c r="N381" s="83"/>
      <c r="O381" s="83"/>
      <c r="P381" s="83"/>
      <c r="Q381" s="83"/>
      <c r="R381" s="83"/>
      <c r="S381" s="83"/>
      <c r="T381" s="83"/>
      <c r="U381" s="83"/>
      <c r="V381" s="83"/>
      <c r="W381" s="83"/>
      <c r="X381" s="83"/>
      <c r="Y381" s="83"/>
      <c r="Z381" s="83"/>
      <c r="AA381" s="83"/>
      <c r="AB381" s="83"/>
      <c r="AC381" s="83"/>
      <c r="AD381" s="83"/>
      <c r="AE381" s="83"/>
      <c r="AF381" s="83"/>
      <c r="AG381" s="83"/>
      <c r="AH381" s="83"/>
      <c r="AI381" s="83"/>
      <c r="AJ381" s="83"/>
      <c r="AK381" s="83"/>
      <c r="AL381" s="83"/>
      <c r="AM381" s="83"/>
      <c r="AN381" s="83"/>
      <c r="AO381" s="83"/>
      <c r="AP381" s="83"/>
      <c r="AQ381" s="83"/>
      <c r="AR381" s="83"/>
      <c r="AS381" s="83"/>
      <c r="AT381" s="83"/>
      <c r="AU381" s="83"/>
      <c r="AV381" s="83"/>
      <c r="AW381" s="83"/>
      <c r="AX381" s="83"/>
      <c r="AY381" s="83"/>
      <c r="AZ381" s="83"/>
      <c r="BA381" s="83"/>
      <c r="BB381" s="83"/>
      <c r="BC381" s="83"/>
    </row>
    <row r="382" customFormat="false" ht="27.75" hidden="false" customHeight="true" outlineLevel="0" collapsed="false">
      <c r="B382" s="81" t="n">
        <v>5</v>
      </c>
      <c r="C382" s="81"/>
      <c r="D382" s="82"/>
      <c r="E382" s="82"/>
      <c r="F382" s="82"/>
      <c r="G382" s="82"/>
      <c r="H382" s="83"/>
      <c r="I382" s="83"/>
      <c r="J382" s="83"/>
      <c r="K382" s="83"/>
      <c r="L382" s="83"/>
      <c r="M382" s="83"/>
      <c r="N382" s="83"/>
      <c r="O382" s="83"/>
      <c r="P382" s="83"/>
      <c r="Q382" s="83"/>
      <c r="R382" s="83"/>
      <c r="S382" s="83"/>
      <c r="T382" s="83"/>
      <c r="U382" s="83"/>
      <c r="V382" s="83"/>
      <c r="W382" s="83"/>
      <c r="X382" s="83"/>
      <c r="Y382" s="83"/>
      <c r="Z382" s="83"/>
      <c r="AA382" s="83"/>
      <c r="AB382" s="83"/>
      <c r="AC382" s="83"/>
      <c r="AD382" s="83"/>
      <c r="AE382" s="83"/>
      <c r="AF382" s="83"/>
      <c r="AG382" s="83"/>
      <c r="AH382" s="83"/>
      <c r="AI382" s="83"/>
      <c r="AJ382" s="83"/>
      <c r="AK382" s="83"/>
      <c r="AL382" s="83"/>
      <c r="AM382" s="83"/>
      <c r="AN382" s="83"/>
      <c r="AO382" s="83"/>
      <c r="AP382" s="83"/>
      <c r="AQ382" s="83"/>
      <c r="AR382" s="83"/>
      <c r="AS382" s="83"/>
      <c r="AT382" s="83"/>
      <c r="AU382" s="83"/>
      <c r="AV382" s="83"/>
      <c r="AW382" s="83"/>
      <c r="AX382" s="83"/>
      <c r="AY382" s="83"/>
      <c r="AZ382" s="83"/>
      <c r="BA382" s="83"/>
      <c r="BB382" s="83"/>
      <c r="BC382" s="83"/>
    </row>
    <row r="383" customFormat="false" ht="27.75" hidden="false" customHeight="true" outlineLevel="0" collapsed="false">
      <c r="B383" s="81" t="n">
        <v>6</v>
      </c>
      <c r="C383" s="81"/>
      <c r="D383" s="82"/>
      <c r="E383" s="82"/>
      <c r="F383" s="82"/>
      <c r="G383" s="82"/>
      <c r="H383" s="83"/>
      <c r="I383" s="83"/>
      <c r="J383" s="83"/>
      <c r="K383" s="83"/>
      <c r="L383" s="83"/>
      <c r="M383" s="83"/>
      <c r="N383" s="83"/>
      <c r="O383" s="83"/>
      <c r="P383" s="83"/>
      <c r="Q383" s="83"/>
      <c r="R383" s="83"/>
      <c r="S383" s="83"/>
      <c r="T383" s="83"/>
      <c r="U383" s="83"/>
      <c r="V383" s="83"/>
      <c r="W383" s="83"/>
      <c r="X383" s="83"/>
      <c r="Y383" s="83"/>
      <c r="Z383" s="83"/>
      <c r="AA383" s="83"/>
      <c r="AB383" s="83"/>
      <c r="AC383" s="83"/>
      <c r="AD383" s="83"/>
      <c r="AE383" s="83"/>
      <c r="AF383" s="83"/>
      <c r="AG383" s="83"/>
      <c r="AH383" s="83"/>
      <c r="AI383" s="83"/>
      <c r="AJ383" s="83"/>
      <c r="AK383" s="83"/>
      <c r="AL383" s="83"/>
      <c r="AM383" s="83"/>
      <c r="AN383" s="83"/>
      <c r="AO383" s="83"/>
      <c r="AP383" s="83"/>
      <c r="AQ383" s="83"/>
      <c r="AR383" s="83"/>
      <c r="AS383" s="83"/>
      <c r="AT383" s="83"/>
      <c r="AU383" s="83"/>
      <c r="AV383" s="83"/>
      <c r="AW383" s="83"/>
      <c r="AX383" s="83"/>
      <c r="AY383" s="83"/>
      <c r="AZ383" s="83"/>
      <c r="BA383" s="83"/>
      <c r="BB383" s="83"/>
      <c r="BC383" s="83"/>
    </row>
    <row r="384" customFormat="false" ht="27.75" hidden="false" customHeight="true" outlineLevel="0" collapsed="false">
      <c r="B384" s="81" t="n">
        <v>7</v>
      </c>
      <c r="C384" s="81"/>
      <c r="D384" s="82"/>
      <c r="E384" s="82"/>
      <c r="F384" s="82"/>
      <c r="G384" s="82"/>
      <c r="H384" s="83"/>
      <c r="I384" s="83"/>
      <c r="J384" s="83"/>
      <c r="K384" s="83"/>
      <c r="L384" s="83"/>
      <c r="M384" s="83"/>
      <c r="N384" s="83"/>
      <c r="O384" s="83"/>
      <c r="P384" s="83"/>
      <c r="Q384" s="83"/>
      <c r="R384" s="83"/>
      <c r="S384" s="83"/>
      <c r="T384" s="83"/>
      <c r="U384" s="83"/>
      <c r="V384" s="83"/>
      <c r="W384" s="83"/>
      <c r="X384" s="83"/>
      <c r="Y384" s="83"/>
      <c r="Z384" s="83"/>
      <c r="AA384" s="83"/>
      <c r="AB384" s="83"/>
      <c r="AC384" s="83"/>
      <c r="AD384" s="83"/>
      <c r="AE384" s="83"/>
      <c r="AF384" s="83"/>
      <c r="AG384" s="83"/>
      <c r="AH384" s="83"/>
      <c r="AI384" s="83"/>
      <c r="AJ384" s="83"/>
      <c r="AK384" s="83"/>
      <c r="AL384" s="83"/>
      <c r="AM384" s="83"/>
      <c r="AN384" s="83"/>
      <c r="AO384" s="83"/>
      <c r="AP384" s="83"/>
      <c r="AQ384" s="83"/>
      <c r="AR384" s="83"/>
      <c r="AS384" s="83"/>
      <c r="AT384" s="83"/>
      <c r="AU384" s="83"/>
      <c r="AV384" s="83"/>
      <c r="AW384" s="83"/>
      <c r="AX384" s="83"/>
      <c r="AY384" s="83"/>
      <c r="AZ384" s="83"/>
      <c r="BA384" s="83"/>
      <c r="BB384" s="83"/>
      <c r="BC384" s="83"/>
    </row>
    <row r="385" customFormat="false" ht="27.75" hidden="false" customHeight="true" outlineLevel="0" collapsed="false">
      <c r="B385" s="81" t="n">
        <v>8</v>
      </c>
      <c r="C385" s="81"/>
      <c r="D385" s="82"/>
      <c r="E385" s="82"/>
      <c r="F385" s="82"/>
      <c r="G385" s="82"/>
      <c r="H385" s="83"/>
      <c r="I385" s="83"/>
      <c r="J385" s="83"/>
      <c r="K385" s="83"/>
      <c r="L385" s="83"/>
      <c r="M385" s="83"/>
      <c r="N385" s="83"/>
      <c r="O385" s="83"/>
      <c r="P385" s="83"/>
      <c r="Q385" s="83"/>
      <c r="R385" s="83"/>
      <c r="S385" s="83"/>
      <c r="T385" s="83"/>
      <c r="U385" s="83"/>
      <c r="V385" s="83"/>
      <c r="W385" s="83"/>
      <c r="X385" s="83"/>
      <c r="Y385" s="83"/>
      <c r="Z385" s="83"/>
      <c r="AA385" s="83"/>
      <c r="AB385" s="83"/>
      <c r="AC385" s="83"/>
      <c r="AD385" s="83"/>
      <c r="AE385" s="83"/>
      <c r="AF385" s="83"/>
      <c r="AG385" s="83"/>
      <c r="AH385" s="83"/>
      <c r="AI385" s="83"/>
      <c r="AJ385" s="83"/>
      <c r="AK385" s="83"/>
      <c r="AL385" s="83"/>
      <c r="AM385" s="83"/>
      <c r="AN385" s="83"/>
      <c r="AO385" s="83"/>
      <c r="AP385" s="83"/>
      <c r="AQ385" s="83"/>
      <c r="AR385" s="83"/>
      <c r="AS385" s="83"/>
      <c r="AT385" s="83"/>
      <c r="AU385" s="83"/>
      <c r="AV385" s="83"/>
      <c r="AW385" s="83"/>
      <c r="AX385" s="83"/>
      <c r="AY385" s="83"/>
      <c r="AZ385" s="83"/>
      <c r="BA385" s="83"/>
      <c r="BB385" s="83"/>
      <c r="BC385" s="83"/>
    </row>
    <row r="386" customFormat="false" ht="27.75" hidden="false" customHeight="true" outlineLevel="0" collapsed="false">
      <c r="B386" s="81" t="n">
        <v>9</v>
      </c>
      <c r="C386" s="81"/>
      <c r="D386" s="82"/>
      <c r="E386" s="82"/>
      <c r="F386" s="82"/>
      <c r="G386" s="82"/>
      <c r="H386" s="83"/>
      <c r="I386" s="83"/>
      <c r="J386" s="83"/>
      <c r="K386" s="83"/>
      <c r="L386" s="83"/>
      <c r="M386" s="83"/>
      <c r="N386" s="83"/>
      <c r="O386" s="83"/>
      <c r="P386" s="83"/>
      <c r="Q386" s="83"/>
      <c r="R386" s="83"/>
      <c r="S386" s="83"/>
      <c r="T386" s="83"/>
      <c r="U386" s="83"/>
      <c r="V386" s="83"/>
      <c r="W386" s="83"/>
      <c r="X386" s="83"/>
      <c r="Y386" s="83"/>
      <c r="Z386" s="83"/>
      <c r="AA386" s="83"/>
      <c r="AB386" s="83"/>
      <c r="AC386" s="83"/>
      <c r="AD386" s="83"/>
      <c r="AE386" s="83"/>
      <c r="AF386" s="83"/>
      <c r="AG386" s="83"/>
      <c r="AH386" s="83"/>
      <c r="AI386" s="83"/>
      <c r="AJ386" s="83"/>
      <c r="AK386" s="83"/>
      <c r="AL386" s="83"/>
      <c r="AM386" s="83"/>
      <c r="AN386" s="83"/>
      <c r="AO386" s="83"/>
      <c r="AP386" s="83"/>
      <c r="AQ386" s="83"/>
      <c r="AR386" s="83"/>
      <c r="AS386" s="83"/>
      <c r="AT386" s="83"/>
      <c r="AU386" s="83"/>
      <c r="AV386" s="83"/>
      <c r="AW386" s="83"/>
      <c r="AX386" s="83"/>
      <c r="AY386" s="83"/>
      <c r="AZ386" s="83"/>
      <c r="BA386" s="83"/>
      <c r="BB386" s="83"/>
      <c r="BC386" s="83"/>
    </row>
    <row r="387" customFormat="false" ht="27.75" hidden="false" customHeight="true" outlineLevel="0" collapsed="false">
      <c r="B387" s="81" t="n">
        <v>10</v>
      </c>
      <c r="C387" s="81"/>
      <c r="D387" s="82"/>
      <c r="E387" s="82"/>
      <c r="F387" s="82"/>
      <c r="G387" s="82"/>
      <c r="H387" s="83"/>
      <c r="I387" s="83"/>
      <c r="J387" s="83"/>
      <c r="K387" s="83"/>
      <c r="L387" s="83"/>
      <c r="M387" s="83"/>
      <c r="N387" s="83"/>
      <c r="O387" s="83"/>
      <c r="P387" s="83"/>
      <c r="Q387" s="83"/>
      <c r="R387" s="83"/>
      <c r="S387" s="83"/>
      <c r="T387" s="83"/>
      <c r="U387" s="83"/>
      <c r="V387" s="83"/>
      <c r="W387" s="83"/>
      <c r="X387" s="83"/>
      <c r="Y387" s="83"/>
      <c r="Z387" s="83"/>
      <c r="AA387" s="83"/>
      <c r="AB387" s="83"/>
      <c r="AC387" s="83"/>
      <c r="AD387" s="83"/>
      <c r="AE387" s="83"/>
      <c r="AF387" s="83"/>
      <c r="AG387" s="83"/>
      <c r="AH387" s="83"/>
      <c r="AI387" s="83"/>
      <c r="AJ387" s="83"/>
      <c r="AK387" s="83"/>
      <c r="AL387" s="83"/>
      <c r="AM387" s="83"/>
      <c r="AN387" s="83"/>
      <c r="AO387" s="83"/>
      <c r="AP387" s="83"/>
      <c r="AQ387" s="83"/>
      <c r="AR387" s="83"/>
      <c r="AS387" s="83"/>
      <c r="AT387" s="83"/>
      <c r="AU387" s="83"/>
      <c r="AV387" s="83"/>
      <c r="AW387" s="83"/>
      <c r="AX387" s="83"/>
      <c r="AY387" s="83"/>
      <c r="AZ387" s="83"/>
      <c r="BA387" s="83"/>
      <c r="BB387" s="83"/>
      <c r="BC387" s="83"/>
    </row>
    <row r="388" customFormat="false" ht="27.75" hidden="false" customHeight="true" outlineLevel="0" collapsed="false">
      <c r="B388" s="81" t="n">
        <v>11</v>
      </c>
      <c r="C388" s="81"/>
      <c r="D388" s="82"/>
      <c r="E388" s="82"/>
      <c r="F388" s="82"/>
      <c r="G388" s="82"/>
      <c r="H388" s="83"/>
      <c r="I388" s="83"/>
      <c r="J388" s="83"/>
      <c r="K388" s="83"/>
      <c r="L388" s="83"/>
      <c r="M388" s="83"/>
      <c r="N388" s="83"/>
      <c r="O388" s="83"/>
      <c r="P388" s="83"/>
      <c r="Q388" s="83"/>
      <c r="R388" s="83"/>
      <c r="S388" s="83"/>
      <c r="T388" s="83"/>
      <c r="U388" s="83"/>
      <c r="V388" s="83"/>
      <c r="W388" s="83"/>
      <c r="X388" s="83"/>
      <c r="Y388" s="83"/>
      <c r="Z388" s="83"/>
      <c r="AA388" s="83"/>
      <c r="AB388" s="83"/>
      <c r="AC388" s="83"/>
      <c r="AD388" s="83"/>
      <c r="AE388" s="83"/>
      <c r="AF388" s="83"/>
      <c r="AG388" s="83"/>
      <c r="AH388" s="83"/>
      <c r="AI388" s="83"/>
      <c r="AJ388" s="83"/>
      <c r="AK388" s="83"/>
      <c r="AL388" s="83"/>
      <c r="AM388" s="83"/>
      <c r="AN388" s="83"/>
      <c r="AO388" s="83"/>
      <c r="AP388" s="83"/>
      <c r="AQ388" s="83"/>
      <c r="AR388" s="83"/>
      <c r="AS388" s="83"/>
      <c r="AT388" s="83"/>
      <c r="AU388" s="83"/>
      <c r="AV388" s="83"/>
      <c r="AW388" s="83"/>
      <c r="AX388" s="83"/>
      <c r="AY388" s="83"/>
      <c r="AZ388" s="83"/>
      <c r="BA388" s="83"/>
      <c r="BB388" s="83"/>
      <c r="BC388" s="83"/>
    </row>
    <row r="389" customFormat="false" ht="24" hidden="false" customHeight="true" outlineLevel="0" collapsed="false">
      <c r="B389" s="84" t="s">
        <v>132</v>
      </c>
      <c r="C389" s="84"/>
      <c r="E389" s="85" t="s">
        <v>144</v>
      </c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  <c r="AE389" s="85"/>
      <c r="AF389" s="85"/>
      <c r="AG389" s="85"/>
      <c r="AH389" s="85"/>
      <c r="AI389" s="85"/>
      <c r="AJ389" s="85"/>
      <c r="AK389" s="85"/>
      <c r="AL389" s="85"/>
      <c r="AM389" s="85"/>
      <c r="AN389" s="85"/>
      <c r="AO389" s="85"/>
      <c r="AP389" s="85"/>
      <c r="AQ389" s="85"/>
      <c r="AR389" s="85"/>
      <c r="AS389" s="85"/>
      <c r="AT389" s="85"/>
      <c r="AU389" s="85"/>
      <c r="AV389" s="85"/>
      <c r="AW389" s="85"/>
      <c r="AX389" s="85"/>
      <c r="AY389" s="85"/>
      <c r="AZ389" s="85"/>
      <c r="BA389" s="85"/>
      <c r="BB389" s="85"/>
      <c r="BC389" s="85"/>
    </row>
    <row r="390" customFormat="false" ht="139.5" hidden="false" customHeight="true" outlineLevel="0" collapsed="false"/>
    <row r="391" customFormat="false" ht="18" hidden="false" customHeight="true" outlineLevel="0" collapsed="false">
      <c r="B391" s="75" t="s">
        <v>134</v>
      </c>
      <c r="C391" s="75"/>
      <c r="D391" s="75"/>
      <c r="E391" s="75"/>
      <c r="F391" s="75"/>
      <c r="G391" s="75"/>
      <c r="H391" s="75"/>
      <c r="I391" s="75"/>
      <c r="J391" s="75"/>
      <c r="K391" s="75"/>
      <c r="L391" s="75"/>
      <c r="M391" s="75"/>
      <c r="N391" s="75"/>
      <c r="O391" s="75"/>
      <c r="P391" s="75"/>
      <c r="Q391" s="75"/>
      <c r="R391" s="75"/>
      <c r="S391" s="75"/>
      <c r="T391" s="75"/>
      <c r="U391" s="75"/>
      <c r="V391" s="75"/>
      <c r="W391" s="75"/>
      <c r="X391" s="75"/>
      <c r="Y391" s="75"/>
      <c r="Z391" s="75"/>
      <c r="AA391" s="75"/>
      <c r="AB391" s="76" t="s">
        <v>145</v>
      </c>
      <c r="AC391" s="76"/>
      <c r="AD391" s="76"/>
      <c r="AE391" s="76"/>
      <c r="AF391" s="76"/>
      <c r="AG391" s="76"/>
      <c r="AH391" s="76"/>
      <c r="AI391" s="76"/>
      <c r="AJ391" s="76"/>
      <c r="AK391" s="76"/>
      <c r="AL391" s="76"/>
      <c r="AM391" s="76"/>
      <c r="AN391" s="76"/>
      <c r="AO391" s="76"/>
      <c r="AP391" s="76"/>
      <c r="AQ391" s="76"/>
      <c r="AR391" s="76"/>
      <c r="AS391" s="76"/>
      <c r="AT391" s="76"/>
      <c r="AU391" s="76"/>
      <c r="AV391" s="76"/>
      <c r="AW391" s="76"/>
      <c r="AX391" s="76"/>
      <c r="AY391" s="76"/>
      <c r="AZ391" s="76"/>
      <c r="BA391" s="76"/>
      <c r="BB391" s="76"/>
      <c r="BC391" s="76"/>
    </row>
    <row r="392" customFormat="false" ht="7.5" hidden="false" customHeight="true" outlineLevel="0" collapsed="false"/>
    <row r="393" customFormat="false" ht="24" hidden="false" customHeight="true" outlineLevel="0" collapsed="false">
      <c r="B393" s="86" t="s">
        <v>115</v>
      </c>
      <c r="C393" s="86"/>
      <c r="D393" s="86"/>
      <c r="E393" s="86"/>
      <c r="F393" s="86"/>
      <c r="H393" s="87" t="s">
        <v>116</v>
      </c>
      <c r="I393" s="87"/>
      <c r="J393" s="87"/>
      <c r="K393" s="87"/>
      <c r="L393" s="87"/>
      <c r="M393" s="87"/>
      <c r="N393" s="87"/>
      <c r="O393" s="87"/>
      <c r="P393" s="87"/>
      <c r="AA393" s="88" t="s">
        <v>136</v>
      </c>
      <c r="AB393" s="88"/>
      <c r="AC393" s="88"/>
      <c r="AD393" s="88"/>
      <c r="AE393" s="88"/>
      <c r="AF393" s="89" t="str">
        <f aca="false">Dashboard!$C$6</f>
        <v>Bindhya TB</v>
      </c>
      <c r="AG393" s="89"/>
      <c r="AH393" s="89"/>
      <c r="AI393" s="89"/>
      <c r="AJ393" s="89"/>
      <c r="AK393" s="89"/>
      <c r="AL393" s="89"/>
      <c r="AM393" s="89"/>
      <c r="AN393" s="89"/>
      <c r="AO393" s="89"/>
      <c r="AP393" s="89"/>
      <c r="AR393" s="88" t="s">
        <v>137</v>
      </c>
      <c r="AS393" s="88"/>
      <c r="AT393" s="89" t="str">
        <f aca="false">TEXT(Cal!H4,"dd mmm")&amp;" to "&amp;TEXT(Cal!I4,"dd mmm yy")</f>
        <v>12 Oct to 17 Oct 26</v>
      </c>
      <c r="AU393" s="89"/>
      <c r="AV393" s="89"/>
      <c r="AW393" s="89"/>
      <c r="AX393" s="89"/>
      <c r="AY393" s="89"/>
      <c r="AZ393" s="89"/>
      <c r="BA393" s="89"/>
      <c r="BB393" s="89"/>
      <c r="BC393" s="89"/>
    </row>
    <row r="394" customFormat="false" ht="3" hidden="false" customHeight="true" outlineLevel="0" collapsed="false"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</row>
    <row r="395" customFormat="false" ht="9.75" hidden="false" customHeight="true" outlineLevel="0" collapsed="false"/>
    <row r="396" customFormat="false" ht="21.75" hidden="false" customHeight="true" outlineLevel="0" collapsed="false">
      <c r="B396" s="6"/>
      <c r="C396" s="19" t="s">
        <v>146</v>
      </c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59" t="s">
        <v>147</v>
      </c>
      <c r="AM396" s="59"/>
      <c r="AN396" s="59"/>
      <c r="AO396" s="59"/>
      <c r="AP396" s="59"/>
      <c r="AQ396" s="59"/>
      <c r="AR396" s="59"/>
      <c r="AS396" s="59"/>
      <c r="AT396" s="59"/>
      <c r="AU396" s="59"/>
      <c r="AV396" s="59"/>
      <c r="AW396" s="59"/>
      <c r="AX396" s="59"/>
      <c r="AY396" s="59"/>
      <c r="AZ396" s="59"/>
      <c r="BA396" s="59"/>
      <c r="BB396" s="59"/>
      <c r="BC396" s="59"/>
    </row>
    <row r="397" customFormat="false" ht="27.75" hidden="false" customHeight="true" outlineLevel="0" collapsed="false">
      <c r="B397" s="79" t="s">
        <v>124</v>
      </c>
      <c r="C397" s="79"/>
      <c r="D397" s="80" t="s">
        <v>140</v>
      </c>
      <c r="E397" s="80"/>
      <c r="F397" s="80"/>
      <c r="G397" s="80"/>
      <c r="H397" s="80" t="s">
        <v>127</v>
      </c>
      <c r="I397" s="80"/>
      <c r="J397" s="80"/>
      <c r="K397" s="80"/>
      <c r="L397" s="80"/>
      <c r="M397" s="80"/>
      <c r="N397" s="80"/>
      <c r="O397" s="80"/>
      <c r="P397" s="80" t="s">
        <v>126</v>
      </c>
      <c r="Q397" s="80"/>
      <c r="R397" s="80"/>
      <c r="S397" s="80"/>
      <c r="T397" s="80"/>
      <c r="U397" s="80"/>
      <c r="V397" s="80"/>
      <c r="W397" s="80" t="s">
        <v>148</v>
      </c>
      <c r="X397" s="80"/>
      <c r="Y397" s="80"/>
      <c r="Z397" s="80"/>
      <c r="AA397" s="80"/>
      <c r="AB397" s="80"/>
      <c r="AC397" s="80" t="s">
        <v>149</v>
      </c>
      <c r="AD397" s="80"/>
      <c r="AE397" s="80"/>
      <c r="AF397" s="80"/>
      <c r="AG397" s="80" t="s">
        <v>150</v>
      </c>
      <c r="AH397" s="80"/>
      <c r="AI397" s="80"/>
      <c r="AJ397" s="80"/>
      <c r="AK397" s="80"/>
      <c r="AL397" s="80"/>
      <c r="AM397" s="80"/>
      <c r="AN397" s="80"/>
      <c r="AO397" s="80"/>
      <c r="AP397" s="80"/>
      <c r="AQ397" s="80"/>
      <c r="AR397" s="80"/>
      <c r="AS397" s="80"/>
      <c r="AT397" s="80"/>
      <c r="AU397" s="80"/>
      <c r="AV397" s="80"/>
      <c r="AW397" s="80"/>
      <c r="AX397" s="80"/>
      <c r="AY397" s="80"/>
      <c r="AZ397" s="80"/>
      <c r="BA397" s="80"/>
      <c r="BB397" s="80"/>
      <c r="BC397" s="80"/>
    </row>
    <row r="398" customFormat="false" ht="27.75" hidden="false" customHeight="true" outlineLevel="0" collapsed="false">
      <c r="B398" s="81" t="n">
        <v>1</v>
      </c>
      <c r="C398" s="81"/>
      <c r="D398" s="82"/>
      <c r="E398" s="82"/>
      <c r="F398" s="82"/>
      <c r="G398" s="82"/>
      <c r="H398" s="83"/>
      <c r="I398" s="83"/>
      <c r="J398" s="83"/>
      <c r="K398" s="83"/>
      <c r="L398" s="83"/>
      <c r="M398" s="83"/>
      <c r="N398" s="83"/>
      <c r="O398" s="83"/>
      <c r="P398" s="83"/>
      <c r="Q398" s="83"/>
      <c r="R398" s="83"/>
      <c r="S398" s="83"/>
      <c r="T398" s="83"/>
      <c r="U398" s="83"/>
      <c r="V398" s="83"/>
      <c r="W398" s="90"/>
      <c r="X398" s="90"/>
      <c r="Y398" s="90"/>
      <c r="Z398" s="90"/>
      <c r="AA398" s="90"/>
      <c r="AB398" s="90"/>
      <c r="AC398" s="83"/>
      <c r="AD398" s="83"/>
      <c r="AE398" s="83"/>
      <c r="AF398" s="83"/>
      <c r="AG398" s="83"/>
      <c r="AH398" s="83"/>
      <c r="AI398" s="83"/>
      <c r="AJ398" s="83"/>
      <c r="AK398" s="83"/>
      <c r="AL398" s="83"/>
      <c r="AM398" s="83"/>
      <c r="AN398" s="83"/>
      <c r="AO398" s="83"/>
      <c r="AP398" s="83"/>
      <c r="AQ398" s="83"/>
      <c r="AR398" s="83"/>
      <c r="AS398" s="83"/>
      <c r="AT398" s="83"/>
      <c r="AU398" s="83"/>
      <c r="AV398" s="83"/>
      <c r="AW398" s="83"/>
      <c r="AX398" s="83"/>
      <c r="AY398" s="83"/>
      <c r="AZ398" s="83"/>
      <c r="BA398" s="83"/>
      <c r="BB398" s="83"/>
      <c r="BC398" s="83"/>
    </row>
    <row r="399" customFormat="false" ht="27.75" hidden="false" customHeight="true" outlineLevel="0" collapsed="false">
      <c r="B399" s="81" t="n">
        <v>2</v>
      </c>
      <c r="C399" s="81"/>
      <c r="D399" s="82"/>
      <c r="E399" s="82"/>
      <c r="F399" s="82"/>
      <c r="G399" s="82"/>
      <c r="H399" s="83"/>
      <c r="I399" s="83"/>
      <c r="J399" s="83"/>
      <c r="K399" s="83"/>
      <c r="L399" s="83"/>
      <c r="M399" s="83"/>
      <c r="N399" s="83"/>
      <c r="O399" s="83"/>
      <c r="P399" s="83"/>
      <c r="Q399" s="83"/>
      <c r="R399" s="83"/>
      <c r="S399" s="83"/>
      <c r="T399" s="83"/>
      <c r="U399" s="83"/>
      <c r="V399" s="83"/>
      <c r="W399" s="90"/>
      <c r="X399" s="90"/>
      <c r="Y399" s="90"/>
      <c r="Z399" s="90"/>
      <c r="AA399" s="90"/>
      <c r="AB399" s="90"/>
      <c r="AC399" s="83"/>
      <c r="AD399" s="83"/>
      <c r="AE399" s="83"/>
      <c r="AF399" s="83"/>
      <c r="AG399" s="83"/>
      <c r="AH399" s="83"/>
      <c r="AI399" s="83"/>
      <c r="AJ399" s="83"/>
      <c r="AK399" s="83"/>
      <c r="AL399" s="83"/>
      <c r="AM399" s="83"/>
      <c r="AN399" s="83"/>
      <c r="AO399" s="83"/>
      <c r="AP399" s="83"/>
      <c r="AQ399" s="83"/>
      <c r="AR399" s="83"/>
      <c r="AS399" s="83"/>
      <c r="AT399" s="83"/>
      <c r="AU399" s="83"/>
      <c r="AV399" s="83"/>
      <c r="AW399" s="83"/>
      <c r="AX399" s="83"/>
      <c r="AY399" s="83"/>
      <c r="AZ399" s="83"/>
      <c r="BA399" s="83"/>
      <c r="BB399" s="83"/>
      <c r="BC399" s="83"/>
    </row>
    <row r="400" customFormat="false" ht="27.75" hidden="false" customHeight="true" outlineLevel="0" collapsed="false">
      <c r="B400" s="81" t="n">
        <v>3</v>
      </c>
      <c r="C400" s="81"/>
      <c r="D400" s="82"/>
      <c r="E400" s="82"/>
      <c r="F400" s="82"/>
      <c r="G400" s="82"/>
      <c r="H400" s="83"/>
      <c r="I400" s="83"/>
      <c r="J400" s="83"/>
      <c r="K400" s="83"/>
      <c r="L400" s="83"/>
      <c r="M400" s="83"/>
      <c r="N400" s="83"/>
      <c r="O400" s="83"/>
      <c r="P400" s="83"/>
      <c r="Q400" s="83"/>
      <c r="R400" s="83"/>
      <c r="S400" s="83"/>
      <c r="T400" s="83"/>
      <c r="U400" s="83"/>
      <c r="V400" s="83"/>
      <c r="W400" s="90"/>
      <c r="X400" s="90"/>
      <c r="Y400" s="90"/>
      <c r="Z400" s="90"/>
      <c r="AA400" s="90"/>
      <c r="AB400" s="90"/>
      <c r="AC400" s="83"/>
      <c r="AD400" s="83"/>
      <c r="AE400" s="83"/>
      <c r="AF400" s="83"/>
      <c r="AG400" s="83"/>
      <c r="AH400" s="83"/>
      <c r="AI400" s="83"/>
      <c r="AJ400" s="83"/>
      <c r="AK400" s="83"/>
      <c r="AL400" s="83"/>
      <c r="AM400" s="83"/>
      <c r="AN400" s="83"/>
      <c r="AO400" s="83"/>
      <c r="AP400" s="83"/>
      <c r="AQ400" s="83"/>
      <c r="AR400" s="83"/>
      <c r="AS400" s="83"/>
      <c r="AT400" s="83"/>
      <c r="AU400" s="83"/>
      <c r="AV400" s="83"/>
      <c r="AW400" s="83"/>
      <c r="AX400" s="83"/>
      <c r="AY400" s="83"/>
      <c r="AZ400" s="83"/>
      <c r="BA400" s="83"/>
      <c r="BB400" s="83"/>
      <c r="BC400" s="83"/>
    </row>
    <row r="401" customFormat="false" ht="27.75" hidden="false" customHeight="true" outlineLevel="0" collapsed="false">
      <c r="B401" s="81" t="n">
        <v>4</v>
      </c>
      <c r="C401" s="81"/>
      <c r="D401" s="82"/>
      <c r="E401" s="82"/>
      <c r="F401" s="82"/>
      <c r="G401" s="82"/>
      <c r="H401" s="83"/>
      <c r="I401" s="83"/>
      <c r="J401" s="83"/>
      <c r="K401" s="83"/>
      <c r="L401" s="83"/>
      <c r="M401" s="83"/>
      <c r="N401" s="83"/>
      <c r="O401" s="83"/>
      <c r="P401" s="83"/>
      <c r="Q401" s="83"/>
      <c r="R401" s="83"/>
      <c r="S401" s="83"/>
      <c r="T401" s="83"/>
      <c r="U401" s="83"/>
      <c r="V401" s="83"/>
      <c r="W401" s="90"/>
      <c r="X401" s="90"/>
      <c r="Y401" s="90"/>
      <c r="Z401" s="90"/>
      <c r="AA401" s="90"/>
      <c r="AB401" s="90"/>
      <c r="AC401" s="83"/>
      <c r="AD401" s="83"/>
      <c r="AE401" s="83"/>
      <c r="AF401" s="83"/>
      <c r="AG401" s="83"/>
      <c r="AH401" s="83"/>
      <c r="AI401" s="83"/>
      <c r="AJ401" s="83"/>
      <c r="AK401" s="83"/>
      <c r="AL401" s="83"/>
      <c r="AM401" s="83"/>
      <c r="AN401" s="83"/>
      <c r="AO401" s="83"/>
      <c r="AP401" s="83"/>
      <c r="AQ401" s="83"/>
      <c r="AR401" s="83"/>
      <c r="AS401" s="83"/>
      <c r="AT401" s="83"/>
      <c r="AU401" s="83"/>
      <c r="AV401" s="83"/>
      <c r="AW401" s="83"/>
      <c r="AX401" s="83"/>
      <c r="AY401" s="83"/>
      <c r="AZ401" s="83"/>
      <c r="BA401" s="83"/>
      <c r="BB401" s="83"/>
      <c r="BC401" s="83"/>
    </row>
    <row r="402" customFormat="false" ht="27.75" hidden="false" customHeight="true" outlineLevel="0" collapsed="false">
      <c r="B402" s="81" t="n">
        <v>5</v>
      </c>
      <c r="C402" s="81"/>
      <c r="D402" s="82"/>
      <c r="E402" s="82"/>
      <c r="F402" s="82"/>
      <c r="G402" s="82"/>
      <c r="H402" s="83"/>
      <c r="I402" s="83"/>
      <c r="J402" s="83"/>
      <c r="K402" s="83"/>
      <c r="L402" s="83"/>
      <c r="M402" s="83"/>
      <c r="N402" s="83"/>
      <c r="O402" s="83"/>
      <c r="P402" s="83"/>
      <c r="Q402" s="83"/>
      <c r="R402" s="83"/>
      <c r="S402" s="83"/>
      <c r="T402" s="83"/>
      <c r="U402" s="83"/>
      <c r="V402" s="83"/>
      <c r="W402" s="90"/>
      <c r="X402" s="90"/>
      <c r="Y402" s="90"/>
      <c r="Z402" s="90"/>
      <c r="AA402" s="90"/>
      <c r="AB402" s="90"/>
      <c r="AC402" s="83"/>
      <c r="AD402" s="83"/>
      <c r="AE402" s="83"/>
      <c r="AF402" s="83"/>
      <c r="AG402" s="83"/>
      <c r="AH402" s="83"/>
      <c r="AI402" s="83"/>
      <c r="AJ402" s="83"/>
      <c r="AK402" s="83"/>
      <c r="AL402" s="83"/>
      <c r="AM402" s="83"/>
      <c r="AN402" s="83"/>
      <c r="AO402" s="83"/>
      <c r="AP402" s="83"/>
      <c r="AQ402" s="83"/>
      <c r="AR402" s="83"/>
      <c r="AS402" s="83"/>
      <c r="AT402" s="83"/>
      <c r="AU402" s="83"/>
      <c r="AV402" s="83"/>
      <c r="AW402" s="83"/>
      <c r="AX402" s="83"/>
      <c r="AY402" s="83"/>
      <c r="AZ402" s="83"/>
      <c r="BA402" s="83"/>
      <c r="BB402" s="83"/>
      <c r="BC402" s="83"/>
    </row>
    <row r="403" customFormat="false" ht="27.75" hidden="false" customHeight="true" outlineLevel="0" collapsed="false">
      <c r="B403" s="81" t="n">
        <v>6</v>
      </c>
      <c r="C403" s="81"/>
      <c r="D403" s="82"/>
      <c r="E403" s="82"/>
      <c r="F403" s="82"/>
      <c r="G403" s="82"/>
      <c r="H403" s="83"/>
      <c r="I403" s="83"/>
      <c r="J403" s="83"/>
      <c r="K403" s="83"/>
      <c r="L403" s="83"/>
      <c r="M403" s="83"/>
      <c r="N403" s="83"/>
      <c r="O403" s="83"/>
      <c r="P403" s="83"/>
      <c r="Q403" s="83"/>
      <c r="R403" s="83"/>
      <c r="S403" s="83"/>
      <c r="T403" s="83"/>
      <c r="U403" s="83"/>
      <c r="V403" s="83"/>
      <c r="W403" s="90"/>
      <c r="X403" s="90"/>
      <c r="Y403" s="90"/>
      <c r="Z403" s="90"/>
      <c r="AA403" s="90"/>
      <c r="AB403" s="90"/>
      <c r="AC403" s="83"/>
      <c r="AD403" s="83"/>
      <c r="AE403" s="83"/>
      <c r="AF403" s="83"/>
      <c r="AG403" s="83"/>
      <c r="AH403" s="83"/>
      <c r="AI403" s="83"/>
      <c r="AJ403" s="83"/>
      <c r="AK403" s="83"/>
      <c r="AL403" s="83"/>
      <c r="AM403" s="83"/>
      <c r="AN403" s="83"/>
      <c r="AO403" s="83"/>
      <c r="AP403" s="83"/>
      <c r="AQ403" s="83"/>
      <c r="AR403" s="83"/>
      <c r="AS403" s="83"/>
      <c r="AT403" s="83"/>
      <c r="AU403" s="83"/>
      <c r="AV403" s="83"/>
      <c r="AW403" s="83"/>
      <c r="AX403" s="83"/>
      <c r="AY403" s="83"/>
      <c r="AZ403" s="83"/>
      <c r="BA403" s="83"/>
      <c r="BB403" s="83"/>
      <c r="BC403" s="83"/>
    </row>
    <row r="404" customFormat="false" ht="24" hidden="false" customHeight="true" outlineLevel="0" collapsed="false">
      <c r="B404" s="84" t="s">
        <v>132</v>
      </c>
      <c r="C404" s="84"/>
      <c r="E404" s="85" t="s">
        <v>151</v>
      </c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  <c r="AE404" s="85"/>
      <c r="AF404" s="85"/>
      <c r="AG404" s="85"/>
      <c r="AH404" s="85"/>
      <c r="AI404" s="85"/>
      <c r="AJ404" s="85"/>
      <c r="AK404" s="85"/>
      <c r="AL404" s="85"/>
      <c r="AM404" s="85"/>
      <c r="AN404" s="85"/>
      <c r="AO404" s="85"/>
      <c r="AP404" s="85"/>
      <c r="AQ404" s="85"/>
      <c r="AR404" s="85"/>
      <c r="AS404" s="85"/>
      <c r="AT404" s="85"/>
      <c r="AU404" s="85"/>
      <c r="AV404" s="85"/>
      <c r="AW404" s="85"/>
      <c r="AX404" s="85"/>
      <c r="AY404" s="85"/>
      <c r="AZ404" s="85"/>
      <c r="BA404" s="85"/>
      <c r="BB404" s="85"/>
      <c r="BC404" s="85"/>
    </row>
    <row r="405" customFormat="false" ht="9.75" hidden="false" customHeight="true" outlineLevel="0" collapsed="false"/>
    <row r="406" customFormat="false" ht="21.75" hidden="false" customHeight="true" outlineLevel="0" collapsed="false">
      <c r="B406" s="6"/>
      <c r="C406" s="19" t="s">
        <v>152</v>
      </c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59" t="s">
        <v>153</v>
      </c>
      <c r="AM406" s="59"/>
      <c r="AN406" s="59"/>
      <c r="AO406" s="59"/>
      <c r="AP406" s="59"/>
      <c r="AQ406" s="59"/>
      <c r="AR406" s="59"/>
      <c r="AS406" s="59"/>
      <c r="AT406" s="59"/>
      <c r="AU406" s="59"/>
      <c r="AV406" s="59"/>
      <c r="AW406" s="59"/>
      <c r="AX406" s="59"/>
      <c r="AY406" s="59"/>
      <c r="AZ406" s="59"/>
      <c r="BA406" s="59"/>
      <c r="BB406" s="59"/>
      <c r="BC406" s="59"/>
    </row>
    <row r="407" customFormat="false" ht="27.75" hidden="false" customHeight="true" outlineLevel="0" collapsed="false">
      <c r="B407" s="79" t="s">
        <v>124</v>
      </c>
      <c r="C407" s="79"/>
      <c r="D407" s="80" t="s">
        <v>140</v>
      </c>
      <c r="E407" s="80"/>
      <c r="F407" s="80"/>
      <c r="G407" s="80"/>
      <c r="H407" s="80" t="s">
        <v>127</v>
      </c>
      <c r="I407" s="80"/>
      <c r="J407" s="80"/>
      <c r="K407" s="80"/>
      <c r="L407" s="80"/>
      <c r="M407" s="80"/>
      <c r="N407" s="80"/>
      <c r="O407" s="80"/>
      <c r="P407" s="80" t="s">
        <v>126</v>
      </c>
      <c r="Q407" s="80"/>
      <c r="R407" s="80"/>
      <c r="S407" s="80"/>
      <c r="T407" s="80"/>
      <c r="U407" s="80"/>
      <c r="V407" s="80"/>
      <c r="W407" s="80" t="s">
        <v>154</v>
      </c>
      <c r="X407" s="80"/>
      <c r="Y407" s="80"/>
      <c r="Z407" s="80"/>
      <c r="AA407" s="80"/>
      <c r="AB407" s="80"/>
      <c r="AC407" s="80" t="s">
        <v>149</v>
      </c>
      <c r="AD407" s="80"/>
      <c r="AE407" s="80"/>
      <c r="AF407" s="80"/>
      <c r="AG407" s="80" t="s">
        <v>150</v>
      </c>
      <c r="AH407" s="80"/>
      <c r="AI407" s="80"/>
      <c r="AJ407" s="80"/>
      <c r="AK407" s="80"/>
      <c r="AL407" s="80"/>
      <c r="AM407" s="80"/>
      <c r="AN407" s="80"/>
      <c r="AO407" s="80"/>
      <c r="AP407" s="80"/>
      <c r="AQ407" s="80"/>
      <c r="AR407" s="80"/>
      <c r="AS407" s="80"/>
      <c r="AT407" s="80"/>
      <c r="AU407" s="80"/>
      <c r="AV407" s="80"/>
      <c r="AW407" s="80"/>
      <c r="AX407" s="80"/>
      <c r="AY407" s="80"/>
      <c r="AZ407" s="80"/>
      <c r="BA407" s="80"/>
      <c r="BB407" s="80"/>
      <c r="BC407" s="80"/>
    </row>
    <row r="408" customFormat="false" ht="27.75" hidden="false" customHeight="true" outlineLevel="0" collapsed="false">
      <c r="B408" s="81" t="n">
        <v>1</v>
      </c>
      <c r="C408" s="81"/>
      <c r="D408" s="82"/>
      <c r="E408" s="82"/>
      <c r="F408" s="82"/>
      <c r="G408" s="82"/>
      <c r="H408" s="83"/>
      <c r="I408" s="83"/>
      <c r="J408" s="83"/>
      <c r="K408" s="83"/>
      <c r="L408" s="83"/>
      <c r="M408" s="83"/>
      <c r="N408" s="83"/>
      <c r="O408" s="83"/>
      <c r="P408" s="83"/>
      <c r="Q408" s="83"/>
      <c r="R408" s="83"/>
      <c r="S408" s="83"/>
      <c r="T408" s="83"/>
      <c r="U408" s="83"/>
      <c r="V408" s="83"/>
      <c r="W408" s="90"/>
      <c r="X408" s="90"/>
      <c r="Y408" s="90"/>
      <c r="Z408" s="90"/>
      <c r="AA408" s="90"/>
      <c r="AB408" s="90"/>
      <c r="AC408" s="83"/>
      <c r="AD408" s="83"/>
      <c r="AE408" s="83"/>
      <c r="AF408" s="83"/>
      <c r="AG408" s="83"/>
      <c r="AH408" s="83"/>
      <c r="AI408" s="83"/>
      <c r="AJ408" s="83"/>
      <c r="AK408" s="83"/>
      <c r="AL408" s="83"/>
      <c r="AM408" s="83"/>
      <c r="AN408" s="83"/>
      <c r="AO408" s="83"/>
      <c r="AP408" s="83"/>
      <c r="AQ408" s="83"/>
      <c r="AR408" s="83"/>
      <c r="AS408" s="83"/>
      <c r="AT408" s="83"/>
      <c r="AU408" s="83"/>
      <c r="AV408" s="83"/>
      <c r="AW408" s="83"/>
      <c r="AX408" s="83"/>
      <c r="AY408" s="83"/>
      <c r="AZ408" s="83"/>
      <c r="BA408" s="83"/>
      <c r="BB408" s="83"/>
      <c r="BC408" s="83"/>
    </row>
    <row r="409" customFormat="false" ht="27.75" hidden="false" customHeight="true" outlineLevel="0" collapsed="false">
      <c r="B409" s="81" t="n">
        <v>2</v>
      </c>
      <c r="C409" s="81"/>
      <c r="D409" s="82"/>
      <c r="E409" s="82"/>
      <c r="F409" s="82"/>
      <c r="G409" s="82"/>
      <c r="H409" s="83"/>
      <c r="I409" s="83"/>
      <c r="J409" s="83"/>
      <c r="K409" s="83"/>
      <c r="L409" s="83"/>
      <c r="M409" s="83"/>
      <c r="N409" s="83"/>
      <c r="O409" s="83"/>
      <c r="P409" s="83"/>
      <c r="Q409" s="83"/>
      <c r="R409" s="83"/>
      <c r="S409" s="83"/>
      <c r="T409" s="83"/>
      <c r="U409" s="83"/>
      <c r="V409" s="83"/>
      <c r="W409" s="90"/>
      <c r="X409" s="90"/>
      <c r="Y409" s="90"/>
      <c r="Z409" s="90"/>
      <c r="AA409" s="90"/>
      <c r="AB409" s="90"/>
      <c r="AC409" s="83"/>
      <c r="AD409" s="83"/>
      <c r="AE409" s="83"/>
      <c r="AF409" s="83"/>
      <c r="AG409" s="83"/>
      <c r="AH409" s="83"/>
      <c r="AI409" s="83"/>
      <c r="AJ409" s="83"/>
      <c r="AK409" s="83"/>
      <c r="AL409" s="83"/>
      <c r="AM409" s="83"/>
      <c r="AN409" s="83"/>
      <c r="AO409" s="83"/>
      <c r="AP409" s="83"/>
      <c r="AQ409" s="83"/>
      <c r="AR409" s="83"/>
      <c r="AS409" s="83"/>
      <c r="AT409" s="83"/>
      <c r="AU409" s="83"/>
      <c r="AV409" s="83"/>
      <c r="AW409" s="83"/>
      <c r="AX409" s="83"/>
      <c r="AY409" s="83"/>
      <c r="AZ409" s="83"/>
      <c r="BA409" s="83"/>
      <c r="BB409" s="83"/>
      <c r="BC409" s="83"/>
    </row>
    <row r="410" customFormat="false" ht="27.75" hidden="false" customHeight="true" outlineLevel="0" collapsed="false">
      <c r="B410" s="81" t="n">
        <v>3</v>
      </c>
      <c r="C410" s="81"/>
      <c r="D410" s="82"/>
      <c r="E410" s="82"/>
      <c r="F410" s="82"/>
      <c r="G410" s="82"/>
      <c r="H410" s="83"/>
      <c r="I410" s="83"/>
      <c r="J410" s="83"/>
      <c r="K410" s="83"/>
      <c r="L410" s="83"/>
      <c r="M410" s="83"/>
      <c r="N410" s="83"/>
      <c r="O410" s="83"/>
      <c r="P410" s="83"/>
      <c r="Q410" s="83"/>
      <c r="R410" s="83"/>
      <c r="S410" s="83"/>
      <c r="T410" s="83"/>
      <c r="U410" s="83"/>
      <c r="V410" s="83"/>
      <c r="W410" s="90"/>
      <c r="X410" s="90"/>
      <c r="Y410" s="90"/>
      <c r="Z410" s="90"/>
      <c r="AA410" s="90"/>
      <c r="AB410" s="90"/>
      <c r="AC410" s="83"/>
      <c r="AD410" s="83"/>
      <c r="AE410" s="83"/>
      <c r="AF410" s="83"/>
      <c r="AG410" s="83"/>
      <c r="AH410" s="83"/>
      <c r="AI410" s="83"/>
      <c r="AJ410" s="83"/>
      <c r="AK410" s="83"/>
      <c r="AL410" s="83"/>
      <c r="AM410" s="83"/>
      <c r="AN410" s="83"/>
      <c r="AO410" s="83"/>
      <c r="AP410" s="83"/>
      <c r="AQ410" s="83"/>
      <c r="AR410" s="83"/>
      <c r="AS410" s="83"/>
      <c r="AT410" s="83"/>
      <c r="AU410" s="83"/>
      <c r="AV410" s="83"/>
      <c r="AW410" s="83"/>
      <c r="AX410" s="83"/>
      <c r="AY410" s="83"/>
      <c r="AZ410" s="83"/>
      <c r="BA410" s="83"/>
      <c r="BB410" s="83"/>
      <c r="BC410" s="83"/>
    </row>
    <row r="411" customFormat="false" ht="27.75" hidden="false" customHeight="true" outlineLevel="0" collapsed="false">
      <c r="B411" s="81" t="n">
        <v>4</v>
      </c>
      <c r="C411" s="81"/>
      <c r="D411" s="82"/>
      <c r="E411" s="82"/>
      <c r="F411" s="82"/>
      <c r="G411" s="82"/>
      <c r="H411" s="83"/>
      <c r="I411" s="83"/>
      <c r="J411" s="83"/>
      <c r="K411" s="83"/>
      <c r="L411" s="83"/>
      <c r="M411" s="83"/>
      <c r="N411" s="83"/>
      <c r="O411" s="83"/>
      <c r="P411" s="83"/>
      <c r="Q411" s="83"/>
      <c r="R411" s="83"/>
      <c r="S411" s="83"/>
      <c r="T411" s="83"/>
      <c r="U411" s="83"/>
      <c r="V411" s="83"/>
      <c r="W411" s="90"/>
      <c r="X411" s="90"/>
      <c r="Y411" s="90"/>
      <c r="Z411" s="90"/>
      <c r="AA411" s="90"/>
      <c r="AB411" s="90"/>
      <c r="AC411" s="83"/>
      <c r="AD411" s="83"/>
      <c r="AE411" s="83"/>
      <c r="AF411" s="83"/>
      <c r="AG411" s="83"/>
      <c r="AH411" s="83"/>
      <c r="AI411" s="83"/>
      <c r="AJ411" s="83"/>
      <c r="AK411" s="83"/>
      <c r="AL411" s="83"/>
      <c r="AM411" s="83"/>
      <c r="AN411" s="83"/>
      <c r="AO411" s="83"/>
      <c r="AP411" s="83"/>
      <c r="AQ411" s="83"/>
      <c r="AR411" s="83"/>
      <c r="AS411" s="83"/>
      <c r="AT411" s="83"/>
      <c r="AU411" s="83"/>
      <c r="AV411" s="83"/>
      <c r="AW411" s="83"/>
      <c r="AX411" s="83"/>
      <c r="AY411" s="83"/>
      <c r="AZ411" s="83"/>
      <c r="BA411" s="83"/>
      <c r="BB411" s="83"/>
      <c r="BC411" s="83"/>
    </row>
    <row r="412" customFormat="false" ht="27.75" hidden="false" customHeight="true" outlineLevel="0" collapsed="false">
      <c r="B412" s="81" t="n">
        <v>5</v>
      </c>
      <c r="C412" s="81"/>
      <c r="D412" s="82"/>
      <c r="E412" s="82"/>
      <c r="F412" s="82"/>
      <c r="G412" s="82"/>
      <c r="H412" s="83"/>
      <c r="I412" s="83"/>
      <c r="J412" s="83"/>
      <c r="K412" s="83"/>
      <c r="L412" s="83"/>
      <c r="M412" s="83"/>
      <c r="N412" s="83"/>
      <c r="O412" s="83"/>
      <c r="P412" s="83"/>
      <c r="Q412" s="83"/>
      <c r="R412" s="83"/>
      <c r="S412" s="83"/>
      <c r="T412" s="83"/>
      <c r="U412" s="83"/>
      <c r="V412" s="83"/>
      <c r="W412" s="90"/>
      <c r="X412" s="90"/>
      <c r="Y412" s="90"/>
      <c r="Z412" s="90"/>
      <c r="AA412" s="90"/>
      <c r="AB412" s="90"/>
      <c r="AC412" s="83"/>
      <c r="AD412" s="83"/>
      <c r="AE412" s="83"/>
      <c r="AF412" s="83"/>
      <c r="AG412" s="83"/>
      <c r="AH412" s="83"/>
      <c r="AI412" s="83"/>
      <c r="AJ412" s="83"/>
      <c r="AK412" s="83"/>
      <c r="AL412" s="83"/>
      <c r="AM412" s="83"/>
      <c r="AN412" s="83"/>
      <c r="AO412" s="83"/>
      <c r="AP412" s="83"/>
      <c r="AQ412" s="83"/>
      <c r="AR412" s="83"/>
      <c r="AS412" s="83"/>
      <c r="AT412" s="83"/>
      <c r="AU412" s="83"/>
      <c r="AV412" s="83"/>
      <c r="AW412" s="83"/>
      <c r="AX412" s="83"/>
      <c r="AY412" s="83"/>
      <c r="AZ412" s="83"/>
      <c r="BA412" s="83"/>
      <c r="BB412" s="83"/>
      <c r="BC412" s="83"/>
    </row>
    <row r="413" customFormat="false" ht="24" hidden="false" customHeight="true" outlineLevel="0" collapsed="false">
      <c r="B413" s="84" t="s">
        <v>132</v>
      </c>
      <c r="C413" s="84"/>
      <c r="E413" s="85" t="s">
        <v>155</v>
      </c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  <c r="AE413" s="85"/>
      <c r="AF413" s="85"/>
      <c r="AG413" s="85"/>
      <c r="AH413" s="85"/>
      <c r="AI413" s="85"/>
      <c r="AJ413" s="85"/>
      <c r="AK413" s="85"/>
      <c r="AL413" s="85"/>
      <c r="AM413" s="85"/>
      <c r="AN413" s="85"/>
      <c r="AO413" s="85"/>
      <c r="AP413" s="85"/>
      <c r="AQ413" s="85"/>
      <c r="AR413" s="85"/>
      <c r="AS413" s="85"/>
      <c r="AT413" s="85"/>
      <c r="AU413" s="85"/>
      <c r="AV413" s="85"/>
      <c r="AW413" s="85"/>
      <c r="AX413" s="85"/>
      <c r="AY413" s="85"/>
      <c r="AZ413" s="85"/>
      <c r="BA413" s="85"/>
      <c r="BB413" s="85"/>
      <c r="BC413" s="85"/>
    </row>
    <row r="414" customFormat="false" ht="55.5" hidden="false" customHeight="true" outlineLevel="0" collapsed="false"/>
    <row r="415" customFormat="false" ht="18" hidden="false" customHeight="true" outlineLevel="0" collapsed="false">
      <c r="B415" s="75" t="s">
        <v>134</v>
      </c>
      <c r="C415" s="75"/>
      <c r="D415" s="75"/>
      <c r="E415" s="75"/>
      <c r="F415" s="75"/>
      <c r="G415" s="75"/>
      <c r="H415" s="75"/>
      <c r="I415" s="75"/>
      <c r="J415" s="75"/>
      <c r="K415" s="75"/>
      <c r="L415" s="75"/>
      <c r="M415" s="75"/>
      <c r="N415" s="75"/>
      <c r="O415" s="75"/>
      <c r="P415" s="75"/>
      <c r="Q415" s="75"/>
      <c r="R415" s="75"/>
      <c r="S415" s="75"/>
      <c r="T415" s="75"/>
      <c r="U415" s="75"/>
      <c r="V415" s="75"/>
      <c r="W415" s="75"/>
      <c r="X415" s="75"/>
      <c r="Y415" s="75"/>
      <c r="Z415" s="75"/>
      <c r="AA415" s="75"/>
      <c r="AB415" s="76" t="s">
        <v>156</v>
      </c>
      <c r="AC415" s="76"/>
      <c r="AD415" s="76"/>
      <c r="AE415" s="76"/>
      <c r="AF415" s="76"/>
      <c r="AG415" s="76"/>
      <c r="AH415" s="76"/>
      <c r="AI415" s="76"/>
      <c r="AJ415" s="76"/>
      <c r="AK415" s="76"/>
      <c r="AL415" s="76"/>
      <c r="AM415" s="76"/>
      <c r="AN415" s="76"/>
      <c r="AO415" s="76"/>
      <c r="AP415" s="76"/>
      <c r="AQ415" s="76"/>
      <c r="AR415" s="76"/>
      <c r="AS415" s="76"/>
      <c r="AT415" s="76"/>
      <c r="AU415" s="76"/>
      <c r="AV415" s="76"/>
      <c r="AW415" s="76"/>
      <c r="AX415" s="76"/>
      <c r="AY415" s="76"/>
      <c r="AZ415" s="76"/>
      <c r="BA415" s="76"/>
      <c r="BB415" s="76"/>
      <c r="BC415" s="76"/>
    </row>
    <row r="416" customFormat="false" ht="7.5" hidden="false" customHeight="true" outlineLevel="0" collapsed="false"/>
    <row r="417" customFormat="false" ht="24" hidden="false" customHeight="true" outlineLevel="0" collapsed="false">
      <c r="B417" s="86" t="s">
        <v>115</v>
      </c>
      <c r="C417" s="86"/>
      <c r="D417" s="86"/>
      <c r="E417" s="86"/>
      <c r="F417" s="86"/>
      <c r="H417" s="87" t="s">
        <v>116</v>
      </c>
      <c r="I417" s="87"/>
      <c r="J417" s="87"/>
      <c r="K417" s="87"/>
      <c r="L417" s="87"/>
      <c r="M417" s="87"/>
      <c r="N417" s="87"/>
      <c r="O417" s="87"/>
      <c r="P417" s="87"/>
      <c r="AA417" s="88" t="s">
        <v>136</v>
      </c>
      <c r="AB417" s="88"/>
      <c r="AC417" s="88"/>
      <c r="AD417" s="88"/>
      <c r="AE417" s="88"/>
      <c r="AF417" s="89" t="str">
        <f aca="false">Dashboard!$C$6</f>
        <v>Bindhya TB</v>
      </c>
      <c r="AG417" s="89"/>
      <c r="AH417" s="89"/>
      <c r="AI417" s="89"/>
      <c r="AJ417" s="89"/>
      <c r="AK417" s="89"/>
      <c r="AL417" s="89"/>
      <c r="AM417" s="89"/>
      <c r="AN417" s="89"/>
      <c r="AO417" s="89"/>
      <c r="AP417" s="89"/>
      <c r="AR417" s="88" t="s">
        <v>137</v>
      </c>
      <c r="AS417" s="88"/>
      <c r="AT417" s="89" t="str">
        <f aca="false">TEXT(Cal!H4,"dd mmm")&amp;" to "&amp;TEXT(Cal!I4,"dd mmm yy")</f>
        <v>12 Oct to 17 Oct 26</v>
      </c>
      <c r="AU417" s="89"/>
      <c r="AV417" s="89"/>
      <c r="AW417" s="89"/>
      <c r="AX417" s="89"/>
      <c r="AY417" s="89"/>
      <c r="AZ417" s="89"/>
      <c r="BA417" s="89"/>
      <c r="BB417" s="89"/>
      <c r="BC417" s="89"/>
    </row>
    <row r="418" customFormat="false" ht="3" hidden="false" customHeight="true" outlineLevel="0" collapsed="false"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</row>
    <row r="419" customFormat="false" ht="9.75" hidden="false" customHeight="true" outlineLevel="0" collapsed="false"/>
    <row r="420" customFormat="false" ht="21.75" hidden="false" customHeight="true" outlineLevel="0" collapsed="false">
      <c r="B420" s="6"/>
      <c r="C420" s="19" t="s">
        <v>157</v>
      </c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59" t="s">
        <v>158</v>
      </c>
      <c r="AM420" s="59"/>
      <c r="AN420" s="59"/>
      <c r="AO420" s="59"/>
      <c r="AP420" s="59"/>
      <c r="AQ420" s="59"/>
      <c r="AR420" s="59"/>
      <c r="AS420" s="59"/>
      <c r="AT420" s="59"/>
      <c r="AU420" s="59"/>
      <c r="AV420" s="59"/>
      <c r="AW420" s="59"/>
      <c r="AX420" s="59"/>
      <c r="AY420" s="59"/>
      <c r="AZ420" s="59"/>
      <c r="BA420" s="59"/>
      <c r="BB420" s="59"/>
      <c r="BC420" s="59"/>
    </row>
    <row r="421" customFormat="false" ht="27.75" hidden="false" customHeight="true" outlineLevel="0" collapsed="false">
      <c r="B421" s="79" t="s">
        <v>124</v>
      </c>
      <c r="C421" s="79"/>
      <c r="D421" s="80" t="s">
        <v>140</v>
      </c>
      <c r="E421" s="80"/>
      <c r="F421" s="80"/>
      <c r="G421" s="80"/>
      <c r="H421" s="80" t="s">
        <v>126</v>
      </c>
      <c r="I421" s="80"/>
      <c r="J421" s="80"/>
      <c r="K421" s="80"/>
      <c r="L421" s="80"/>
      <c r="M421" s="80"/>
      <c r="N421" s="80"/>
      <c r="O421" s="80" t="s">
        <v>159</v>
      </c>
      <c r="P421" s="80"/>
      <c r="Q421" s="80"/>
      <c r="R421" s="80"/>
      <c r="S421" s="80"/>
      <c r="T421" s="80"/>
      <c r="U421" s="80"/>
      <c r="V421" s="80"/>
      <c r="W421" s="80"/>
      <c r="X421" s="80"/>
      <c r="Y421" s="80"/>
      <c r="Z421" s="80"/>
      <c r="AA421" s="80"/>
      <c r="AB421" s="80"/>
      <c r="AC421" s="80"/>
      <c r="AD421" s="80"/>
      <c r="AE421" s="80" t="s">
        <v>160</v>
      </c>
      <c r="AF421" s="80"/>
      <c r="AG421" s="80"/>
      <c r="AH421" s="80"/>
      <c r="AI421" s="80" t="s">
        <v>161</v>
      </c>
      <c r="AJ421" s="80"/>
      <c r="AK421" s="80"/>
      <c r="AL421" s="80"/>
      <c r="AM421" s="80"/>
      <c r="AN421" s="80"/>
      <c r="AO421" s="80"/>
      <c r="AP421" s="80"/>
      <c r="AQ421" s="80"/>
      <c r="AR421" s="80"/>
      <c r="AS421" s="80"/>
      <c r="AT421" s="80"/>
      <c r="AU421" s="80"/>
      <c r="AV421" s="80"/>
      <c r="AW421" s="80" t="s">
        <v>162</v>
      </c>
      <c r="AX421" s="80"/>
      <c r="AY421" s="80"/>
      <c r="AZ421" s="80"/>
      <c r="BA421" s="80"/>
      <c r="BB421" s="80"/>
      <c r="BC421" s="80"/>
    </row>
    <row r="422" customFormat="false" ht="27.75" hidden="false" customHeight="true" outlineLevel="0" collapsed="false">
      <c r="B422" s="81" t="n">
        <v>1</v>
      </c>
      <c r="C422" s="81"/>
      <c r="D422" s="82"/>
      <c r="E422" s="82"/>
      <c r="F422" s="82"/>
      <c r="G422" s="82"/>
      <c r="H422" s="83"/>
      <c r="I422" s="83"/>
      <c r="J422" s="83"/>
      <c r="K422" s="83"/>
      <c r="L422" s="83"/>
      <c r="M422" s="83"/>
      <c r="N422" s="83"/>
      <c r="O422" s="83"/>
      <c r="P422" s="83"/>
      <c r="Q422" s="83"/>
      <c r="R422" s="83"/>
      <c r="S422" s="83"/>
      <c r="T422" s="83"/>
      <c r="U422" s="83"/>
      <c r="V422" s="83"/>
      <c r="W422" s="83"/>
      <c r="X422" s="83"/>
      <c r="Y422" s="83"/>
      <c r="Z422" s="83"/>
      <c r="AA422" s="83"/>
      <c r="AB422" s="83"/>
      <c r="AC422" s="83"/>
      <c r="AD422" s="83"/>
      <c r="AE422" s="83"/>
      <c r="AF422" s="83"/>
      <c r="AG422" s="83"/>
      <c r="AH422" s="83"/>
      <c r="AI422" s="83"/>
      <c r="AJ422" s="83"/>
      <c r="AK422" s="83"/>
      <c r="AL422" s="83"/>
      <c r="AM422" s="83"/>
      <c r="AN422" s="83"/>
      <c r="AO422" s="83"/>
      <c r="AP422" s="83"/>
      <c r="AQ422" s="83"/>
      <c r="AR422" s="83"/>
      <c r="AS422" s="83"/>
      <c r="AT422" s="83"/>
      <c r="AU422" s="83"/>
      <c r="AV422" s="83"/>
      <c r="AW422" s="83"/>
      <c r="AX422" s="83"/>
      <c r="AY422" s="83"/>
      <c r="AZ422" s="83"/>
      <c r="BA422" s="83"/>
      <c r="BB422" s="83"/>
      <c r="BC422" s="83"/>
    </row>
    <row r="423" customFormat="false" ht="27.75" hidden="false" customHeight="true" outlineLevel="0" collapsed="false">
      <c r="B423" s="81" t="n">
        <v>2</v>
      </c>
      <c r="C423" s="81"/>
      <c r="D423" s="82"/>
      <c r="E423" s="82"/>
      <c r="F423" s="82"/>
      <c r="G423" s="82"/>
      <c r="H423" s="83"/>
      <c r="I423" s="83"/>
      <c r="J423" s="83"/>
      <c r="K423" s="83"/>
      <c r="L423" s="83"/>
      <c r="M423" s="83"/>
      <c r="N423" s="83"/>
      <c r="O423" s="83"/>
      <c r="P423" s="83"/>
      <c r="Q423" s="83"/>
      <c r="R423" s="83"/>
      <c r="S423" s="83"/>
      <c r="T423" s="83"/>
      <c r="U423" s="83"/>
      <c r="V423" s="83"/>
      <c r="W423" s="83"/>
      <c r="X423" s="83"/>
      <c r="Y423" s="83"/>
      <c r="Z423" s="83"/>
      <c r="AA423" s="83"/>
      <c r="AB423" s="83"/>
      <c r="AC423" s="83"/>
      <c r="AD423" s="83"/>
      <c r="AE423" s="83"/>
      <c r="AF423" s="83"/>
      <c r="AG423" s="83"/>
      <c r="AH423" s="83"/>
      <c r="AI423" s="83"/>
      <c r="AJ423" s="83"/>
      <c r="AK423" s="83"/>
      <c r="AL423" s="83"/>
      <c r="AM423" s="83"/>
      <c r="AN423" s="83"/>
      <c r="AO423" s="83"/>
      <c r="AP423" s="83"/>
      <c r="AQ423" s="83"/>
      <c r="AR423" s="83"/>
      <c r="AS423" s="83"/>
      <c r="AT423" s="83"/>
      <c r="AU423" s="83"/>
      <c r="AV423" s="83"/>
      <c r="AW423" s="83"/>
      <c r="AX423" s="83"/>
      <c r="AY423" s="83"/>
      <c r="AZ423" s="83"/>
      <c r="BA423" s="83"/>
      <c r="BB423" s="83"/>
      <c r="BC423" s="83"/>
    </row>
    <row r="424" customFormat="false" ht="27.75" hidden="false" customHeight="true" outlineLevel="0" collapsed="false">
      <c r="B424" s="81" t="n">
        <v>3</v>
      </c>
      <c r="C424" s="81"/>
      <c r="D424" s="82"/>
      <c r="E424" s="82"/>
      <c r="F424" s="82"/>
      <c r="G424" s="82"/>
      <c r="H424" s="83"/>
      <c r="I424" s="83"/>
      <c r="J424" s="83"/>
      <c r="K424" s="83"/>
      <c r="L424" s="83"/>
      <c r="M424" s="83"/>
      <c r="N424" s="83"/>
      <c r="O424" s="83"/>
      <c r="P424" s="83"/>
      <c r="Q424" s="83"/>
      <c r="R424" s="83"/>
      <c r="S424" s="83"/>
      <c r="T424" s="83"/>
      <c r="U424" s="83"/>
      <c r="V424" s="83"/>
      <c r="W424" s="83"/>
      <c r="X424" s="83"/>
      <c r="Y424" s="83"/>
      <c r="Z424" s="83"/>
      <c r="AA424" s="83"/>
      <c r="AB424" s="83"/>
      <c r="AC424" s="83"/>
      <c r="AD424" s="83"/>
      <c r="AE424" s="83"/>
      <c r="AF424" s="83"/>
      <c r="AG424" s="83"/>
      <c r="AH424" s="83"/>
      <c r="AI424" s="83"/>
      <c r="AJ424" s="83"/>
      <c r="AK424" s="83"/>
      <c r="AL424" s="83"/>
      <c r="AM424" s="83"/>
      <c r="AN424" s="83"/>
      <c r="AO424" s="83"/>
      <c r="AP424" s="83"/>
      <c r="AQ424" s="83"/>
      <c r="AR424" s="83"/>
      <c r="AS424" s="83"/>
      <c r="AT424" s="83"/>
      <c r="AU424" s="83"/>
      <c r="AV424" s="83"/>
      <c r="AW424" s="83"/>
      <c r="AX424" s="83"/>
      <c r="AY424" s="83"/>
      <c r="AZ424" s="83"/>
      <c r="BA424" s="83"/>
      <c r="BB424" s="83"/>
      <c r="BC424" s="83"/>
    </row>
    <row r="425" customFormat="false" ht="27.75" hidden="false" customHeight="true" outlineLevel="0" collapsed="false">
      <c r="B425" s="81" t="n">
        <v>4</v>
      </c>
      <c r="C425" s="81"/>
      <c r="D425" s="82"/>
      <c r="E425" s="82"/>
      <c r="F425" s="82"/>
      <c r="G425" s="82"/>
      <c r="H425" s="83"/>
      <c r="I425" s="83"/>
      <c r="J425" s="83"/>
      <c r="K425" s="83"/>
      <c r="L425" s="83"/>
      <c r="M425" s="83"/>
      <c r="N425" s="83"/>
      <c r="O425" s="83"/>
      <c r="P425" s="83"/>
      <c r="Q425" s="83"/>
      <c r="R425" s="83"/>
      <c r="S425" s="83"/>
      <c r="T425" s="83"/>
      <c r="U425" s="83"/>
      <c r="V425" s="83"/>
      <c r="W425" s="83"/>
      <c r="X425" s="83"/>
      <c r="Y425" s="83"/>
      <c r="Z425" s="83"/>
      <c r="AA425" s="83"/>
      <c r="AB425" s="83"/>
      <c r="AC425" s="83"/>
      <c r="AD425" s="83"/>
      <c r="AE425" s="83"/>
      <c r="AF425" s="83"/>
      <c r="AG425" s="83"/>
      <c r="AH425" s="83"/>
      <c r="AI425" s="83"/>
      <c r="AJ425" s="83"/>
      <c r="AK425" s="83"/>
      <c r="AL425" s="83"/>
      <c r="AM425" s="83"/>
      <c r="AN425" s="83"/>
      <c r="AO425" s="83"/>
      <c r="AP425" s="83"/>
      <c r="AQ425" s="83"/>
      <c r="AR425" s="83"/>
      <c r="AS425" s="83"/>
      <c r="AT425" s="83"/>
      <c r="AU425" s="83"/>
      <c r="AV425" s="83"/>
      <c r="AW425" s="83"/>
      <c r="AX425" s="83"/>
      <c r="AY425" s="83"/>
      <c r="AZ425" s="83"/>
      <c r="BA425" s="83"/>
      <c r="BB425" s="83"/>
      <c r="BC425" s="83"/>
    </row>
    <row r="426" customFormat="false" ht="27.75" hidden="false" customHeight="true" outlineLevel="0" collapsed="false">
      <c r="B426" s="81" t="n">
        <v>5</v>
      </c>
      <c r="C426" s="81"/>
      <c r="D426" s="82"/>
      <c r="E426" s="82"/>
      <c r="F426" s="82"/>
      <c r="G426" s="82"/>
      <c r="H426" s="83"/>
      <c r="I426" s="83"/>
      <c r="J426" s="83"/>
      <c r="K426" s="83"/>
      <c r="L426" s="83"/>
      <c r="M426" s="83"/>
      <c r="N426" s="83"/>
      <c r="O426" s="83"/>
      <c r="P426" s="83"/>
      <c r="Q426" s="83"/>
      <c r="R426" s="83"/>
      <c r="S426" s="83"/>
      <c r="T426" s="83"/>
      <c r="U426" s="83"/>
      <c r="V426" s="83"/>
      <c r="W426" s="83"/>
      <c r="X426" s="83"/>
      <c r="Y426" s="83"/>
      <c r="Z426" s="83"/>
      <c r="AA426" s="83"/>
      <c r="AB426" s="83"/>
      <c r="AC426" s="83"/>
      <c r="AD426" s="83"/>
      <c r="AE426" s="83"/>
      <c r="AF426" s="83"/>
      <c r="AG426" s="83"/>
      <c r="AH426" s="83"/>
      <c r="AI426" s="83"/>
      <c r="AJ426" s="83"/>
      <c r="AK426" s="83"/>
      <c r="AL426" s="83"/>
      <c r="AM426" s="83"/>
      <c r="AN426" s="83"/>
      <c r="AO426" s="83"/>
      <c r="AP426" s="83"/>
      <c r="AQ426" s="83"/>
      <c r="AR426" s="83"/>
      <c r="AS426" s="83"/>
      <c r="AT426" s="83"/>
      <c r="AU426" s="83"/>
      <c r="AV426" s="83"/>
      <c r="AW426" s="83"/>
      <c r="AX426" s="83"/>
      <c r="AY426" s="83"/>
      <c r="AZ426" s="83"/>
      <c r="BA426" s="83"/>
      <c r="BB426" s="83"/>
      <c r="BC426" s="83"/>
    </row>
    <row r="427" customFormat="false" ht="24" hidden="false" customHeight="true" outlineLevel="0" collapsed="false">
      <c r="B427" s="84" t="s">
        <v>132</v>
      </c>
      <c r="C427" s="84"/>
      <c r="E427" s="85" t="s">
        <v>163</v>
      </c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  <c r="AE427" s="85"/>
      <c r="AF427" s="85"/>
      <c r="AG427" s="85"/>
      <c r="AH427" s="85"/>
      <c r="AI427" s="85"/>
      <c r="AJ427" s="85"/>
      <c r="AK427" s="85"/>
      <c r="AL427" s="85"/>
      <c r="AM427" s="85"/>
      <c r="AN427" s="85"/>
      <c r="AO427" s="85"/>
      <c r="AP427" s="85"/>
      <c r="AQ427" s="85"/>
      <c r="AR427" s="85"/>
      <c r="AS427" s="85"/>
      <c r="AT427" s="85"/>
      <c r="AU427" s="85"/>
      <c r="AV427" s="85"/>
      <c r="AW427" s="85"/>
      <c r="AX427" s="85"/>
      <c r="AY427" s="85"/>
      <c r="AZ427" s="85"/>
      <c r="BA427" s="85"/>
      <c r="BB427" s="85"/>
      <c r="BC427" s="85"/>
    </row>
    <row r="428" customFormat="false" ht="9.75" hidden="false" customHeight="true" outlineLevel="0" collapsed="false"/>
    <row r="429" customFormat="false" ht="21.75" hidden="false" customHeight="true" outlineLevel="0" collapsed="false">
      <c r="B429" s="6"/>
      <c r="C429" s="19" t="s">
        <v>164</v>
      </c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59" t="s">
        <v>165</v>
      </c>
      <c r="AM429" s="59"/>
      <c r="AN429" s="59"/>
      <c r="AO429" s="59"/>
      <c r="AP429" s="59"/>
      <c r="AQ429" s="59"/>
      <c r="AR429" s="59"/>
      <c r="AS429" s="59"/>
      <c r="AT429" s="59"/>
      <c r="AU429" s="59"/>
      <c r="AV429" s="59"/>
      <c r="AW429" s="59"/>
      <c r="AX429" s="59"/>
      <c r="AY429" s="59"/>
      <c r="AZ429" s="59"/>
      <c r="BA429" s="59"/>
      <c r="BB429" s="59"/>
      <c r="BC429" s="59"/>
    </row>
    <row r="430" customFormat="false" ht="27.75" hidden="false" customHeight="true" outlineLevel="0" collapsed="false">
      <c r="B430" s="79" t="s">
        <v>124</v>
      </c>
      <c r="C430" s="79"/>
      <c r="D430" s="80" t="s">
        <v>140</v>
      </c>
      <c r="E430" s="80"/>
      <c r="F430" s="80"/>
      <c r="G430" s="80"/>
      <c r="H430" s="80" t="s">
        <v>127</v>
      </c>
      <c r="I430" s="80"/>
      <c r="J430" s="80"/>
      <c r="K430" s="80"/>
      <c r="L430" s="80"/>
      <c r="M430" s="80"/>
      <c r="N430" s="80"/>
      <c r="O430" s="80"/>
      <c r="P430" s="80"/>
      <c r="Q430" s="80" t="s">
        <v>126</v>
      </c>
      <c r="R430" s="80"/>
      <c r="S430" s="80"/>
      <c r="T430" s="80"/>
      <c r="U430" s="80"/>
      <c r="V430" s="80"/>
      <c r="W430" s="80"/>
      <c r="X430" s="80" t="s">
        <v>166</v>
      </c>
      <c r="Y430" s="80"/>
      <c r="Z430" s="80"/>
      <c r="AA430" s="80"/>
      <c r="AB430" s="80"/>
      <c r="AC430" s="80" t="s">
        <v>167</v>
      </c>
      <c r="AD430" s="80"/>
      <c r="AE430" s="80"/>
      <c r="AF430" s="80"/>
      <c r="AG430" s="80"/>
      <c r="AH430" s="80" t="s">
        <v>149</v>
      </c>
      <c r="AI430" s="80"/>
      <c r="AJ430" s="80"/>
      <c r="AK430" s="80"/>
      <c r="AL430" s="80" t="s">
        <v>168</v>
      </c>
      <c r="AM430" s="80"/>
      <c r="AN430" s="80"/>
      <c r="AO430" s="80"/>
      <c r="AP430" s="80"/>
      <c r="AQ430" s="80"/>
      <c r="AR430" s="80"/>
      <c r="AS430" s="80"/>
      <c r="AT430" s="80"/>
      <c r="AU430" s="80"/>
      <c r="AV430" s="80"/>
      <c r="AW430" s="80"/>
      <c r="AX430" s="80"/>
      <c r="AY430" s="80"/>
      <c r="AZ430" s="80"/>
      <c r="BA430" s="80"/>
      <c r="BB430" s="80"/>
      <c r="BC430" s="80"/>
    </row>
    <row r="431" customFormat="false" ht="27.75" hidden="false" customHeight="true" outlineLevel="0" collapsed="false">
      <c r="B431" s="81" t="n">
        <v>1</v>
      </c>
      <c r="C431" s="81"/>
      <c r="D431" s="82"/>
      <c r="E431" s="82"/>
      <c r="F431" s="82"/>
      <c r="G431" s="82"/>
      <c r="H431" s="83"/>
      <c r="I431" s="83"/>
      <c r="J431" s="83"/>
      <c r="K431" s="83"/>
      <c r="L431" s="83"/>
      <c r="M431" s="83"/>
      <c r="N431" s="83"/>
      <c r="O431" s="83"/>
      <c r="P431" s="83"/>
      <c r="Q431" s="83"/>
      <c r="R431" s="83"/>
      <c r="S431" s="83"/>
      <c r="T431" s="83"/>
      <c r="U431" s="83"/>
      <c r="V431" s="83"/>
      <c r="W431" s="83"/>
      <c r="X431" s="83"/>
      <c r="Y431" s="83"/>
      <c r="Z431" s="83"/>
      <c r="AA431" s="83"/>
      <c r="AB431" s="83"/>
      <c r="AC431" s="83"/>
      <c r="AD431" s="83"/>
      <c r="AE431" s="83"/>
      <c r="AF431" s="83"/>
      <c r="AG431" s="83"/>
      <c r="AH431" s="83"/>
      <c r="AI431" s="83"/>
      <c r="AJ431" s="83"/>
      <c r="AK431" s="83"/>
      <c r="AL431" s="83"/>
      <c r="AM431" s="83"/>
      <c r="AN431" s="83"/>
      <c r="AO431" s="83"/>
      <c r="AP431" s="83"/>
      <c r="AQ431" s="83"/>
      <c r="AR431" s="83"/>
      <c r="AS431" s="83"/>
      <c r="AT431" s="83"/>
      <c r="AU431" s="83"/>
      <c r="AV431" s="83"/>
      <c r="AW431" s="83"/>
      <c r="AX431" s="83"/>
      <c r="AY431" s="83"/>
      <c r="AZ431" s="83"/>
      <c r="BA431" s="83"/>
      <c r="BB431" s="83"/>
      <c r="BC431" s="83"/>
    </row>
    <row r="432" customFormat="false" ht="27.75" hidden="false" customHeight="true" outlineLevel="0" collapsed="false">
      <c r="B432" s="81" t="n">
        <v>2</v>
      </c>
      <c r="C432" s="81"/>
      <c r="D432" s="82"/>
      <c r="E432" s="82"/>
      <c r="F432" s="82"/>
      <c r="G432" s="82"/>
      <c r="H432" s="83"/>
      <c r="I432" s="83"/>
      <c r="J432" s="83"/>
      <c r="K432" s="83"/>
      <c r="L432" s="83"/>
      <c r="M432" s="83"/>
      <c r="N432" s="83"/>
      <c r="O432" s="83"/>
      <c r="P432" s="83"/>
      <c r="Q432" s="83"/>
      <c r="R432" s="83"/>
      <c r="S432" s="83"/>
      <c r="T432" s="83"/>
      <c r="U432" s="83"/>
      <c r="V432" s="83"/>
      <c r="W432" s="83"/>
      <c r="X432" s="83"/>
      <c r="Y432" s="83"/>
      <c r="Z432" s="83"/>
      <c r="AA432" s="83"/>
      <c r="AB432" s="83"/>
      <c r="AC432" s="83"/>
      <c r="AD432" s="83"/>
      <c r="AE432" s="83"/>
      <c r="AF432" s="83"/>
      <c r="AG432" s="83"/>
      <c r="AH432" s="83"/>
      <c r="AI432" s="83"/>
      <c r="AJ432" s="83"/>
      <c r="AK432" s="83"/>
      <c r="AL432" s="83"/>
      <c r="AM432" s="83"/>
      <c r="AN432" s="83"/>
      <c r="AO432" s="83"/>
      <c r="AP432" s="83"/>
      <c r="AQ432" s="83"/>
      <c r="AR432" s="83"/>
      <c r="AS432" s="83"/>
      <c r="AT432" s="83"/>
      <c r="AU432" s="83"/>
      <c r="AV432" s="83"/>
      <c r="AW432" s="83"/>
      <c r="AX432" s="83"/>
      <c r="AY432" s="83"/>
      <c r="AZ432" s="83"/>
      <c r="BA432" s="83"/>
      <c r="BB432" s="83"/>
      <c r="BC432" s="83"/>
    </row>
    <row r="433" customFormat="false" ht="27.75" hidden="false" customHeight="true" outlineLevel="0" collapsed="false">
      <c r="B433" s="81" t="n">
        <v>3</v>
      </c>
      <c r="C433" s="81"/>
      <c r="D433" s="82"/>
      <c r="E433" s="82"/>
      <c r="F433" s="82"/>
      <c r="G433" s="82"/>
      <c r="H433" s="83"/>
      <c r="I433" s="83"/>
      <c r="J433" s="83"/>
      <c r="K433" s="83"/>
      <c r="L433" s="83"/>
      <c r="M433" s="83"/>
      <c r="N433" s="83"/>
      <c r="O433" s="83"/>
      <c r="P433" s="83"/>
      <c r="Q433" s="83"/>
      <c r="R433" s="83"/>
      <c r="S433" s="83"/>
      <c r="T433" s="83"/>
      <c r="U433" s="83"/>
      <c r="V433" s="83"/>
      <c r="W433" s="83"/>
      <c r="X433" s="83"/>
      <c r="Y433" s="83"/>
      <c r="Z433" s="83"/>
      <c r="AA433" s="83"/>
      <c r="AB433" s="83"/>
      <c r="AC433" s="83"/>
      <c r="AD433" s="83"/>
      <c r="AE433" s="83"/>
      <c r="AF433" s="83"/>
      <c r="AG433" s="83"/>
      <c r="AH433" s="83"/>
      <c r="AI433" s="83"/>
      <c r="AJ433" s="83"/>
      <c r="AK433" s="83"/>
      <c r="AL433" s="83"/>
      <c r="AM433" s="83"/>
      <c r="AN433" s="83"/>
      <c r="AO433" s="83"/>
      <c r="AP433" s="83"/>
      <c r="AQ433" s="83"/>
      <c r="AR433" s="83"/>
      <c r="AS433" s="83"/>
      <c r="AT433" s="83"/>
      <c r="AU433" s="83"/>
      <c r="AV433" s="83"/>
      <c r="AW433" s="83"/>
      <c r="AX433" s="83"/>
      <c r="AY433" s="83"/>
      <c r="AZ433" s="83"/>
      <c r="BA433" s="83"/>
      <c r="BB433" s="83"/>
      <c r="BC433" s="83"/>
    </row>
    <row r="434" customFormat="false" ht="27.75" hidden="false" customHeight="true" outlineLevel="0" collapsed="false">
      <c r="B434" s="81" t="n">
        <v>4</v>
      </c>
      <c r="C434" s="81"/>
      <c r="D434" s="82"/>
      <c r="E434" s="82"/>
      <c r="F434" s="82"/>
      <c r="G434" s="82"/>
      <c r="H434" s="83"/>
      <c r="I434" s="83"/>
      <c r="J434" s="83"/>
      <c r="K434" s="83"/>
      <c r="L434" s="83"/>
      <c r="M434" s="83"/>
      <c r="N434" s="83"/>
      <c r="O434" s="83"/>
      <c r="P434" s="83"/>
      <c r="Q434" s="83"/>
      <c r="R434" s="83"/>
      <c r="S434" s="83"/>
      <c r="T434" s="83"/>
      <c r="U434" s="83"/>
      <c r="V434" s="83"/>
      <c r="W434" s="83"/>
      <c r="X434" s="83"/>
      <c r="Y434" s="83"/>
      <c r="Z434" s="83"/>
      <c r="AA434" s="83"/>
      <c r="AB434" s="83"/>
      <c r="AC434" s="83"/>
      <c r="AD434" s="83"/>
      <c r="AE434" s="83"/>
      <c r="AF434" s="83"/>
      <c r="AG434" s="83"/>
      <c r="AH434" s="83"/>
      <c r="AI434" s="83"/>
      <c r="AJ434" s="83"/>
      <c r="AK434" s="83"/>
      <c r="AL434" s="83"/>
      <c r="AM434" s="83"/>
      <c r="AN434" s="83"/>
      <c r="AO434" s="83"/>
      <c r="AP434" s="83"/>
      <c r="AQ434" s="83"/>
      <c r="AR434" s="83"/>
      <c r="AS434" s="83"/>
      <c r="AT434" s="83"/>
      <c r="AU434" s="83"/>
      <c r="AV434" s="83"/>
      <c r="AW434" s="83"/>
      <c r="AX434" s="83"/>
      <c r="AY434" s="83"/>
      <c r="AZ434" s="83"/>
      <c r="BA434" s="83"/>
      <c r="BB434" s="83"/>
      <c r="BC434" s="83"/>
    </row>
    <row r="435" customFormat="false" ht="27.75" hidden="false" customHeight="true" outlineLevel="0" collapsed="false">
      <c r="B435" s="81" t="n">
        <v>5</v>
      </c>
      <c r="C435" s="81"/>
      <c r="D435" s="82"/>
      <c r="E435" s="82"/>
      <c r="F435" s="82"/>
      <c r="G435" s="82"/>
      <c r="H435" s="83"/>
      <c r="I435" s="83"/>
      <c r="J435" s="83"/>
      <c r="K435" s="83"/>
      <c r="L435" s="83"/>
      <c r="M435" s="83"/>
      <c r="N435" s="83"/>
      <c r="O435" s="83"/>
      <c r="P435" s="83"/>
      <c r="Q435" s="83"/>
      <c r="R435" s="83"/>
      <c r="S435" s="83"/>
      <c r="T435" s="83"/>
      <c r="U435" s="83"/>
      <c r="V435" s="83"/>
      <c r="W435" s="83"/>
      <c r="X435" s="83"/>
      <c r="Y435" s="83"/>
      <c r="Z435" s="83"/>
      <c r="AA435" s="83"/>
      <c r="AB435" s="83"/>
      <c r="AC435" s="83"/>
      <c r="AD435" s="83"/>
      <c r="AE435" s="83"/>
      <c r="AF435" s="83"/>
      <c r="AG435" s="83"/>
      <c r="AH435" s="83"/>
      <c r="AI435" s="83"/>
      <c r="AJ435" s="83"/>
      <c r="AK435" s="83"/>
      <c r="AL435" s="83"/>
      <c r="AM435" s="83"/>
      <c r="AN435" s="83"/>
      <c r="AO435" s="83"/>
      <c r="AP435" s="83"/>
      <c r="AQ435" s="83"/>
      <c r="AR435" s="83"/>
      <c r="AS435" s="83"/>
      <c r="AT435" s="83"/>
      <c r="AU435" s="83"/>
      <c r="AV435" s="83"/>
      <c r="AW435" s="83"/>
      <c r="AX435" s="83"/>
      <c r="AY435" s="83"/>
      <c r="AZ435" s="83"/>
      <c r="BA435" s="83"/>
      <c r="BB435" s="83"/>
      <c r="BC435" s="83"/>
    </row>
    <row r="436" customFormat="false" ht="24" hidden="false" customHeight="true" outlineLevel="0" collapsed="false">
      <c r="B436" s="84" t="s">
        <v>132</v>
      </c>
      <c r="C436" s="84"/>
      <c r="E436" s="85" t="s">
        <v>169</v>
      </c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  <c r="AE436" s="85"/>
      <c r="AF436" s="85"/>
      <c r="AG436" s="85"/>
      <c r="AH436" s="85"/>
      <c r="AI436" s="85"/>
      <c r="AJ436" s="85"/>
      <c r="AK436" s="85"/>
      <c r="AL436" s="85"/>
      <c r="AM436" s="85"/>
      <c r="AN436" s="85"/>
      <c r="AO436" s="85"/>
      <c r="AP436" s="85"/>
      <c r="AQ436" s="85"/>
      <c r="AR436" s="85"/>
      <c r="AS436" s="85"/>
      <c r="AT436" s="85"/>
      <c r="AU436" s="85"/>
      <c r="AV436" s="85"/>
      <c r="AW436" s="85"/>
      <c r="AX436" s="85"/>
      <c r="AY436" s="85"/>
      <c r="AZ436" s="85"/>
      <c r="BA436" s="85"/>
      <c r="BB436" s="85"/>
      <c r="BC436" s="85"/>
    </row>
    <row r="437" customFormat="false" ht="84" hidden="false" customHeight="true" outlineLevel="0" collapsed="false"/>
    <row r="438" customFormat="false" ht="18" hidden="false" customHeight="true" outlineLevel="0" collapsed="false">
      <c r="B438" s="75" t="s">
        <v>134</v>
      </c>
      <c r="C438" s="75"/>
      <c r="D438" s="75"/>
      <c r="E438" s="75"/>
      <c r="F438" s="75"/>
      <c r="G438" s="75"/>
      <c r="H438" s="75"/>
      <c r="I438" s="75"/>
      <c r="J438" s="75"/>
      <c r="K438" s="75"/>
      <c r="L438" s="75"/>
      <c r="M438" s="75"/>
      <c r="N438" s="75"/>
      <c r="O438" s="75"/>
      <c r="P438" s="75"/>
      <c r="Q438" s="75"/>
      <c r="R438" s="75"/>
      <c r="S438" s="75"/>
      <c r="T438" s="75"/>
      <c r="U438" s="75"/>
      <c r="V438" s="75"/>
      <c r="W438" s="75"/>
      <c r="X438" s="75"/>
      <c r="Y438" s="75"/>
      <c r="Z438" s="75"/>
      <c r="AA438" s="75"/>
      <c r="AB438" s="76" t="s">
        <v>170</v>
      </c>
      <c r="AC438" s="76"/>
      <c r="AD438" s="76"/>
      <c r="AE438" s="76"/>
      <c r="AF438" s="76"/>
      <c r="AG438" s="76"/>
      <c r="AH438" s="76"/>
      <c r="AI438" s="76"/>
      <c r="AJ438" s="76"/>
      <c r="AK438" s="76"/>
      <c r="AL438" s="76"/>
      <c r="AM438" s="76"/>
      <c r="AN438" s="76"/>
      <c r="AO438" s="76"/>
      <c r="AP438" s="76"/>
      <c r="AQ438" s="76"/>
      <c r="AR438" s="76"/>
      <c r="AS438" s="76"/>
      <c r="AT438" s="76"/>
      <c r="AU438" s="76"/>
      <c r="AV438" s="76"/>
      <c r="AW438" s="76"/>
      <c r="AX438" s="76"/>
      <c r="AY438" s="76"/>
      <c r="AZ438" s="76"/>
      <c r="BA438" s="76"/>
      <c r="BB438" s="76"/>
      <c r="BC438" s="76"/>
    </row>
    <row r="439" customFormat="false" ht="7.5" hidden="false" customHeight="true" outlineLevel="0" collapsed="false"/>
    <row r="440" customFormat="false" ht="24" hidden="false" customHeight="true" outlineLevel="0" collapsed="false">
      <c r="B440" s="86" t="s">
        <v>115</v>
      </c>
      <c r="C440" s="86"/>
      <c r="D440" s="86"/>
      <c r="E440" s="86"/>
      <c r="F440" s="86"/>
      <c r="H440" s="87" t="s">
        <v>116</v>
      </c>
      <c r="I440" s="87"/>
      <c r="J440" s="87"/>
      <c r="K440" s="87"/>
      <c r="L440" s="87"/>
      <c r="M440" s="87"/>
      <c r="N440" s="87"/>
      <c r="O440" s="87"/>
      <c r="P440" s="87"/>
      <c r="AA440" s="88" t="s">
        <v>136</v>
      </c>
      <c r="AB440" s="88"/>
      <c r="AC440" s="88"/>
      <c r="AD440" s="88"/>
      <c r="AE440" s="88"/>
      <c r="AF440" s="89" t="str">
        <f aca="false">Dashboard!$C$6</f>
        <v>Bindhya TB</v>
      </c>
      <c r="AG440" s="89"/>
      <c r="AH440" s="89"/>
      <c r="AI440" s="89"/>
      <c r="AJ440" s="89"/>
      <c r="AK440" s="89"/>
      <c r="AL440" s="89"/>
      <c r="AM440" s="89"/>
      <c r="AN440" s="89"/>
      <c r="AO440" s="89"/>
      <c r="AP440" s="89"/>
      <c r="AR440" s="88" t="s">
        <v>137</v>
      </c>
      <c r="AS440" s="88"/>
      <c r="AT440" s="89" t="str">
        <f aca="false">TEXT(Cal!H4,"dd mmm")&amp;" to "&amp;TEXT(Cal!I4,"dd mmm yy")</f>
        <v>12 Oct to 17 Oct 26</v>
      </c>
      <c r="AU440" s="89"/>
      <c r="AV440" s="89"/>
      <c r="AW440" s="89"/>
      <c r="AX440" s="89"/>
      <c r="AY440" s="89"/>
      <c r="AZ440" s="89"/>
      <c r="BA440" s="89"/>
      <c r="BB440" s="89"/>
      <c r="BC440" s="89"/>
    </row>
    <row r="441" customFormat="false" ht="3" hidden="false" customHeight="true" outlineLevel="0" collapsed="false"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</row>
    <row r="442" customFormat="false" ht="9.75" hidden="false" customHeight="true" outlineLevel="0" collapsed="false"/>
    <row r="443" customFormat="false" ht="21.75" hidden="false" customHeight="true" outlineLevel="0" collapsed="false">
      <c r="B443" s="6"/>
      <c r="C443" s="19" t="s">
        <v>171</v>
      </c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59" t="s">
        <v>172</v>
      </c>
      <c r="AM443" s="59"/>
      <c r="AN443" s="59"/>
      <c r="AO443" s="59"/>
      <c r="AP443" s="59"/>
      <c r="AQ443" s="59"/>
      <c r="AR443" s="59"/>
      <c r="AS443" s="59"/>
      <c r="AT443" s="59"/>
      <c r="AU443" s="59"/>
      <c r="AV443" s="59"/>
      <c r="AW443" s="59"/>
      <c r="AX443" s="59"/>
      <c r="AY443" s="59"/>
      <c r="AZ443" s="59"/>
      <c r="BA443" s="59"/>
      <c r="BB443" s="59"/>
      <c r="BC443" s="59"/>
    </row>
    <row r="444" customFormat="false" ht="27.75" hidden="false" customHeight="true" outlineLevel="0" collapsed="false">
      <c r="B444" s="79" t="s">
        <v>124</v>
      </c>
      <c r="C444" s="79"/>
      <c r="D444" s="80" t="s">
        <v>140</v>
      </c>
      <c r="E444" s="80"/>
      <c r="F444" s="80"/>
      <c r="G444" s="80"/>
      <c r="H444" s="80" t="s">
        <v>173</v>
      </c>
      <c r="I444" s="80"/>
      <c r="J444" s="80"/>
      <c r="K444" s="80"/>
      <c r="L444" s="80" t="s">
        <v>159</v>
      </c>
      <c r="M444" s="80"/>
      <c r="N444" s="80"/>
      <c r="O444" s="80"/>
      <c r="P444" s="80"/>
      <c r="Q444" s="80"/>
      <c r="R444" s="80"/>
      <c r="S444" s="80"/>
      <c r="T444" s="80"/>
      <c r="U444" s="80"/>
      <c r="V444" s="80"/>
      <c r="W444" s="80"/>
      <c r="X444" s="80"/>
      <c r="Y444" s="80"/>
      <c r="Z444" s="80"/>
      <c r="AA444" s="80"/>
      <c r="AB444" s="80"/>
      <c r="AC444" s="80"/>
      <c r="AD444" s="80"/>
      <c r="AE444" s="80"/>
      <c r="AF444" s="80"/>
      <c r="AG444" s="80"/>
      <c r="AH444" s="80" t="s">
        <v>174</v>
      </c>
      <c r="AI444" s="80"/>
      <c r="AJ444" s="80"/>
      <c r="AK444" s="80"/>
      <c r="AL444" s="80" t="s">
        <v>175</v>
      </c>
      <c r="AM444" s="80"/>
      <c r="AN444" s="80"/>
      <c r="AO444" s="80"/>
      <c r="AP444" s="80"/>
      <c r="AQ444" s="80"/>
      <c r="AR444" s="80"/>
      <c r="AS444" s="80"/>
      <c r="AT444" s="80"/>
      <c r="AU444" s="80"/>
      <c r="AV444" s="80" t="s">
        <v>162</v>
      </c>
      <c r="AW444" s="80"/>
      <c r="AX444" s="80"/>
      <c r="AY444" s="80"/>
      <c r="AZ444" s="80"/>
      <c r="BA444" s="80"/>
      <c r="BB444" s="80"/>
      <c r="BC444" s="80"/>
    </row>
    <row r="445" customFormat="false" ht="27.75" hidden="false" customHeight="true" outlineLevel="0" collapsed="false">
      <c r="B445" s="81" t="n">
        <v>1</v>
      </c>
      <c r="C445" s="81"/>
      <c r="D445" s="82"/>
      <c r="E445" s="82"/>
      <c r="F445" s="82"/>
      <c r="G445" s="82"/>
      <c r="H445" s="83"/>
      <c r="I445" s="83"/>
      <c r="J445" s="83"/>
      <c r="K445" s="83"/>
      <c r="L445" s="83"/>
      <c r="M445" s="83"/>
      <c r="N445" s="83"/>
      <c r="O445" s="83"/>
      <c r="P445" s="83"/>
      <c r="Q445" s="83"/>
      <c r="R445" s="83"/>
      <c r="S445" s="83"/>
      <c r="T445" s="83"/>
      <c r="U445" s="83"/>
      <c r="V445" s="83"/>
      <c r="W445" s="83"/>
      <c r="X445" s="83"/>
      <c r="Y445" s="83"/>
      <c r="Z445" s="83"/>
      <c r="AA445" s="83"/>
      <c r="AB445" s="83"/>
      <c r="AC445" s="83"/>
      <c r="AD445" s="83"/>
      <c r="AE445" s="83"/>
      <c r="AF445" s="83"/>
      <c r="AG445" s="83"/>
      <c r="AH445" s="83"/>
      <c r="AI445" s="83"/>
      <c r="AJ445" s="83"/>
      <c r="AK445" s="83"/>
      <c r="AL445" s="83"/>
      <c r="AM445" s="83"/>
      <c r="AN445" s="83"/>
      <c r="AO445" s="83"/>
      <c r="AP445" s="83"/>
      <c r="AQ445" s="83"/>
      <c r="AR445" s="83"/>
      <c r="AS445" s="83"/>
      <c r="AT445" s="83"/>
      <c r="AU445" s="83"/>
      <c r="AV445" s="83"/>
      <c r="AW445" s="83"/>
      <c r="AX445" s="83"/>
      <c r="AY445" s="83"/>
      <c r="AZ445" s="83"/>
      <c r="BA445" s="83"/>
      <c r="BB445" s="83"/>
      <c r="BC445" s="83"/>
    </row>
    <row r="446" customFormat="false" ht="27.75" hidden="false" customHeight="true" outlineLevel="0" collapsed="false">
      <c r="B446" s="81" t="n">
        <v>2</v>
      </c>
      <c r="C446" s="81"/>
      <c r="D446" s="82"/>
      <c r="E446" s="82"/>
      <c r="F446" s="82"/>
      <c r="G446" s="82"/>
      <c r="H446" s="83"/>
      <c r="I446" s="83"/>
      <c r="J446" s="83"/>
      <c r="K446" s="83"/>
      <c r="L446" s="83"/>
      <c r="M446" s="83"/>
      <c r="N446" s="83"/>
      <c r="O446" s="83"/>
      <c r="P446" s="83"/>
      <c r="Q446" s="83"/>
      <c r="R446" s="83"/>
      <c r="S446" s="83"/>
      <c r="T446" s="83"/>
      <c r="U446" s="83"/>
      <c r="V446" s="83"/>
      <c r="W446" s="83"/>
      <c r="X446" s="83"/>
      <c r="Y446" s="83"/>
      <c r="Z446" s="83"/>
      <c r="AA446" s="83"/>
      <c r="AB446" s="83"/>
      <c r="AC446" s="83"/>
      <c r="AD446" s="83"/>
      <c r="AE446" s="83"/>
      <c r="AF446" s="83"/>
      <c r="AG446" s="83"/>
      <c r="AH446" s="83"/>
      <c r="AI446" s="83"/>
      <c r="AJ446" s="83"/>
      <c r="AK446" s="83"/>
      <c r="AL446" s="83"/>
      <c r="AM446" s="83"/>
      <c r="AN446" s="83"/>
      <c r="AO446" s="83"/>
      <c r="AP446" s="83"/>
      <c r="AQ446" s="83"/>
      <c r="AR446" s="83"/>
      <c r="AS446" s="83"/>
      <c r="AT446" s="83"/>
      <c r="AU446" s="83"/>
      <c r="AV446" s="83"/>
      <c r="AW446" s="83"/>
      <c r="AX446" s="83"/>
      <c r="AY446" s="83"/>
      <c r="AZ446" s="83"/>
      <c r="BA446" s="83"/>
      <c r="BB446" s="83"/>
      <c r="BC446" s="83"/>
    </row>
    <row r="447" customFormat="false" ht="27.75" hidden="false" customHeight="true" outlineLevel="0" collapsed="false">
      <c r="B447" s="81" t="n">
        <v>3</v>
      </c>
      <c r="C447" s="81"/>
      <c r="D447" s="82"/>
      <c r="E447" s="82"/>
      <c r="F447" s="82"/>
      <c r="G447" s="82"/>
      <c r="H447" s="83"/>
      <c r="I447" s="83"/>
      <c r="J447" s="83"/>
      <c r="K447" s="83"/>
      <c r="L447" s="83"/>
      <c r="M447" s="83"/>
      <c r="N447" s="83"/>
      <c r="O447" s="83"/>
      <c r="P447" s="83"/>
      <c r="Q447" s="83"/>
      <c r="R447" s="83"/>
      <c r="S447" s="83"/>
      <c r="T447" s="83"/>
      <c r="U447" s="83"/>
      <c r="V447" s="83"/>
      <c r="W447" s="83"/>
      <c r="X447" s="83"/>
      <c r="Y447" s="83"/>
      <c r="Z447" s="83"/>
      <c r="AA447" s="83"/>
      <c r="AB447" s="83"/>
      <c r="AC447" s="83"/>
      <c r="AD447" s="83"/>
      <c r="AE447" s="83"/>
      <c r="AF447" s="83"/>
      <c r="AG447" s="83"/>
      <c r="AH447" s="83"/>
      <c r="AI447" s="83"/>
      <c r="AJ447" s="83"/>
      <c r="AK447" s="83"/>
      <c r="AL447" s="83"/>
      <c r="AM447" s="83"/>
      <c r="AN447" s="83"/>
      <c r="AO447" s="83"/>
      <c r="AP447" s="83"/>
      <c r="AQ447" s="83"/>
      <c r="AR447" s="83"/>
      <c r="AS447" s="83"/>
      <c r="AT447" s="83"/>
      <c r="AU447" s="83"/>
      <c r="AV447" s="83"/>
      <c r="AW447" s="83"/>
      <c r="AX447" s="83"/>
      <c r="AY447" s="83"/>
      <c r="AZ447" s="83"/>
      <c r="BA447" s="83"/>
      <c r="BB447" s="83"/>
      <c r="BC447" s="83"/>
    </row>
    <row r="448" customFormat="false" ht="27.75" hidden="false" customHeight="true" outlineLevel="0" collapsed="false">
      <c r="B448" s="81" t="n">
        <v>4</v>
      </c>
      <c r="C448" s="81"/>
      <c r="D448" s="82"/>
      <c r="E448" s="82"/>
      <c r="F448" s="82"/>
      <c r="G448" s="82"/>
      <c r="H448" s="83"/>
      <c r="I448" s="83"/>
      <c r="J448" s="83"/>
      <c r="K448" s="83"/>
      <c r="L448" s="83"/>
      <c r="M448" s="83"/>
      <c r="N448" s="83"/>
      <c r="O448" s="83"/>
      <c r="P448" s="83"/>
      <c r="Q448" s="83"/>
      <c r="R448" s="83"/>
      <c r="S448" s="83"/>
      <c r="T448" s="83"/>
      <c r="U448" s="83"/>
      <c r="V448" s="83"/>
      <c r="W448" s="83"/>
      <c r="X448" s="83"/>
      <c r="Y448" s="83"/>
      <c r="Z448" s="83"/>
      <c r="AA448" s="83"/>
      <c r="AB448" s="83"/>
      <c r="AC448" s="83"/>
      <c r="AD448" s="83"/>
      <c r="AE448" s="83"/>
      <c r="AF448" s="83"/>
      <c r="AG448" s="83"/>
      <c r="AH448" s="83"/>
      <c r="AI448" s="83"/>
      <c r="AJ448" s="83"/>
      <c r="AK448" s="83"/>
      <c r="AL448" s="83"/>
      <c r="AM448" s="83"/>
      <c r="AN448" s="83"/>
      <c r="AO448" s="83"/>
      <c r="AP448" s="83"/>
      <c r="AQ448" s="83"/>
      <c r="AR448" s="83"/>
      <c r="AS448" s="83"/>
      <c r="AT448" s="83"/>
      <c r="AU448" s="83"/>
      <c r="AV448" s="83"/>
      <c r="AW448" s="83"/>
      <c r="AX448" s="83"/>
      <c r="AY448" s="83"/>
      <c r="AZ448" s="83"/>
      <c r="BA448" s="83"/>
      <c r="BB448" s="83"/>
      <c r="BC448" s="83"/>
    </row>
    <row r="449" customFormat="false" ht="27.75" hidden="false" customHeight="true" outlineLevel="0" collapsed="false">
      <c r="B449" s="81" t="n">
        <v>5</v>
      </c>
      <c r="C449" s="81"/>
      <c r="D449" s="82"/>
      <c r="E449" s="82"/>
      <c r="F449" s="82"/>
      <c r="G449" s="82"/>
      <c r="H449" s="83"/>
      <c r="I449" s="83"/>
      <c r="J449" s="83"/>
      <c r="K449" s="83"/>
      <c r="L449" s="83"/>
      <c r="M449" s="83"/>
      <c r="N449" s="83"/>
      <c r="O449" s="83"/>
      <c r="P449" s="83"/>
      <c r="Q449" s="83"/>
      <c r="R449" s="83"/>
      <c r="S449" s="83"/>
      <c r="T449" s="83"/>
      <c r="U449" s="83"/>
      <c r="V449" s="83"/>
      <c r="W449" s="83"/>
      <c r="X449" s="83"/>
      <c r="Y449" s="83"/>
      <c r="Z449" s="83"/>
      <c r="AA449" s="83"/>
      <c r="AB449" s="83"/>
      <c r="AC449" s="83"/>
      <c r="AD449" s="83"/>
      <c r="AE449" s="83"/>
      <c r="AF449" s="83"/>
      <c r="AG449" s="83"/>
      <c r="AH449" s="83"/>
      <c r="AI449" s="83"/>
      <c r="AJ449" s="83"/>
      <c r="AK449" s="83"/>
      <c r="AL449" s="83"/>
      <c r="AM449" s="83"/>
      <c r="AN449" s="83"/>
      <c r="AO449" s="83"/>
      <c r="AP449" s="83"/>
      <c r="AQ449" s="83"/>
      <c r="AR449" s="83"/>
      <c r="AS449" s="83"/>
      <c r="AT449" s="83"/>
      <c r="AU449" s="83"/>
      <c r="AV449" s="83"/>
      <c r="AW449" s="83"/>
      <c r="AX449" s="83"/>
      <c r="AY449" s="83"/>
      <c r="AZ449" s="83"/>
      <c r="BA449" s="83"/>
      <c r="BB449" s="83"/>
      <c r="BC449" s="83"/>
    </row>
    <row r="450" customFormat="false" ht="27.75" hidden="false" customHeight="true" outlineLevel="0" collapsed="false">
      <c r="B450" s="81" t="n">
        <v>6</v>
      </c>
      <c r="C450" s="81"/>
      <c r="D450" s="82"/>
      <c r="E450" s="82"/>
      <c r="F450" s="82"/>
      <c r="G450" s="82"/>
      <c r="H450" s="83"/>
      <c r="I450" s="83"/>
      <c r="J450" s="83"/>
      <c r="K450" s="83"/>
      <c r="L450" s="83"/>
      <c r="M450" s="83"/>
      <c r="N450" s="83"/>
      <c r="O450" s="83"/>
      <c r="P450" s="83"/>
      <c r="Q450" s="83"/>
      <c r="R450" s="83"/>
      <c r="S450" s="83"/>
      <c r="T450" s="83"/>
      <c r="U450" s="83"/>
      <c r="V450" s="83"/>
      <c r="W450" s="83"/>
      <c r="X450" s="83"/>
      <c r="Y450" s="83"/>
      <c r="Z450" s="83"/>
      <c r="AA450" s="83"/>
      <c r="AB450" s="83"/>
      <c r="AC450" s="83"/>
      <c r="AD450" s="83"/>
      <c r="AE450" s="83"/>
      <c r="AF450" s="83"/>
      <c r="AG450" s="83"/>
      <c r="AH450" s="83"/>
      <c r="AI450" s="83"/>
      <c r="AJ450" s="83"/>
      <c r="AK450" s="83"/>
      <c r="AL450" s="83"/>
      <c r="AM450" s="83"/>
      <c r="AN450" s="83"/>
      <c r="AO450" s="83"/>
      <c r="AP450" s="83"/>
      <c r="AQ450" s="83"/>
      <c r="AR450" s="83"/>
      <c r="AS450" s="83"/>
      <c r="AT450" s="83"/>
      <c r="AU450" s="83"/>
      <c r="AV450" s="83"/>
      <c r="AW450" s="83"/>
      <c r="AX450" s="83"/>
      <c r="AY450" s="83"/>
      <c r="AZ450" s="83"/>
      <c r="BA450" s="83"/>
      <c r="BB450" s="83"/>
      <c r="BC450" s="83"/>
    </row>
    <row r="451" customFormat="false" ht="24" hidden="false" customHeight="true" outlineLevel="0" collapsed="false">
      <c r="B451" s="84" t="s">
        <v>132</v>
      </c>
      <c r="C451" s="84"/>
      <c r="E451" s="85" t="s">
        <v>177</v>
      </c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  <c r="AE451" s="85"/>
      <c r="AF451" s="85"/>
      <c r="AG451" s="85"/>
      <c r="AH451" s="85"/>
      <c r="AI451" s="85"/>
      <c r="AJ451" s="85"/>
      <c r="AK451" s="85"/>
      <c r="AL451" s="85"/>
      <c r="AM451" s="85"/>
      <c r="AN451" s="85"/>
      <c r="AO451" s="85"/>
      <c r="AP451" s="85"/>
      <c r="AQ451" s="85"/>
      <c r="AR451" s="85"/>
      <c r="AS451" s="85"/>
      <c r="AT451" s="85"/>
      <c r="AU451" s="85"/>
      <c r="AV451" s="85"/>
      <c r="AW451" s="85"/>
      <c r="AX451" s="85"/>
      <c r="AY451" s="85"/>
      <c r="AZ451" s="85"/>
      <c r="BA451" s="85"/>
      <c r="BB451" s="85"/>
      <c r="BC451" s="85"/>
    </row>
    <row r="452" customFormat="false" ht="9.75" hidden="false" customHeight="true" outlineLevel="0" collapsed="false"/>
    <row r="453" customFormat="false" ht="21.75" hidden="false" customHeight="true" outlineLevel="0" collapsed="false">
      <c r="B453" s="6"/>
      <c r="C453" s="19" t="s">
        <v>178</v>
      </c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59" t="s">
        <v>179</v>
      </c>
      <c r="AM453" s="59"/>
      <c r="AN453" s="59"/>
      <c r="AO453" s="59"/>
      <c r="AP453" s="59"/>
      <c r="AQ453" s="59"/>
      <c r="AR453" s="59"/>
      <c r="AS453" s="59"/>
      <c r="AT453" s="59"/>
      <c r="AU453" s="59"/>
      <c r="AV453" s="59"/>
      <c r="AW453" s="59"/>
      <c r="AX453" s="59"/>
      <c r="AY453" s="59"/>
      <c r="AZ453" s="59"/>
      <c r="BA453" s="59"/>
      <c r="BB453" s="59"/>
      <c r="BC453" s="59"/>
    </row>
    <row r="454" customFormat="false" ht="27.75" hidden="false" customHeight="true" outlineLevel="0" collapsed="false">
      <c r="B454" s="79" t="s">
        <v>124</v>
      </c>
      <c r="C454" s="79"/>
      <c r="D454" s="80" t="s">
        <v>140</v>
      </c>
      <c r="E454" s="80"/>
      <c r="F454" s="80"/>
      <c r="G454" s="80"/>
      <c r="H454" s="80" t="s">
        <v>180</v>
      </c>
      <c r="I454" s="80"/>
      <c r="J454" s="80"/>
      <c r="K454" s="80"/>
      <c r="L454" s="80"/>
      <c r="M454" s="80"/>
      <c r="N454" s="80"/>
      <c r="O454" s="80"/>
      <c r="P454" s="80" t="s">
        <v>181</v>
      </c>
      <c r="Q454" s="80"/>
      <c r="R454" s="80"/>
      <c r="S454" s="80"/>
      <c r="T454" s="80" t="s">
        <v>182</v>
      </c>
      <c r="U454" s="80"/>
      <c r="V454" s="80"/>
      <c r="W454" s="80"/>
      <c r="X454" s="80"/>
      <c r="Y454" s="80"/>
      <c r="Z454" s="80"/>
      <c r="AA454" s="80"/>
      <c r="AB454" s="80"/>
      <c r="AC454" s="80"/>
      <c r="AD454" s="80"/>
      <c r="AE454" s="80"/>
      <c r="AF454" s="80" t="s">
        <v>183</v>
      </c>
      <c r="AG454" s="80"/>
      <c r="AH454" s="80"/>
      <c r="AI454" s="80"/>
      <c r="AJ454" s="80"/>
      <c r="AK454" s="80"/>
      <c r="AL454" s="80"/>
      <c r="AM454" s="80"/>
      <c r="AN454" s="80"/>
      <c r="AO454" s="80"/>
      <c r="AP454" s="80"/>
      <c r="AQ454" s="80"/>
      <c r="AR454" s="80"/>
      <c r="AS454" s="80"/>
      <c r="AT454" s="80"/>
      <c r="AU454" s="80"/>
      <c r="AV454" s="80"/>
      <c r="AW454" s="80"/>
      <c r="AX454" s="80"/>
      <c r="AY454" s="80"/>
      <c r="AZ454" s="80"/>
      <c r="BA454" s="80"/>
      <c r="BB454" s="80"/>
      <c r="BC454" s="80"/>
    </row>
    <row r="455" customFormat="false" ht="24" hidden="false" customHeight="true" outlineLevel="0" collapsed="false">
      <c r="B455" s="81" t="n">
        <v>1</v>
      </c>
      <c r="C455" s="81"/>
      <c r="D455" s="82"/>
      <c r="E455" s="82"/>
      <c r="F455" s="82"/>
      <c r="G455" s="82"/>
      <c r="H455" s="83"/>
      <c r="I455" s="83"/>
      <c r="J455" s="83"/>
      <c r="K455" s="83"/>
      <c r="L455" s="83"/>
      <c r="M455" s="83"/>
      <c r="N455" s="83"/>
      <c r="O455" s="83"/>
      <c r="P455" s="83"/>
      <c r="Q455" s="83"/>
      <c r="R455" s="83"/>
      <c r="S455" s="83"/>
      <c r="T455" s="83"/>
      <c r="U455" s="83"/>
      <c r="V455" s="83"/>
      <c r="W455" s="83"/>
      <c r="X455" s="83"/>
      <c r="Y455" s="83"/>
      <c r="Z455" s="83"/>
      <c r="AA455" s="83"/>
      <c r="AB455" s="83"/>
      <c r="AC455" s="83"/>
      <c r="AD455" s="83"/>
      <c r="AE455" s="83"/>
      <c r="AF455" s="83"/>
      <c r="AG455" s="83"/>
      <c r="AH455" s="83"/>
      <c r="AI455" s="83"/>
      <c r="AJ455" s="83"/>
      <c r="AK455" s="83"/>
      <c r="AL455" s="83"/>
      <c r="AM455" s="83"/>
      <c r="AN455" s="83"/>
      <c r="AO455" s="83"/>
      <c r="AP455" s="83"/>
      <c r="AQ455" s="83"/>
      <c r="AR455" s="83"/>
      <c r="AS455" s="83"/>
      <c r="AT455" s="83"/>
      <c r="AU455" s="83"/>
      <c r="AV455" s="83"/>
      <c r="AW455" s="83"/>
      <c r="AX455" s="83"/>
      <c r="AY455" s="83"/>
      <c r="AZ455" s="83"/>
      <c r="BA455" s="83"/>
      <c r="BB455" s="83"/>
      <c r="BC455" s="83"/>
    </row>
    <row r="456" customFormat="false" ht="24" hidden="false" customHeight="true" outlineLevel="0" collapsed="false">
      <c r="B456" s="81" t="n">
        <v>2</v>
      </c>
      <c r="C456" s="81"/>
      <c r="D456" s="82"/>
      <c r="E456" s="82"/>
      <c r="F456" s="82"/>
      <c r="G456" s="82"/>
      <c r="H456" s="83"/>
      <c r="I456" s="83"/>
      <c r="J456" s="83"/>
      <c r="K456" s="83"/>
      <c r="L456" s="83"/>
      <c r="M456" s="83"/>
      <c r="N456" s="83"/>
      <c r="O456" s="83"/>
      <c r="P456" s="83"/>
      <c r="Q456" s="83"/>
      <c r="R456" s="83"/>
      <c r="S456" s="83"/>
      <c r="T456" s="83"/>
      <c r="U456" s="83"/>
      <c r="V456" s="83"/>
      <c r="W456" s="83"/>
      <c r="X456" s="83"/>
      <c r="Y456" s="83"/>
      <c r="Z456" s="83"/>
      <c r="AA456" s="83"/>
      <c r="AB456" s="83"/>
      <c r="AC456" s="83"/>
      <c r="AD456" s="83"/>
      <c r="AE456" s="83"/>
      <c r="AF456" s="83"/>
      <c r="AG456" s="83"/>
      <c r="AH456" s="83"/>
      <c r="AI456" s="83"/>
      <c r="AJ456" s="83"/>
      <c r="AK456" s="83"/>
      <c r="AL456" s="83"/>
      <c r="AM456" s="83"/>
      <c r="AN456" s="83"/>
      <c r="AO456" s="83"/>
      <c r="AP456" s="83"/>
      <c r="AQ456" s="83"/>
      <c r="AR456" s="83"/>
      <c r="AS456" s="83"/>
      <c r="AT456" s="83"/>
      <c r="AU456" s="83"/>
      <c r="AV456" s="83"/>
      <c r="AW456" s="83"/>
      <c r="AX456" s="83"/>
      <c r="AY456" s="83"/>
      <c r="AZ456" s="83"/>
      <c r="BA456" s="83"/>
      <c r="BB456" s="83"/>
      <c r="BC456" s="83"/>
    </row>
    <row r="457" customFormat="false" ht="24" hidden="false" customHeight="true" outlineLevel="0" collapsed="false">
      <c r="B457" s="81" t="n">
        <v>3</v>
      </c>
      <c r="C457" s="81"/>
      <c r="D457" s="82"/>
      <c r="E457" s="82"/>
      <c r="F457" s="82"/>
      <c r="G457" s="82"/>
      <c r="H457" s="83"/>
      <c r="I457" s="83"/>
      <c r="J457" s="83"/>
      <c r="K457" s="83"/>
      <c r="L457" s="83"/>
      <c r="M457" s="83"/>
      <c r="N457" s="83"/>
      <c r="O457" s="83"/>
      <c r="P457" s="83"/>
      <c r="Q457" s="83"/>
      <c r="R457" s="83"/>
      <c r="S457" s="83"/>
      <c r="T457" s="83"/>
      <c r="U457" s="83"/>
      <c r="V457" s="83"/>
      <c r="W457" s="83"/>
      <c r="X457" s="83"/>
      <c r="Y457" s="83"/>
      <c r="Z457" s="83"/>
      <c r="AA457" s="83"/>
      <c r="AB457" s="83"/>
      <c r="AC457" s="83"/>
      <c r="AD457" s="83"/>
      <c r="AE457" s="83"/>
      <c r="AF457" s="83"/>
      <c r="AG457" s="83"/>
      <c r="AH457" s="83"/>
      <c r="AI457" s="83"/>
      <c r="AJ457" s="83"/>
      <c r="AK457" s="83"/>
      <c r="AL457" s="83"/>
      <c r="AM457" s="83"/>
      <c r="AN457" s="83"/>
      <c r="AO457" s="83"/>
      <c r="AP457" s="83"/>
      <c r="AQ457" s="83"/>
      <c r="AR457" s="83"/>
      <c r="AS457" s="83"/>
      <c r="AT457" s="83"/>
      <c r="AU457" s="83"/>
      <c r="AV457" s="83"/>
      <c r="AW457" s="83"/>
      <c r="AX457" s="83"/>
      <c r="AY457" s="83"/>
      <c r="AZ457" s="83"/>
      <c r="BA457" s="83"/>
      <c r="BB457" s="83"/>
      <c r="BC457" s="83"/>
    </row>
    <row r="458" customFormat="false" ht="24" hidden="false" customHeight="true" outlineLevel="0" collapsed="false">
      <c r="B458" s="81" t="n">
        <v>4</v>
      </c>
      <c r="C458" s="81"/>
      <c r="D458" s="82"/>
      <c r="E458" s="82"/>
      <c r="F458" s="82"/>
      <c r="G458" s="82"/>
      <c r="H458" s="83"/>
      <c r="I458" s="83"/>
      <c r="J458" s="83"/>
      <c r="K458" s="83"/>
      <c r="L458" s="83"/>
      <c r="M458" s="83"/>
      <c r="N458" s="83"/>
      <c r="O458" s="83"/>
      <c r="P458" s="83"/>
      <c r="Q458" s="83"/>
      <c r="R458" s="83"/>
      <c r="S458" s="83"/>
      <c r="T458" s="83"/>
      <c r="U458" s="83"/>
      <c r="V458" s="83"/>
      <c r="W458" s="83"/>
      <c r="X458" s="83"/>
      <c r="Y458" s="83"/>
      <c r="Z458" s="83"/>
      <c r="AA458" s="83"/>
      <c r="AB458" s="83"/>
      <c r="AC458" s="83"/>
      <c r="AD458" s="83"/>
      <c r="AE458" s="83"/>
      <c r="AF458" s="83"/>
      <c r="AG458" s="83"/>
      <c r="AH458" s="83"/>
      <c r="AI458" s="83"/>
      <c r="AJ458" s="83"/>
      <c r="AK458" s="83"/>
      <c r="AL458" s="83"/>
      <c r="AM458" s="83"/>
      <c r="AN458" s="83"/>
      <c r="AO458" s="83"/>
      <c r="AP458" s="83"/>
      <c r="AQ458" s="83"/>
      <c r="AR458" s="83"/>
      <c r="AS458" s="83"/>
      <c r="AT458" s="83"/>
      <c r="AU458" s="83"/>
      <c r="AV458" s="83"/>
      <c r="AW458" s="83"/>
      <c r="AX458" s="83"/>
      <c r="AY458" s="83"/>
      <c r="AZ458" s="83"/>
      <c r="BA458" s="83"/>
      <c r="BB458" s="83"/>
      <c r="BC458" s="83"/>
    </row>
    <row r="459" customFormat="false" ht="24" hidden="false" customHeight="true" outlineLevel="0" collapsed="false">
      <c r="B459" s="81" t="n">
        <v>5</v>
      </c>
      <c r="C459" s="81"/>
      <c r="D459" s="82"/>
      <c r="E459" s="82"/>
      <c r="F459" s="82"/>
      <c r="G459" s="82"/>
      <c r="H459" s="83"/>
      <c r="I459" s="83"/>
      <c r="J459" s="83"/>
      <c r="K459" s="83"/>
      <c r="L459" s="83"/>
      <c r="M459" s="83"/>
      <c r="N459" s="83"/>
      <c r="O459" s="83"/>
      <c r="P459" s="83"/>
      <c r="Q459" s="83"/>
      <c r="R459" s="83"/>
      <c r="S459" s="83"/>
      <c r="T459" s="83"/>
      <c r="U459" s="83"/>
      <c r="V459" s="83"/>
      <c r="W459" s="83"/>
      <c r="X459" s="83"/>
      <c r="Y459" s="83"/>
      <c r="Z459" s="83"/>
      <c r="AA459" s="83"/>
      <c r="AB459" s="83"/>
      <c r="AC459" s="83"/>
      <c r="AD459" s="83"/>
      <c r="AE459" s="83"/>
      <c r="AF459" s="83"/>
      <c r="AG459" s="83"/>
      <c r="AH459" s="83"/>
      <c r="AI459" s="83"/>
      <c r="AJ459" s="83"/>
      <c r="AK459" s="83"/>
      <c r="AL459" s="83"/>
      <c r="AM459" s="83"/>
      <c r="AN459" s="83"/>
      <c r="AO459" s="83"/>
      <c r="AP459" s="83"/>
      <c r="AQ459" s="83"/>
      <c r="AR459" s="83"/>
      <c r="AS459" s="83"/>
      <c r="AT459" s="83"/>
      <c r="AU459" s="83"/>
      <c r="AV459" s="83"/>
      <c r="AW459" s="83"/>
      <c r="AX459" s="83"/>
      <c r="AY459" s="83"/>
      <c r="AZ459" s="83"/>
      <c r="BA459" s="83"/>
      <c r="BB459" s="83"/>
      <c r="BC459" s="83"/>
    </row>
    <row r="460" customFormat="false" ht="24" hidden="false" customHeight="true" outlineLevel="0" collapsed="false">
      <c r="B460" s="81" t="n">
        <v>6</v>
      </c>
      <c r="C460" s="81"/>
      <c r="D460" s="82"/>
      <c r="E460" s="82"/>
      <c r="F460" s="82"/>
      <c r="G460" s="82"/>
      <c r="H460" s="83"/>
      <c r="I460" s="83"/>
      <c r="J460" s="83"/>
      <c r="K460" s="83"/>
      <c r="L460" s="83"/>
      <c r="M460" s="83"/>
      <c r="N460" s="83"/>
      <c r="O460" s="83"/>
      <c r="P460" s="83"/>
      <c r="Q460" s="83"/>
      <c r="R460" s="83"/>
      <c r="S460" s="83"/>
      <c r="T460" s="83"/>
      <c r="U460" s="83"/>
      <c r="V460" s="83"/>
      <c r="W460" s="83"/>
      <c r="X460" s="83"/>
      <c r="Y460" s="83"/>
      <c r="Z460" s="83"/>
      <c r="AA460" s="83"/>
      <c r="AB460" s="83"/>
      <c r="AC460" s="83"/>
      <c r="AD460" s="83"/>
      <c r="AE460" s="83"/>
      <c r="AF460" s="83"/>
      <c r="AG460" s="83"/>
      <c r="AH460" s="83"/>
      <c r="AI460" s="83"/>
      <c r="AJ460" s="83"/>
      <c r="AK460" s="83"/>
      <c r="AL460" s="83"/>
      <c r="AM460" s="83"/>
      <c r="AN460" s="83"/>
      <c r="AO460" s="83"/>
      <c r="AP460" s="83"/>
      <c r="AQ460" s="83"/>
      <c r="AR460" s="83"/>
      <c r="AS460" s="83"/>
      <c r="AT460" s="83"/>
      <c r="AU460" s="83"/>
      <c r="AV460" s="83"/>
      <c r="AW460" s="83"/>
      <c r="AX460" s="83"/>
      <c r="AY460" s="83"/>
      <c r="AZ460" s="83"/>
      <c r="BA460" s="83"/>
      <c r="BB460" s="83"/>
      <c r="BC460" s="83"/>
    </row>
    <row r="461" customFormat="false" ht="24" hidden="false" customHeight="true" outlineLevel="0" collapsed="false">
      <c r="B461" s="81" t="n">
        <v>7</v>
      </c>
      <c r="C461" s="81"/>
      <c r="D461" s="82"/>
      <c r="E461" s="82"/>
      <c r="F461" s="82"/>
      <c r="G461" s="82"/>
      <c r="H461" s="83"/>
      <c r="I461" s="83"/>
      <c r="J461" s="83"/>
      <c r="K461" s="83"/>
      <c r="L461" s="83"/>
      <c r="M461" s="83"/>
      <c r="N461" s="83"/>
      <c r="O461" s="83"/>
      <c r="P461" s="83"/>
      <c r="Q461" s="83"/>
      <c r="R461" s="83"/>
      <c r="S461" s="83"/>
      <c r="T461" s="83"/>
      <c r="U461" s="83"/>
      <c r="V461" s="83"/>
      <c r="W461" s="83"/>
      <c r="X461" s="83"/>
      <c r="Y461" s="83"/>
      <c r="Z461" s="83"/>
      <c r="AA461" s="83"/>
      <c r="AB461" s="83"/>
      <c r="AC461" s="83"/>
      <c r="AD461" s="83"/>
      <c r="AE461" s="83"/>
      <c r="AF461" s="83"/>
      <c r="AG461" s="83"/>
      <c r="AH461" s="83"/>
      <c r="AI461" s="83"/>
      <c r="AJ461" s="83"/>
      <c r="AK461" s="83"/>
      <c r="AL461" s="83"/>
      <c r="AM461" s="83"/>
      <c r="AN461" s="83"/>
      <c r="AO461" s="83"/>
      <c r="AP461" s="83"/>
      <c r="AQ461" s="83"/>
      <c r="AR461" s="83"/>
      <c r="AS461" s="83"/>
      <c r="AT461" s="83"/>
      <c r="AU461" s="83"/>
      <c r="AV461" s="83"/>
      <c r="AW461" s="83"/>
      <c r="AX461" s="83"/>
      <c r="AY461" s="83"/>
      <c r="AZ461" s="83"/>
      <c r="BA461" s="83"/>
      <c r="BB461" s="83"/>
      <c r="BC461" s="83"/>
    </row>
    <row r="462" customFormat="false" ht="24" hidden="false" customHeight="true" outlineLevel="0" collapsed="false">
      <c r="B462" s="84" t="s">
        <v>132</v>
      </c>
      <c r="C462" s="84"/>
      <c r="E462" s="85" t="s">
        <v>184</v>
      </c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  <c r="AE462" s="85"/>
      <c r="AF462" s="85"/>
      <c r="AG462" s="85"/>
      <c r="AH462" s="85"/>
      <c r="AI462" s="85"/>
      <c r="AJ462" s="85"/>
      <c r="AK462" s="85"/>
      <c r="AL462" s="85"/>
      <c r="AM462" s="85"/>
      <c r="AN462" s="85"/>
      <c r="AO462" s="85"/>
      <c r="AP462" s="85"/>
      <c r="AQ462" s="85"/>
      <c r="AR462" s="85"/>
      <c r="AS462" s="85"/>
      <c r="AT462" s="85"/>
      <c r="AU462" s="85"/>
      <c r="AV462" s="85"/>
      <c r="AW462" s="85"/>
      <c r="AX462" s="85"/>
      <c r="AY462" s="85"/>
      <c r="AZ462" s="85"/>
      <c r="BA462" s="85"/>
      <c r="BB462" s="85"/>
      <c r="BC462" s="85"/>
    </row>
    <row r="463" customFormat="false" ht="27.75" hidden="false" customHeight="true" outlineLevel="0" collapsed="false"/>
    <row r="464" customFormat="false" ht="18" hidden="false" customHeight="true" outlineLevel="0" collapsed="false">
      <c r="B464" s="75" t="s">
        <v>134</v>
      </c>
      <c r="C464" s="75"/>
      <c r="D464" s="75"/>
      <c r="E464" s="75"/>
      <c r="F464" s="75"/>
      <c r="G464" s="75"/>
      <c r="H464" s="75"/>
      <c r="I464" s="75"/>
      <c r="J464" s="75"/>
      <c r="K464" s="75"/>
      <c r="L464" s="75"/>
      <c r="M464" s="75"/>
      <c r="N464" s="75"/>
      <c r="O464" s="75"/>
      <c r="P464" s="75"/>
      <c r="Q464" s="75"/>
      <c r="R464" s="75"/>
      <c r="S464" s="75"/>
      <c r="T464" s="75"/>
      <c r="U464" s="75"/>
      <c r="V464" s="75"/>
      <c r="W464" s="75"/>
      <c r="X464" s="75"/>
      <c r="Y464" s="75"/>
      <c r="Z464" s="75"/>
      <c r="AA464" s="75"/>
      <c r="AB464" s="76" t="s">
        <v>185</v>
      </c>
      <c r="AC464" s="76"/>
      <c r="AD464" s="76"/>
      <c r="AE464" s="76"/>
      <c r="AF464" s="76"/>
      <c r="AG464" s="76"/>
      <c r="AH464" s="76"/>
      <c r="AI464" s="76"/>
      <c r="AJ464" s="76"/>
      <c r="AK464" s="76"/>
      <c r="AL464" s="76"/>
      <c r="AM464" s="76"/>
      <c r="AN464" s="76"/>
      <c r="AO464" s="76"/>
      <c r="AP464" s="76"/>
      <c r="AQ464" s="76"/>
      <c r="AR464" s="76"/>
      <c r="AS464" s="76"/>
      <c r="AT464" s="76"/>
      <c r="AU464" s="76"/>
      <c r="AV464" s="76"/>
      <c r="AW464" s="76"/>
      <c r="AX464" s="76"/>
      <c r="AY464" s="76"/>
      <c r="AZ464" s="76"/>
      <c r="BA464" s="76"/>
      <c r="BB464" s="76"/>
      <c r="BC464" s="76"/>
    </row>
    <row r="465" customFormat="false" ht="7.5" hidden="false" customHeight="true" outlineLevel="0" collapsed="false"/>
    <row r="466" customFormat="false" ht="24" hidden="false" customHeight="true" outlineLevel="0" collapsed="false">
      <c r="B466" s="86" t="s">
        <v>115</v>
      </c>
      <c r="C466" s="86"/>
      <c r="D466" s="86"/>
      <c r="E466" s="86"/>
      <c r="F466" s="86"/>
      <c r="H466" s="87" t="s">
        <v>116</v>
      </c>
      <c r="I466" s="87"/>
      <c r="J466" s="87"/>
      <c r="K466" s="87"/>
      <c r="L466" s="87"/>
      <c r="M466" s="87"/>
      <c r="N466" s="87"/>
      <c r="O466" s="87"/>
      <c r="P466" s="87"/>
      <c r="AA466" s="88" t="s">
        <v>136</v>
      </c>
      <c r="AB466" s="88"/>
      <c r="AC466" s="88"/>
      <c r="AD466" s="88"/>
      <c r="AE466" s="88"/>
      <c r="AF466" s="89" t="str">
        <f aca="false">Dashboard!$C$6</f>
        <v>Bindhya TB</v>
      </c>
      <c r="AG466" s="89"/>
      <c r="AH466" s="89"/>
      <c r="AI466" s="89"/>
      <c r="AJ466" s="89"/>
      <c r="AK466" s="89"/>
      <c r="AL466" s="89"/>
      <c r="AM466" s="89"/>
      <c r="AN466" s="89"/>
      <c r="AO466" s="89"/>
      <c r="AP466" s="89"/>
      <c r="AR466" s="88" t="s">
        <v>137</v>
      </c>
      <c r="AS466" s="88"/>
      <c r="AT466" s="89" t="str">
        <f aca="false">TEXT(Cal!H4,"dd mmm")&amp;" to "&amp;TEXT(Cal!I4,"dd mmm yy")</f>
        <v>12 Oct to 17 Oct 26</v>
      </c>
      <c r="AU466" s="89"/>
      <c r="AV466" s="89"/>
      <c r="AW466" s="89"/>
      <c r="AX466" s="89"/>
      <c r="AY466" s="89"/>
      <c r="AZ466" s="89"/>
      <c r="BA466" s="89"/>
      <c r="BB466" s="89"/>
      <c r="BC466" s="89"/>
    </row>
    <row r="467" customFormat="false" ht="3" hidden="false" customHeight="true" outlineLevel="0" collapsed="false"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</row>
    <row r="468" customFormat="false" ht="9.75" hidden="false" customHeight="true" outlineLevel="0" collapsed="false"/>
    <row r="469" customFormat="false" ht="21.75" hidden="false" customHeight="true" outlineLevel="0" collapsed="false">
      <c r="B469" s="6"/>
      <c r="C469" s="19" t="s">
        <v>186</v>
      </c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59" t="s">
        <v>187</v>
      </c>
      <c r="AM469" s="59"/>
      <c r="AN469" s="59"/>
      <c r="AO469" s="59"/>
      <c r="AP469" s="59"/>
      <c r="AQ469" s="59"/>
      <c r="AR469" s="59"/>
      <c r="AS469" s="59"/>
      <c r="AT469" s="59"/>
      <c r="AU469" s="59"/>
      <c r="AV469" s="59"/>
      <c r="AW469" s="59"/>
      <c r="AX469" s="59"/>
      <c r="AY469" s="59"/>
      <c r="AZ469" s="59"/>
      <c r="BA469" s="59"/>
      <c r="BB469" s="59"/>
      <c r="BC469" s="59"/>
    </row>
    <row r="470" customFormat="false" ht="27.75" hidden="false" customHeight="true" outlineLevel="0" collapsed="false">
      <c r="B470" s="79" t="s">
        <v>124</v>
      </c>
      <c r="C470" s="79"/>
      <c r="D470" s="80" t="s">
        <v>127</v>
      </c>
      <c r="E470" s="80"/>
      <c r="F470" s="80"/>
      <c r="G470" s="80"/>
      <c r="H470" s="80"/>
      <c r="I470" s="80"/>
      <c r="J470" s="80"/>
      <c r="K470" s="80"/>
      <c r="L470" s="80"/>
      <c r="M470" s="80"/>
      <c r="N470" s="80" t="s">
        <v>126</v>
      </c>
      <c r="O470" s="80"/>
      <c r="P470" s="80"/>
      <c r="Q470" s="80"/>
      <c r="R470" s="80"/>
      <c r="S470" s="80"/>
      <c r="T470" s="80"/>
      <c r="U470" s="80"/>
      <c r="V470" s="80" t="s">
        <v>188</v>
      </c>
      <c r="W470" s="80"/>
      <c r="X470" s="80"/>
      <c r="Y470" s="80"/>
      <c r="Z470" s="80"/>
      <c r="AA470" s="80"/>
      <c r="AB470" s="80"/>
      <c r="AC470" s="80"/>
      <c r="AD470" s="80"/>
      <c r="AE470" s="80"/>
      <c r="AF470" s="80"/>
      <c r="AG470" s="80"/>
      <c r="AH470" s="80"/>
      <c r="AI470" s="80"/>
      <c r="AJ470" s="80"/>
      <c r="AK470" s="80"/>
      <c r="AL470" s="80"/>
      <c r="AM470" s="80"/>
      <c r="AN470" s="80"/>
      <c r="AO470" s="80"/>
      <c r="AP470" s="80"/>
      <c r="AQ470" s="80"/>
      <c r="AR470" s="80"/>
      <c r="AS470" s="80"/>
      <c r="AT470" s="80"/>
      <c r="AU470" s="80"/>
      <c r="AV470" s="80" t="s">
        <v>189</v>
      </c>
      <c r="AW470" s="80"/>
      <c r="AX470" s="80"/>
      <c r="AY470" s="80"/>
      <c r="AZ470" s="80"/>
      <c r="BA470" s="80"/>
      <c r="BB470" s="80"/>
      <c r="BC470" s="80"/>
    </row>
    <row r="471" customFormat="false" ht="27.75" hidden="false" customHeight="true" outlineLevel="0" collapsed="false">
      <c r="B471" s="81" t="n">
        <v>1</v>
      </c>
      <c r="C471" s="81"/>
      <c r="D471" s="83"/>
      <c r="E471" s="83"/>
      <c r="F471" s="83"/>
      <c r="G471" s="83"/>
      <c r="H471" s="83"/>
      <c r="I471" s="83"/>
      <c r="J471" s="83"/>
      <c r="K471" s="83"/>
      <c r="L471" s="83"/>
      <c r="M471" s="83"/>
      <c r="N471" s="83"/>
      <c r="O471" s="83"/>
      <c r="P471" s="83"/>
      <c r="Q471" s="83"/>
      <c r="R471" s="83"/>
      <c r="S471" s="83"/>
      <c r="T471" s="83"/>
      <c r="U471" s="83"/>
      <c r="V471" s="83"/>
      <c r="W471" s="83"/>
      <c r="X471" s="83"/>
      <c r="Y471" s="83"/>
      <c r="Z471" s="83"/>
      <c r="AA471" s="83"/>
      <c r="AB471" s="83"/>
      <c r="AC471" s="83"/>
      <c r="AD471" s="83"/>
      <c r="AE471" s="83"/>
      <c r="AF471" s="83"/>
      <c r="AG471" s="83"/>
      <c r="AH471" s="83"/>
      <c r="AI471" s="83"/>
      <c r="AJ471" s="83"/>
      <c r="AK471" s="83"/>
      <c r="AL471" s="83"/>
      <c r="AM471" s="83"/>
      <c r="AN471" s="83"/>
      <c r="AO471" s="83"/>
      <c r="AP471" s="83"/>
      <c r="AQ471" s="83"/>
      <c r="AR471" s="83"/>
      <c r="AS471" s="83"/>
      <c r="AT471" s="83"/>
      <c r="AU471" s="83"/>
      <c r="AV471" s="82"/>
      <c r="AW471" s="82"/>
      <c r="AX471" s="82"/>
      <c r="AY471" s="82"/>
      <c r="AZ471" s="82"/>
      <c r="BA471" s="82"/>
      <c r="BB471" s="82"/>
      <c r="BC471" s="82"/>
    </row>
    <row r="472" customFormat="false" ht="27.75" hidden="false" customHeight="true" outlineLevel="0" collapsed="false">
      <c r="B472" s="81" t="n">
        <v>2</v>
      </c>
      <c r="C472" s="81"/>
      <c r="D472" s="83"/>
      <c r="E472" s="83"/>
      <c r="F472" s="83"/>
      <c r="G472" s="83"/>
      <c r="H472" s="83"/>
      <c r="I472" s="83"/>
      <c r="J472" s="83"/>
      <c r="K472" s="83"/>
      <c r="L472" s="83"/>
      <c r="M472" s="83"/>
      <c r="N472" s="83"/>
      <c r="O472" s="83"/>
      <c r="P472" s="83"/>
      <c r="Q472" s="83"/>
      <c r="R472" s="83"/>
      <c r="S472" s="83"/>
      <c r="T472" s="83"/>
      <c r="U472" s="83"/>
      <c r="V472" s="83"/>
      <c r="W472" s="83"/>
      <c r="X472" s="83"/>
      <c r="Y472" s="83"/>
      <c r="Z472" s="83"/>
      <c r="AA472" s="83"/>
      <c r="AB472" s="83"/>
      <c r="AC472" s="83"/>
      <c r="AD472" s="83"/>
      <c r="AE472" s="83"/>
      <c r="AF472" s="83"/>
      <c r="AG472" s="83"/>
      <c r="AH472" s="83"/>
      <c r="AI472" s="83"/>
      <c r="AJ472" s="83"/>
      <c r="AK472" s="83"/>
      <c r="AL472" s="83"/>
      <c r="AM472" s="83"/>
      <c r="AN472" s="83"/>
      <c r="AO472" s="83"/>
      <c r="AP472" s="83"/>
      <c r="AQ472" s="83"/>
      <c r="AR472" s="83"/>
      <c r="AS472" s="83"/>
      <c r="AT472" s="83"/>
      <c r="AU472" s="83"/>
      <c r="AV472" s="82"/>
      <c r="AW472" s="82"/>
      <c r="AX472" s="82"/>
      <c r="AY472" s="82"/>
      <c r="AZ472" s="82"/>
      <c r="BA472" s="82"/>
      <c r="BB472" s="82"/>
      <c r="BC472" s="82"/>
    </row>
    <row r="473" customFormat="false" ht="27.75" hidden="false" customHeight="true" outlineLevel="0" collapsed="false">
      <c r="B473" s="81" t="n">
        <v>3</v>
      </c>
      <c r="C473" s="81"/>
      <c r="D473" s="83"/>
      <c r="E473" s="83"/>
      <c r="F473" s="83"/>
      <c r="G473" s="83"/>
      <c r="H473" s="83"/>
      <c r="I473" s="83"/>
      <c r="J473" s="83"/>
      <c r="K473" s="83"/>
      <c r="L473" s="83"/>
      <c r="M473" s="83"/>
      <c r="N473" s="83"/>
      <c r="O473" s="83"/>
      <c r="P473" s="83"/>
      <c r="Q473" s="83"/>
      <c r="R473" s="83"/>
      <c r="S473" s="83"/>
      <c r="T473" s="83"/>
      <c r="U473" s="83"/>
      <c r="V473" s="83"/>
      <c r="W473" s="83"/>
      <c r="X473" s="83"/>
      <c r="Y473" s="83"/>
      <c r="Z473" s="83"/>
      <c r="AA473" s="83"/>
      <c r="AB473" s="83"/>
      <c r="AC473" s="83"/>
      <c r="AD473" s="83"/>
      <c r="AE473" s="83"/>
      <c r="AF473" s="83"/>
      <c r="AG473" s="83"/>
      <c r="AH473" s="83"/>
      <c r="AI473" s="83"/>
      <c r="AJ473" s="83"/>
      <c r="AK473" s="83"/>
      <c r="AL473" s="83"/>
      <c r="AM473" s="83"/>
      <c r="AN473" s="83"/>
      <c r="AO473" s="83"/>
      <c r="AP473" s="83"/>
      <c r="AQ473" s="83"/>
      <c r="AR473" s="83"/>
      <c r="AS473" s="83"/>
      <c r="AT473" s="83"/>
      <c r="AU473" s="83"/>
      <c r="AV473" s="82"/>
      <c r="AW473" s="82"/>
      <c r="AX473" s="82"/>
      <c r="AY473" s="82"/>
      <c r="AZ473" s="82"/>
      <c r="BA473" s="82"/>
      <c r="BB473" s="82"/>
      <c r="BC473" s="82"/>
    </row>
    <row r="474" customFormat="false" ht="27.75" hidden="false" customHeight="true" outlineLevel="0" collapsed="false">
      <c r="B474" s="81" t="n">
        <v>4</v>
      </c>
      <c r="C474" s="81"/>
      <c r="D474" s="83"/>
      <c r="E474" s="83"/>
      <c r="F474" s="83"/>
      <c r="G474" s="83"/>
      <c r="H474" s="83"/>
      <c r="I474" s="83"/>
      <c r="J474" s="83"/>
      <c r="K474" s="83"/>
      <c r="L474" s="83"/>
      <c r="M474" s="83"/>
      <c r="N474" s="83"/>
      <c r="O474" s="83"/>
      <c r="P474" s="83"/>
      <c r="Q474" s="83"/>
      <c r="R474" s="83"/>
      <c r="S474" s="83"/>
      <c r="T474" s="83"/>
      <c r="U474" s="83"/>
      <c r="V474" s="83"/>
      <c r="W474" s="83"/>
      <c r="X474" s="83"/>
      <c r="Y474" s="83"/>
      <c r="Z474" s="83"/>
      <c r="AA474" s="83"/>
      <c r="AB474" s="83"/>
      <c r="AC474" s="83"/>
      <c r="AD474" s="83"/>
      <c r="AE474" s="83"/>
      <c r="AF474" s="83"/>
      <c r="AG474" s="83"/>
      <c r="AH474" s="83"/>
      <c r="AI474" s="83"/>
      <c r="AJ474" s="83"/>
      <c r="AK474" s="83"/>
      <c r="AL474" s="83"/>
      <c r="AM474" s="83"/>
      <c r="AN474" s="83"/>
      <c r="AO474" s="83"/>
      <c r="AP474" s="83"/>
      <c r="AQ474" s="83"/>
      <c r="AR474" s="83"/>
      <c r="AS474" s="83"/>
      <c r="AT474" s="83"/>
      <c r="AU474" s="83"/>
      <c r="AV474" s="82"/>
      <c r="AW474" s="82"/>
      <c r="AX474" s="82"/>
      <c r="AY474" s="82"/>
      <c r="AZ474" s="82"/>
      <c r="BA474" s="82"/>
      <c r="BB474" s="82"/>
      <c r="BC474" s="82"/>
    </row>
    <row r="475" customFormat="false" ht="27.75" hidden="false" customHeight="true" outlineLevel="0" collapsed="false">
      <c r="B475" s="81" t="n">
        <v>5</v>
      </c>
      <c r="C475" s="81"/>
      <c r="D475" s="83"/>
      <c r="E475" s="83"/>
      <c r="F475" s="83"/>
      <c r="G475" s="83"/>
      <c r="H475" s="83"/>
      <c r="I475" s="83"/>
      <c r="J475" s="83"/>
      <c r="K475" s="83"/>
      <c r="L475" s="83"/>
      <c r="M475" s="83"/>
      <c r="N475" s="83"/>
      <c r="O475" s="83"/>
      <c r="P475" s="83"/>
      <c r="Q475" s="83"/>
      <c r="R475" s="83"/>
      <c r="S475" s="83"/>
      <c r="T475" s="83"/>
      <c r="U475" s="83"/>
      <c r="V475" s="83"/>
      <c r="W475" s="83"/>
      <c r="X475" s="83"/>
      <c r="Y475" s="83"/>
      <c r="Z475" s="83"/>
      <c r="AA475" s="83"/>
      <c r="AB475" s="83"/>
      <c r="AC475" s="83"/>
      <c r="AD475" s="83"/>
      <c r="AE475" s="83"/>
      <c r="AF475" s="83"/>
      <c r="AG475" s="83"/>
      <c r="AH475" s="83"/>
      <c r="AI475" s="83"/>
      <c r="AJ475" s="83"/>
      <c r="AK475" s="83"/>
      <c r="AL475" s="83"/>
      <c r="AM475" s="83"/>
      <c r="AN475" s="83"/>
      <c r="AO475" s="83"/>
      <c r="AP475" s="83"/>
      <c r="AQ475" s="83"/>
      <c r="AR475" s="83"/>
      <c r="AS475" s="83"/>
      <c r="AT475" s="83"/>
      <c r="AU475" s="83"/>
      <c r="AV475" s="82"/>
      <c r="AW475" s="82"/>
      <c r="AX475" s="82"/>
      <c r="AY475" s="82"/>
      <c r="AZ475" s="82"/>
      <c r="BA475" s="82"/>
      <c r="BB475" s="82"/>
      <c r="BC475" s="82"/>
    </row>
    <row r="476" customFormat="false" ht="27.75" hidden="false" customHeight="true" outlineLevel="0" collapsed="false">
      <c r="B476" s="81" t="n">
        <v>6</v>
      </c>
      <c r="C476" s="81"/>
      <c r="D476" s="83"/>
      <c r="E476" s="83"/>
      <c r="F476" s="83"/>
      <c r="G476" s="83"/>
      <c r="H476" s="83"/>
      <c r="I476" s="83"/>
      <c r="J476" s="83"/>
      <c r="K476" s="83"/>
      <c r="L476" s="83"/>
      <c r="M476" s="83"/>
      <c r="N476" s="83"/>
      <c r="O476" s="83"/>
      <c r="P476" s="83"/>
      <c r="Q476" s="83"/>
      <c r="R476" s="83"/>
      <c r="S476" s="83"/>
      <c r="T476" s="83"/>
      <c r="U476" s="83"/>
      <c r="V476" s="83"/>
      <c r="W476" s="83"/>
      <c r="X476" s="83"/>
      <c r="Y476" s="83"/>
      <c r="Z476" s="83"/>
      <c r="AA476" s="83"/>
      <c r="AB476" s="83"/>
      <c r="AC476" s="83"/>
      <c r="AD476" s="83"/>
      <c r="AE476" s="83"/>
      <c r="AF476" s="83"/>
      <c r="AG476" s="83"/>
      <c r="AH476" s="83"/>
      <c r="AI476" s="83"/>
      <c r="AJ476" s="83"/>
      <c r="AK476" s="83"/>
      <c r="AL476" s="83"/>
      <c r="AM476" s="83"/>
      <c r="AN476" s="83"/>
      <c r="AO476" s="83"/>
      <c r="AP476" s="83"/>
      <c r="AQ476" s="83"/>
      <c r="AR476" s="83"/>
      <c r="AS476" s="83"/>
      <c r="AT476" s="83"/>
      <c r="AU476" s="83"/>
      <c r="AV476" s="82"/>
      <c r="AW476" s="82"/>
      <c r="AX476" s="82"/>
      <c r="AY476" s="82"/>
      <c r="AZ476" s="82"/>
      <c r="BA476" s="82"/>
      <c r="BB476" s="82"/>
      <c r="BC476" s="82"/>
    </row>
    <row r="477" customFormat="false" ht="9.75" hidden="false" customHeight="true" outlineLevel="0" collapsed="false"/>
    <row r="478" customFormat="false" ht="21.75" hidden="false" customHeight="true" outlineLevel="0" collapsed="false">
      <c r="B478" s="6"/>
      <c r="C478" s="19" t="s">
        <v>190</v>
      </c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59" t="s">
        <v>191</v>
      </c>
      <c r="AM478" s="59"/>
      <c r="AN478" s="59"/>
      <c r="AO478" s="59"/>
      <c r="AP478" s="59"/>
      <c r="AQ478" s="59"/>
      <c r="AR478" s="59"/>
      <c r="AS478" s="59"/>
      <c r="AT478" s="59"/>
      <c r="AU478" s="59"/>
      <c r="AV478" s="59"/>
      <c r="AW478" s="59"/>
      <c r="AX478" s="59"/>
      <c r="AY478" s="59"/>
      <c r="AZ478" s="59"/>
      <c r="BA478" s="59"/>
      <c r="BB478" s="59"/>
      <c r="BC478" s="59"/>
    </row>
    <row r="479" customFormat="false" ht="27.75" hidden="false" customHeight="true" outlineLevel="0" collapsed="false">
      <c r="B479" s="79" t="s">
        <v>124</v>
      </c>
      <c r="C479" s="79"/>
      <c r="D479" s="80" t="s">
        <v>126</v>
      </c>
      <c r="E479" s="80"/>
      <c r="F479" s="80"/>
      <c r="G479" s="80"/>
      <c r="H479" s="80"/>
      <c r="I479" s="80"/>
      <c r="J479" s="80"/>
      <c r="K479" s="80"/>
      <c r="L479" s="80"/>
      <c r="M479" s="80" t="s">
        <v>149</v>
      </c>
      <c r="N479" s="80"/>
      <c r="O479" s="80"/>
      <c r="P479" s="80"/>
      <c r="Q479" s="80"/>
      <c r="R479" s="80"/>
      <c r="S479" s="80"/>
      <c r="T479" s="80"/>
      <c r="U479" s="80"/>
      <c r="V479" s="80"/>
      <c r="W479" s="80"/>
      <c r="X479" s="80"/>
      <c r="Y479" s="80" t="s">
        <v>192</v>
      </c>
      <c r="Z479" s="80"/>
      <c r="AA479" s="80"/>
      <c r="AB479" s="80"/>
      <c r="AC479" s="80"/>
      <c r="AD479" s="80"/>
      <c r="AE479" s="80"/>
      <c r="AF479" s="80"/>
      <c r="AG479" s="80"/>
      <c r="AH479" s="80"/>
      <c r="AI479" s="80"/>
      <c r="AJ479" s="80"/>
      <c r="AK479" s="80"/>
      <c r="AL479" s="80"/>
      <c r="AM479" s="80"/>
      <c r="AN479" s="80"/>
      <c r="AO479" s="80"/>
      <c r="AP479" s="80" t="s">
        <v>193</v>
      </c>
      <c r="AQ479" s="80"/>
      <c r="AR479" s="80"/>
      <c r="AS479" s="80"/>
      <c r="AT479" s="80"/>
      <c r="AU479" s="80"/>
      <c r="AV479" s="80"/>
      <c r="AW479" s="80"/>
      <c r="AX479" s="80"/>
      <c r="AY479" s="80"/>
      <c r="AZ479" s="80"/>
      <c r="BA479" s="80"/>
      <c r="BB479" s="80"/>
      <c r="BC479" s="80"/>
    </row>
    <row r="480" customFormat="false" ht="27.75" hidden="false" customHeight="true" outlineLevel="0" collapsed="false">
      <c r="B480" s="81" t="n">
        <v>1</v>
      </c>
      <c r="C480" s="81"/>
      <c r="D480" s="83"/>
      <c r="E480" s="83"/>
      <c r="F480" s="83"/>
      <c r="G480" s="83"/>
      <c r="H480" s="83"/>
      <c r="I480" s="83"/>
      <c r="J480" s="83"/>
      <c r="K480" s="83"/>
      <c r="L480" s="83"/>
      <c r="M480" s="83"/>
      <c r="N480" s="83"/>
      <c r="O480" s="83"/>
      <c r="P480" s="83"/>
      <c r="Q480" s="83"/>
      <c r="R480" s="83"/>
      <c r="S480" s="83"/>
      <c r="T480" s="83"/>
      <c r="U480" s="83"/>
      <c r="V480" s="83"/>
      <c r="W480" s="83"/>
      <c r="X480" s="83"/>
      <c r="Y480" s="83"/>
      <c r="Z480" s="83"/>
      <c r="AA480" s="83"/>
      <c r="AB480" s="83"/>
      <c r="AC480" s="83"/>
      <c r="AD480" s="83"/>
      <c r="AE480" s="83"/>
      <c r="AF480" s="83"/>
      <c r="AG480" s="83"/>
      <c r="AH480" s="83"/>
      <c r="AI480" s="83"/>
      <c r="AJ480" s="83"/>
      <c r="AK480" s="83"/>
      <c r="AL480" s="83"/>
      <c r="AM480" s="83"/>
      <c r="AN480" s="83"/>
      <c r="AO480" s="83"/>
      <c r="AP480" s="83"/>
      <c r="AQ480" s="83"/>
      <c r="AR480" s="83"/>
      <c r="AS480" s="83"/>
      <c r="AT480" s="83"/>
      <c r="AU480" s="83"/>
      <c r="AV480" s="83"/>
      <c r="AW480" s="83"/>
      <c r="AX480" s="83"/>
      <c r="AY480" s="83"/>
      <c r="AZ480" s="83"/>
      <c r="BA480" s="83"/>
      <c r="BB480" s="83"/>
      <c r="BC480" s="83"/>
    </row>
    <row r="481" customFormat="false" ht="27.75" hidden="false" customHeight="true" outlineLevel="0" collapsed="false">
      <c r="B481" s="81" t="n">
        <v>2</v>
      </c>
      <c r="C481" s="81"/>
      <c r="D481" s="83"/>
      <c r="E481" s="83"/>
      <c r="F481" s="83"/>
      <c r="G481" s="83"/>
      <c r="H481" s="83"/>
      <c r="I481" s="83"/>
      <c r="J481" s="83"/>
      <c r="K481" s="83"/>
      <c r="L481" s="83"/>
      <c r="M481" s="83"/>
      <c r="N481" s="83"/>
      <c r="O481" s="83"/>
      <c r="P481" s="83"/>
      <c r="Q481" s="83"/>
      <c r="R481" s="83"/>
      <c r="S481" s="83"/>
      <c r="T481" s="83"/>
      <c r="U481" s="83"/>
      <c r="V481" s="83"/>
      <c r="W481" s="83"/>
      <c r="X481" s="83"/>
      <c r="Y481" s="83"/>
      <c r="Z481" s="83"/>
      <c r="AA481" s="83"/>
      <c r="AB481" s="83"/>
      <c r="AC481" s="83"/>
      <c r="AD481" s="83"/>
      <c r="AE481" s="83"/>
      <c r="AF481" s="83"/>
      <c r="AG481" s="83"/>
      <c r="AH481" s="83"/>
      <c r="AI481" s="83"/>
      <c r="AJ481" s="83"/>
      <c r="AK481" s="83"/>
      <c r="AL481" s="83"/>
      <c r="AM481" s="83"/>
      <c r="AN481" s="83"/>
      <c r="AO481" s="83"/>
      <c r="AP481" s="83"/>
      <c r="AQ481" s="83"/>
      <c r="AR481" s="83"/>
      <c r="AS481" s="83"/>
      <c r="AT481" s="83"/>
      <c r="AU481" s="83"/>
      <c r="AV481" s="83"/>
      <c r="AW481" s="83"/>
      <c r="AX481" s="83"/>
      <c r="AY481" s="83"/>
      <c r="AZ481" s="83"/>
      <c r="BA481" s="83"/>
      <c r="BB481" s="83"/>
      <c r="BC481" s="83"/>
    </row>
    <row r="482" customFormat="false" ht="27.75" hidden="false" customHeight="true" outlineLevel="0" collapsed="false">
      <c r="B482" s="81" t="n">
        <v>3</v>
      </c>
      <c r="C482" s="81"/>
      <c r="D482" s="83"/>
      <c r="E482" s="83"/>
      <c r="F482" s="83"/>
      <c r="G482" s="83"/>
      <c r="H482" s="83"/>
      <c r="I482" s="83"/>
      <c r="J482" s="83"/>
      <c r="K482" s="83"/>
      <c r="L482" s="83"/>
      <c r="M482" s="83"/>
      <c r="N482" s="83"/>
      <c r="O482" s="83"/>
      <c r="P482" s="83"/>
      <c r="Q482" s="83"/>
      <c r="R482" s="83"/>
      <c r="S482" s="83"/>
      <c r="T482" s="83"/>
      <c r="U482" s="83"/>
      <c r="V482" s="83"/>
      <c r="W482" s="83"/>
      <c r="X482" s="83"/>
      <c r="Y482" s="83"/>
      <c r="Z482" s="83"/>
      <c r="AA482" s="83"/>
      <c r="AB482" s="83"/>
      <c r="AC482" s="83"/>
      <c r="AD482" s="83"/>
      <c r="AE482" s="83"/>
      <c r="AF482" s="83"/>
      <c r="AG482" s="83"/>
      <c r="AH482" s="83"/>
      <c r="AI482" s="83"/>
      <c r="AJ482" s="83"/>
      <c r="AK482" s="83"/>
      <c r="AL482" s="83"/>
      <c r="AM482" s="83"/>
      <c r="AN482" s="83"/>
      <c r="AO482" s="83"/>
      <c r="AP482" s="83"/>
      <c r="AQ482" s="83"/>
      <c r="AR482" s="83"/>
      <c r="AS482" s="83"/>
      <c r="AT482" s="83"/>
      <c r="AU482" s="83"/>
      <c r="AV482" s="83"/>
      <c r="AW482" s="83"/>
      <c r="AX482" s="83"/>
      <c r="AY482" s="83"/>
      <c r="AZ482" s="83"/>
      <c r="BA482" s="83"/>
      <c r="BB482" s="83"/>
      <c r="BC482" s="83"/>
    </row>
    <row r="483" customFormat="false" ht="27.75" hidden="false" customHeight="true" outlineLevel="0" collapsed="false">
      <c r="B483" s="81" t="n">
        <v>4</v>
      </c>
      <c r="C483" s="81"/>
      <c r="D483" s="83"/>
      <c r="E483" s="83"/>
      <c r="F483" s="83"/>
      <c r="G483" s="83"/>
      <c r="H483" s="83"/>
      <c r="I483" s="83"/>
      <c r="J483" s="83"/>
      <c r="K483" s="83"/>
      <c r="L483" s="83"/>
      <c r="M483" s="83"/>
      <c r="N483" s="83"/>
      <c r="O483" s="83"/>
      <c r="P483" s="83"/>
      <c r="Q483" s="83"/>
      <c r="R483" s="83"/>
      <c r="S483" s="83"/>
      <c r="T483" s="83"/>
      <c r="U483" s="83"/>
      <c r="V483" s="83"/>
      <c r="W483" s="83"/>
      <c r="X483" s="83"/>
      <c r="Y483" s="83"/>
      <c r="Z483" s="83"/>
      <c r="AA483" s="83"/>
      <c r="AB483" s="83"/>
      <c r="AC483" s="83"/>
      <c r="AD483" s="83"/>
      <c r="AE483" s="83"/>
      <c r="AF483" s="83"/>
      <c r="AG483" s="83"/>
      <c r="AH483" s="83"/>
      <c r="AI483" s="83"/>
      <c r="AJ483" s="83"/>
      <c r="AK483" s="83"/>
      <c r="AL483" s="83"/>
      <c r="AM483" s="83"/>
      <c r="AN483" s="83"/>
      <c r="AO483" s="83"/>
      <c r="AP483" s="83"/>
      <c r="AQ483" s="83"/>
      <c r="AR483" s="83"/>
      <c r="AS483" s="83"/>
      <c r="AT483" s="83"/>
      <c r="AU483" s="83"/>
      <c r="AV483" s="83"/>
      <c r="AW483" s="83"/>
      <c r="AX483" s="83"/>
      <c r="AY483" s="83"/>
      <c r="AZ483" s="83"/>
      <c r="BA483" s="83"/>
      <c r="BB483" s="83"/>
      <c r="BC483" s="83"/>
    </row>
    <row r="484" customFormat="false" ht="27.75" hidden="false" customHeight="true" outlineLevel="0" collapsed="false">
      <c r="B484" s="81" t="n">
        <v>5</v>
      </c>
      <c r="C484" s="81"/>
      <c r="D484" s="83"/>
      <c r="E484" s="83"/>
      <c r="F484" s="83"/>
      <c r="G484" s="83"/>
      <c r="H484" s="83"/>
      <c r="I484" s="83"/>
      <c r="J484" s="83"/>
      <c r="K484" s="83"/>
      <c r="L484" s="83"/>
      <c r="M484" s="83"/>
      <c r="N484" s="83"/>
      <c r="O484" s="83"/>
      <c r="P484" s="83"/>
      <c r="Q484" s="83"/>
      <c r="R484" s="83"/>
      <c r="S484" s="83"/>
      <c r="T484" s="83"/>
      <c r="U484" s="83"/>
      <c r="V484" s="83"/>
      <c r="W484" s="83"/>
      <c r="X484" s="83"/>
      <c r="Y484" s="83"/>
      <c r="Z484" s="83"/>
      <c r="AA484" s="83"/>
      <c r="AB484" s="83"/>
      <c r="AC484" s="83"/>
      <c r="AD484" s="83"/>
      <c r="AE484" s="83"/>
      <c r="AF484" s="83"/>
      <c r="AG484" s="83"/>
      <c r="AH484" s="83"/>
      <c r="AI484" s="83"/>
      <c r="AJ484" s="83"/>
      <c r="AK484" s="83"/>
      <c r="AL484" s="83"/>
      <c r="AM484" s="83"/>
      <c r="AN484" s="83"/>
      <c r="AO484" s="83"/>
      <c r="AP484" s="83"/>
      <c r="AQ484" s="83"/>
      <c r="AR484" s="83"/>
      <c r="AS484" s="83"/>
      <c r="AT484" s="83"/>
      <c r="AU484" s="83"/>
      <c r="AV484" s="83"/>
      <c r="AW484" s="83"/>
      <c r="AX484" s="83"/>
      <c r="AY484" s="83"/>
      <c r="AZ484" s="83"/>
      <c r="BA484" s="83"/>
      <c r="BB484" s="83"/>
      <c r="BC484" s="83"/>
    </row>
    <row r="485" customFormat="false" ht="103.5" hidden="false" customHeight="true" outlineLevel="0" collapsed="false"/>
    <row r="486" customFormat="false" ht="18" hidden="false" customHeight="true" outlineLevel="0" collapsed="false">
      <c r="B486" s="75" t="s">
        <v>134</v>
      </c>
      <c r="C486" s="75"/>
      <c r="D486" s="75"/>
      <c r="E486" s="75"/>
      <c r="F486" s="75"/>
      <c r="G486" s="75"/>
      <c r="H486" s="75"/>
      <c r="I486" s="75"/>
      <c r="J486" s="75"/>
      <c r="K486" s="75"/>
      <c r="L486" s="75"/>
      <c r="M486" s="75"/>
      <c r="N486" s="75"/>
      <c r="O486" s="75"/>
      <c r="P486" s="75"/>
      <c r="Q486" s="75"/>
      <c r="R486" s="75"/>
      <c r="S486" s="75"/>
      <c r="T486" s="75"/>
      <c r="U486" s="75"/>
      <c r="V486" s="75"/>
      <c r="W486" s="75"/>
      <c r="X486" s="75"/>
      <c r="Y486" s="75"/>
      <c r="Z486" s="75"/>
      <c r="AA486" s="75"/>
      <c r="AB486" s="76" t="s">
        <v>194</v>
      </c>
      <c r="AC486" s="76"/>
      <c r="AD486" s="76"/>
      <c r="AE486" s="76"/>
      <c r="AF486" s="76"/>
      <c r="AG486" s="76"/>
      <c r="AH486" s="76"/>
      <c r="AI486" s="76"/>
      <c r="AJ486" s="76"/>
      <c r="AK486" s="76"/>
      <c r="AL486" s="76"/>
      <c r="AM486" s="76"/>
      <c r="AN486" s="76"/>
      <c r="AO486" s="76"/>
      <c r="AP486" s="76"/>
      <c r="AQ486" s="76"/>
      <c r="AR486" s="76"/>
      <c r="AS486" s="76"/>
      <c r="AT486" s="76"/>
      <c r="AU486" s="76"/>
      <c r="AV486" s="76"/>
      <c r="AW486" s="76"/>
      <c r="AX486" s="76"/>
      <c r="AY486" s="76"/>
      <c r="AZ486" s="76"/>
      <c r="BA486" s="76"/>
      <c r="BB486" s="76"/>
      <c r="BC486" s="76"/>
    </row>
    <row r="487" customFormat="false" ht="7.5" hidden="false" customHeight="true" outlineLevel="0" collapsed="false"/>
    <row r="488" customFormat="false" ht="24" hidden="false" customHeight="true" outlineLevel="0" collapsed="false">
      <c r="B488" s="86" t="s">
        <v>115</v>
      </c>
      <c r="C488" s="86"/>
      <c r="D488" s="86"/>
      <c r="E488" s="86"/>
      <c r="F488" s="86"/>
      <c r="H488" s="87" t="s">
        <v>116</v>
      </c>
      <c r="I488" s="87"/>
      <c r="J488" s="87"/>
      <c r="K488" s="87"/>
      <c r="L488" s="87"/>
      <c r="M488" s="87"/>
      <c r="N488" s="87"/>
      <c r="O488" s="87"/>
      <c r="P488" s="87"/>
      <c r="AA488" s="88" t="s">
        <v>136</v>
      </c>
      <c r="AB488" s="88"/>
      <c r="AC488" s="88"/>
      <c r="AD488" s="88"/>
      <c r="AE488" s="88"/>
      <c r="AF488" s="89" t="str">
        <f aca="false">Dashboard!$C$6</f>
        <v>Bindhya TB</v>
      </c>
      <c r="AG488" s="89"/>
      <c r="AH488" s="89"/>
      <c r="AI488" s="89"/>
      <c r="AJ488" s="89"/>
      <c r="AK488" s="89"/>
      <c r="AL488" s="89"/>
      <c r="AM488" s="89"/>
      <c r="AN488" s="89"/>
      <c r="AO488" s="89"/>
      <c r="AP488" s="89"/>
      <c r="AR488" s="88" t="s">
        <v>137</v>
      </c>
      <c r="AS488" s="88"/>
      <c r="AT488" s="89" t="str">
        <f aca="false">TEXT(Cal!H4,"dd mmm")&amp;" to "&amp;TEXT(Cal!I4,"dd mmm yy")</f>
        <v>12 Oct to 17 Oct 26</v>
      </c>
      <c r="AU488" s="89"/>
      <c r="AV488" s="89"/>
      <c r="AW488" s="89"/>
      <c r="AX488" s="89"/>
      <c r="AY488" s="89"/>
      <c r="AZ488" s="89"/>
      <c r="BA488" s="89"/>
      <c r="BB488" s="89"/>
      <c r="BC488" s="89"/>
    </row>
    <row r="489" customFormat="false" ht="3" hidden="false" customHeight="true" outlineLevel="0" collapsed="false"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</row>
    <row r="490" customFormat="false" ht="9.75" hidden="false" customHeight="true" outlineLevel="0" collapsed="false"/>
    <row r="491" customFormat="false" ht="21.75" hidden="false" customHeight="true" outlineLevel="0" collapsed="false">
      <c r="B491" s="6"/>
      <c r="C491" s="19" t="s">
        <v>195</v>
      </c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59" t="s">
        <v>196</v>
      </c>
      <c r="AM491" s="59"/>
      <c r="AN491" s="59"/>
      <c r="AO491" s="59"/>
      <c r="AP491" s="59"/>
      <c r="AQ491" s="59"/>
      <c r="AR491" s="59"/>
      <c r="AS491" s="59"/>
      <c r="AT491" s="59"/>
      <c r="AU491" s="59"/>
      <c r="AV491" s="59"/>
      <c r="AW491" s="59"/>
      <c r="AX491" s="59"/>
      <c r="AY491" s="59"/>
      <c r="AZ491" s="59"/>
      <c r="BA491" s="59"/>
      <c r="BB491" s="59"/>
      <c r="BC491" s="59"/>
    </row>
    <row r="492" customFormat="false" ht="27.75" hidden="false" customHeight="true" outlineLevel="0" collapsed="false">
      <c r="B492" s="79" t="s">
        <v>124</v>
      </c>
      <c r="C492" s="79"/>
      <c r="D492" s="80" t="s">
        <v>140</v>
      </c>
      <c r="E492" s="80"/>
      <c r="F492" s="80"/>
      <c r="G492" s="80"/>
      <c r="H492" s="80" t="s">
        <v>141</v>
      </c>
      <c r="I492" s="80"/>
      <c r="J492" s="80"/>
      <c r="K492" s="80"/>
      <c r="L492" s="80"/>
      <c r="M492" s="80"/>
      <c r="N492" s="80"/>
      <c r="O492" s="80"/>
      <c r="P492" s="80"/>
      <c r="Q492" s="80" t="s">
        <v>197</v>
      </c>
      <c r="R492" s="80"/>
      <c r="S492" s="80"/>
      <c r="T492" s="80"/>
      <c r="U492" s="80"/>
      <c r="V492" s="80"/>
      <c r="W492" s="80" t="s">
        <v>142</v>
      </c>
      <c r="X492" s="80"/>
      <c r="Y492" s="80"/>
      <c r="Z492" s="80"/>
      <c r="AA492" s="80"/>
      <c r="AB492" s="80"/>
      <c r="AC492" s="80"/>
      <c r="AD492" s="80"/>
      <c r="AE492" s="80"/>
      <c r="AF492" s="80"/>
      <c r="AG492" s="80"/>
      <c r="AH492" s="80"/>
      <c r="AI492" s="80"/>
      <c r="AJ492" s="80"/>
      <c r="AK492" s="80"/>
      <c r="AL492" s="80"/>
      <c r="AM492" s="80"/>
      <c r="AN492" s="80"/>
      <c r="AO492" s="80"/>
      <c r="AP492" s="80"/>
      <c r="AQ492" s="80"/>
      <c r="AR492" s="80"/>
      <c r="AS492" s="80"/>
      <c r="AT492" s="80"/>
      <c r="AU492" s="80"/>
      <c r="AV492" s="80"/>
      <c r="AW492" s="80"/>
      <c r="AX492" s="80"/>
      <c r="AY492" s="80"/>
      <c r="AZ492" s="80"/>
      <c r="BA492" s="80"/>
      <c r="BB492" s="80"/>
      <c r="BC492" s="80"/>
    </row>
    <row r="493" customFormat="false" ht="33.75" hidden="false" customHeight="true" outlineLevel="0" collapsed="false">
      <c r="B493" s="81" t="n">
        <v>1</v>
      </c>
      <c r="C493" s="81"/>
      <c r="D493" s="82"/>
      <c r="E493" s="82"/>
      <c r="F493" s="82"/>
      <c r="G493" s="82"/>
      <c r="H493" s="83"/>
      <c r="I493" s="83"/>
      <c r="J493" s="83"/>
      <c r="K493" s="83"/>
      <c r="L493" s="83"/>
      <c r="M493" s="83"/>
      <c r="N493" s="83"/>
      <c r="O493" s="83"/>
      <c r="P493" s="83"/>
      <c r="Q493" s="83"/>
      <c r="R493" s="83"/>
      <c r="S493" s="83"/>
      <c r="T493" s="83"/>
      <c r="U493" s="83"/>
      <c r="V493" s="83"/>
      <c r="W493" s="83"/>
      <c r="X493" s="83"/>
      <c r="Y493" s="83"/>
      <c r="Z493" s="83"/>
      <c r="AA493" s="83"/>
      <c r="AB493" s="83"/>
      <c r="AC493" s="83"/>
      <c r="AD493" s="83"/>
      <c r="AE493" s="83"/>
      <c r="AF493" s="83"/>
      <c r="AG493" s="83"/>
      <c r="AH493" s="83"/>
      <c r="AI493" s="83"/>
      <c r="AJ493" s="83"/>
      <c r="AK493" s="83"/>
      <c r="AL493" s="83"/>
      <c r="AM493" s="83"/>
      <c r="AN493" s="83"/>
      <c r="AO493" s="83"/>
      <c r="AP493" s="83"/>
      <c r="AQ493" s="83"/>
      <c r="AR493" s="83"/>
      <c r="AS493" s="83"/>
      <c r="AT493" s="83"/>
      <c r="AU493" s="83"/>
      <c r="AV493" s="83"/>
      <c r="AW493" s="83"/>
      <c r="AX493" s="83"/>
      <c r="AY493" s="83"/>
      <c r="AZ493" s="83"/>
      <c r="BA493" s="83"/>
      <c r="BB493" s="83"/>
      <c r="BC493" s="83"/>
    </row>
    <row r="494" customFormat="false" ht="33.75" hidden="false" customHeight="true" outlineLevel="0" collapsed="false">
      <c r="B494" s="81" t="n">
        <v>2</v>
      </c>
      <c r="C494" s="81"/>
      <c r="D494" s="82"/>
      <c r="E494" s="82"/>
      <c r="F494" s="82"/>
      <c r="G494" s="82"/>
      <c r="H494" s="83"/>
      <c r="I494" s="83"/>
      <c r="J494" s="83"/>
      <c r="K494" s="83"/>
      <c r="L494" s="83"/>
      <c r="M494" s="83"/>
      <c r="N494" s="83"/>
      <c r="O494" s="83"/>
      <c r="P494" s="83"/>
      <c r="Q494" s="83"/>
      <c r="R494" s="83"/>
      <c r="S494" s="83"/>
      <c r="T494" s="83"/>
      <c r="U494" s="83"/>
      <c r="V494" s="83"/>
      <c r="W494" s="83"/>
      <c r="X494" s="83"/>
      <c r="Y494" s="83"/>
      <c r="Z494" s="83"/>
      <c r="AA494" s="83"/>
      <c r="AB494" s="83"/>
      <c r="AC494" s="83"/>
      <c r="AD494" s="83"/>
      <c r="AE494" s="83"/>
      <c r="AF494" s="83"/>
      <c r="AG494" s="83"/>
      <c r="AH494" s="83"/>
      <c r="AI494" s="83"/>
      <c r="AJ494" s="83"/>
      <c r="AK494" s="83"/>
      <c r="AL494" s="83"/>
      <c r="AM494" s="83"/>
      <c r="AN494" s="83"/>
      <c r="AO494" s="83"/>
      <c r="AP494" s="83"/>
      <c r="AQ494" s="83"/>
      <c r="AR494" s="83"/>
      <c r="AS494" s="83"/>
      <c r="AT494" s="83"/>
      <c r="AU494" s="83"/>
      <c r="AV494" s="83"/>
      <c r="AW494" s="83"/>
      <c r="AX494" s="83"/>
      <c r="AY494" s="83"/>
      <c r="AZ494" s="83"/>
      <c r="BA494" s="83"/>
      <c r="BB494" s="83"/>
      <c r="BC494" s="83"/>
    </row>
    <row r="495" customFormat="false" ht="33.75" hidden="false" customHeight="true" outlineLevel="0" collapsed="false">
      <c r="B495" s="81" t="n">
        <v>3</v>
      </c>
      <c r="C495" s="81"/>
      <c r="D495" s="82"/>
      <c r="E495" s="82"/>
      <c r="F495" s="82"/>
      <c r="G495" s="82"/>
      <c r="H495" s="83"/>
      <c r="I495" s="83"/>
      <c r="J495" s="83"/>
      <c r="K495" s="83"/>
      <c r="L495" s="83"/>
      <c r="M495" s="83"/>
      <c r="N495" s="83"/>
      <c r="O495" s="83"/>
      <c r="P495" s="83"/>
      <c r="Q495" s="83"/>
      <c r="R495" s="83"/>
      <c r="S495" s="83"/>
      <c r="T495" s="83"/>
      <c r="U495" s="83"/>
      <c r="V495" s="83"/>
      <c r="W495" s="83"/>
      <c r="X495" s="83"/>
      <c r="Y495" s="83"/>
      <c r="Z495" s="83"/>
      <c r="AA495" s="83"/>
      <c r="AB495" s="83"/>
      <c r="AC495" s="83"/>
      <c r="AD495" s="83"/>
      <c r="AE495" s="83"/>
      <c r="AF495" s="83"/>
      <c r="AG495" s="83"/>
      <c r="AH495" s="83"/>
      <c r="AI495" s="83"/>
      <c r="AJ495" s="83"/>
      <c r="AK495" s="83"/>
      <c r="AL495" s="83"/>
      <c r="AM495" s="83"/>
      <c r="AN495" s="83"/>
      <c r="AO495" s="83"/>
      <c r="AP495" s="83"/>
      <c r="AQ495" s="83"/>
      <c r="AR495" s="83"/>
      <c r="AS495" s="83"/>
      <c r="AT495" s="83"/>
      <c r="AU495" s="83"/>
      <c r="AV495" s="83"/>
      <c r="AW495" s="83"/>
      <c r="AX495" s="83"/>
      <c r="AY495" s="83"/>
      <c r="AZ495" s="83"/>
      <c r="BA495" s="83"/>
      <c r="BB495" s="83"/>
      <c r="BC495" s="83"/>
    </row>
    <row r="496" customFormat="false" ht="33.75" hidden="false" customHeight="true" outlineLevel="0" collapsed="false">
      <c r="B496" s="81" t="n">
        <v>4</v>
      </c>
      <c r="C496" s="81"/>
      <c r="D496" s="82"/>
      <c r="E496" s="82"/>
      <c r="F496" s="82"/>
      <c r="G496" s="82"/>
      <c r="H496" s="83"/>
      <c r="I496" s="83"/>
      <c r="J496" s="83"/>
      <c r="K496" s="83"/>
      <c r="L496" s="83"/>
      <c r="M496" s="83"/>
      <c r="N496" s="83"/>
      <c r="O496" s="83"/>
      <c r="P496" s="83"/>
      <c r="Q496" s="83"/>
      <c r="R496" s="83"/>
      <c r="S496" s="83"/>
      <c r="T496" s="83"/>
      <c r="U496" s="83"/>
      <c r="V496" s="83"/>
      <c r="W496" s="83"/>
      <c r="X496" s="83"/>
      <c r="Y496" s="83"/>
      <c r="Z496" s="83"/>
      <c r="AA496" s="83"/>
      <c r="AB496" s="83"/>
      <c r="AC496" s="83"/>
      <c r="AD496" s="83"/>
      <c r="AE496" s="83"/>
      <c r="AF496" s="83"/>
      <c r="AG496" s="83"/>
      <c r="AH496" s="83"/>
      <c r="AI496" s="83"/>
      <c r="AJ496" s="83"/>
      <c r="AK496" s="83"/>
      <c r="AL496" s="83"/>
      <c r="AM496" s="83"/>
      <c r="AN496" s="83"/>
      <c r="AO496" s="83"/>
      <c r="AP496" s="83"/>
      <c r="AQ496" s="83"/>
      <c r="AR496" s="83"/>
      <c r="AS496" s="83"/>
      <c r="AT496" s="83"/>
      <c r="AU496" s="83"/>
      <c r="AV496" s="83"/>
      <c r="AW496" s="83"/>
      <c r="AX496" s="83"/>
      <c r="AY496" s="83"/>
      <c r="AZ496" s="83"/>
      <c r="BA496" s="83"/>
      <c r="BB496" s="83"/>
      <c r="BC496" s="83"/>
    </row>
    <row r="497" customFormat="false" ht="24" hidden="false" customHeight="true" outlineLevel="0" collapsed="false">
      <c r="B497" s="84" t="s">
        <v>132</v>
      </c>
      <c r="C497" s="84"/>
      <c r="E497" s="85" t="s">
        <v>198</v>
      </c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  <c r="AE497" s="85"/>
      <c r="AF497" s="85"/>
      <c r="AG497" s="85"/>
      <c r="AH497" s="85"/>
      <c r="AI497" s="85"/>
      <c r="AJ497" s="85"/>
      <c r="AK497" s="85"/>
      <c r="AL497" s="85"/>
      <c r="AM497" s="85"/>
      <c r="AN497" s="85"/>
      <c r="AO497" s="85"/>
      <c r="AP497" s="85"/>
      <c r="AQ497" s="85"/>
      <c r="AR497" s="85"/>
      <c r="AS497" s="85"/>
      <c r="AT497" s="85"/>
      <c r="AU497" s="85"/>
      <c r="AV497" s="85"/>
      <c r="AW497" s="85"/>
      <c r="AX497" s="85"/>
      <c r="AY497" s="85"/>
      <c r="AZ497" s="85"/>
      <c r="BA497" s="85"/>
      <c r="BB497" s="85"/>
      <c r="BC497" s="85"/>
    </row>
    <row r="498" customFormat="false" ht="9.75" hidden="false" customHeight="true" outlineLevel="0" collapsed="false"/>
    <row r="499" customFormat="false" ht="21.75" hidden="false" customHeight="true" outlineLevel="0" collapsed="false">
      <c r="B499" s="6"/>
      <c r="C499" s="19" t="s">
        <v>199</v>
      </c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59" t="s">
        <v>200</v>
      </c>
      <c r="AG499" s="59"/>
      <c r="AH499" s="59"/>
      <c r="AI499" s="59"/>
      <c r="AJ499" s="59"/>
      <c r="AK499" s="59"/>
      <c r="AL499" s="59"/>
      <c r="AM499" s="59"/>
      <c r="AN499" s="59"/>
      <c r="AO499" s="59"/>
      <c r="AP499" s="59"/>
      <c r="AQ499" s="59"/>
      <c r="AR499" s="59"/>
      <c r="AS499" s="59"/>
      <c r="AT499" s="59"/>
      <c r="AU499" s="59"/>
      <c r="AV499" s="59"/>
      <c r="AW499" s="59"/>
      <c r="AX499" s="59"/>
      <c r="AY499" s="59"/>
      <c r="AZ499" s="59"/>
      <c r="BA499" s="59"/>
      <c r="BB499" s="59"/>
      <c r="BC499" s="59"/>
    </row>
    <row r="500" customFormat="false" ht="19.5" hidden="false" customHeight="true" outlineLevel="0" collapsed="false">
      <c r="B500" s="60"/>
      <c r="C500" s="91" t="s">
        <v>89</v>
      </c>
      <c r="D500" s="91"/>
      <c r="E500" s="91"/>
      <c r="F500" s="91"/>
      <c r="G500" s="91"/>
      <c r="H500" s="91"/>
      <c r="I500" s="91"/>
      <c r="J500" s="91"/>
      <c r="K500" s="91"/>
      <c r="L500" s="91"/>
      <c r="M500" s="91"/>
      <c r="N500" s="92"/>
      <c r="P500" s="60"/>
      <c r="Q500" s="91" t="s">
        <v>201</v>
      </c>
      <c r="R500" s="91"/>
      <c r="S500" s="91"/>
      <c r="T500" s="91"/>
      <c r="U500" s="91"/>
      <c r="V500" s="91"/>
      <c r="W500" s="91"/>
      <c r="X500" s="91"/>
      <c r="Y500" s="91"/>
      <c r="Z500" s="91"/>
      <c r="AA500" s="91"/>
      <c r="AB500" s="92"/>
      <c r="AD500" s="60"/>
      <c r="AE500" s="91" t="s">
        <v>100</v>
      </c>
      <c r="AF500" s="91"/>
      <c r="AG500" s="91"/>
      <c r="AH500" s="91"/>
      <c r="AI500" s="91"/>
      <c r="AJ500" s="91"/>
      <c r="AK500" s="91"/>
      <c r="AL500" s="91"/>
      <c r="AM500" s="91"/>
      <c r="AN500" s="91"/>
      <c r="AO500" s="91"/>
      <c r="AP500" s="92"/>
      <c r="AR500" s="60"/>
      <c r="AS500" s="91" t="s">
        <v>101</v>
      </c>
      <c r="AT500" s="91"/>
      <c r="AU500" s="91"/>
      <c r="AV500" s="91"/>
      <c r="AW500" s="91"/>
      <c r="AX500" s="91"/>
      <c r="AY500" s="91"/>
      <c r="AZ500" s="91"/>
      <c r="BA500" s="91"/>
      <c r="BB500" s="91"/>
      <c r="BC500" s="92"/>
    </row>
    <row r="501" customFormat="false" ht="12" hidden="false" customHeight="true" outlineLevel="0" collapsed="false">
      <c r="B501" s="63"/>
      <c r="C501" s="93" t="s">
        <v>202</v>
      </c>
      <c r="D501" s="93"/>
      <c r="E501" s="93"/>
      <c r="F501" s="93"/>
      <c r="G501" s="93"/>
      <c r="H501" s="93"/>
      <c r="I501" s="93"/>
      <c r="J501" s="93"/>
      <c r="K501" s="93"/>
      <c r="L501" s="93"/>
      <c r="M501" s="93"/>
      <c r="N501" s="65"/>
      <c r="P501" s="63"/>
      <c r="Q501" s="93" t="s">
        <v>202</v>
      </c>
      <c r="R501" s="93"/>
      <c r="S501" s="93"/>
      <c r="T501" s="93"/>
      <c r="U501" s="93"/>
      <c r="V501" s="93"/>
      <c r="W501" s="93"/>
      <c r="X501" s="93"/>
      <c r="Y501" s="93"/>
      <c r="Z501" s="93"/>
      <c r="AA501" s="93"/>
      <c r="AB501" s="65"/>
      <c r="AD501" s="63"/>
      <c r="AE501" s="93" t="s">
        <v>202</v>
      </c>
      <c r="AF501" s="93"/>
      <c r="AG501" s="93"/>
      <c r="AH501" s="93"/>
      <c r="AI501" s="93"/>
      <c r="AJ501" s="93"/>
      <c r="AK501" s="93"/>
      <c r="AL501" s="93"/>
      <c r="AM501" s="93"/>
      <c r="AN501" s="93"/>
      <c r="AO501" s="93"/>
      <c r="AP501" s="65"/>
      <c r="AR501" s="63"/>
      <c r="AS501" s="93" t="s">
        <v>202</v>
      </c>
      <c r="AT501" s="93"/>
      <c r="AU501" s="93"/>
      <c r="AV501" s="93"/>
      <c r="AW501" s="93"/>
      <c r="AX501" s="94"/>
      <c r="AY501" s="93" t="s">
        <v>203</v>
      </c>
      <c r="AZ501" s="93"/>
      <c r="BA501" s="93"/>
      <c r="BB501" s="93"/>
      <c r="BC501" s="65"/>
    </row>
    <row r="502" customFormat="false" ht="25.5" hidden="false" customHeight="true" outlineLevel="0" collapsed="false">
      <c r="B502" s="63"/>
      <c r="C502" s="95" t="n">
        <f aca="false">SUMIFS(Data!$D$2:$D$32,Data!$A$2:$A$32,"&gt;="&amp;Cal!$H$4,Data!$A$2:$A$32,"&lt;="&amp;Cal!$I$4)</f>
        <v>0</v>
      </c>
      <c r="D502" s="95"/>
      <c r="E502" s="95"/>
      <c r="F502" s="95"/>
      <c r="G502" s="95"/>
      <c r="H502" s="95"/>
      <c r="I502" s="95"/>
      <c r="J502" s="95"/>
      <c r="K502" s="95"/>
      <c r="L502" s="95"/>
      <c r="M502" s="95"/>
      <c r="N502" s="65"/>
      <c r="P502" s="63"/>
      <c r="Q502" s="95" t="n">
        <f aca="false">SUMIFS(Data!$E$2:$E$32,Data!$A$2:$A$32,"&gt;="&amp;Cal!$H$4,Data!$A$2:$A$32,"&lt;="&amp;Cal!$I$4)</f>
        <v>0</v>
      </c>
      <c r="R502" s="95"/>
      <c r="S502" s="95"/>
      <c r="T502" s="95"/>
      <c r="U502" s="95"/>
      <c r="V502" s="95"/>
      <c r="W502" s="95"/>
      <c r="X502" s="95"/>
      <c r="Y502" s="95"/>
      <c r="Z502" s="95"/>
      <c r="AA502" s="95"/>
      <c r="AB502" s="65"/>
      <c r="AD502" s="63"/>
      <c r="AE502" s="95" t="n">
        <f aca="false">SUMIFS(Data!$I$2:$I$32,Data!$A$2:$A$32,"&gt;="&amp;Cal!$H$4,Data!$A$2:$A$32,"&lt;="&amp;Cal!$I$4)</f>
        <v>0</v>
      </c>
      <c r="AF502" s="95"/>
      <c r="AG502" s="95"/>
      <c r="AH502" s="95"/>
      <c r="AI502" s="95"/>
      <c r="AJ502" s="95"/>
      <c r="AK502" s="95"/>
      <c r="AL502" s="95"/>
      <c r="AM502" s="95"/>
      <c r="AN502" s="95"/>
      <c r="AO502" s="95"/>
      <c r="AP502" s="65"/>
      <c r="AR502" s="63"/>
      <c r="AS502" s="95" t="n">
        <f aca="false">SUMIFS(Data!$J$2:$J$32,Data!$A$2:$A$32,"&gt;="&amp;Cal!$H$4,Data!$A$2:$A$32,"&lt;="&amp;Cal!$I$4)</f>
        <v>0</v>
      </c>
      <c r="AT502" s="95"/>
      <c r="AU502" s="95"/>
      <c r="AV502" s="95"/>
      <c r="AW502" s="95"/>
      <c r="AX502" s="94"/>
      <c r="AY502" s="96" t="n">
        <f aca="false">SUM(W408:W412)</f>
        <v>0</v>
      </c>
      <c r="AZ502" s="96"/>
      <c r="BA502" s="96"/>
      <c r="BB502" s="96"/>
      <c r="BC502" s="65"/>
    </row>
    <row r="503" customFormat="false" ht="6" hidden="false" customHeight="true" outlineLevel="0" collapsed="false">
      <c r="B503" s="67"/>
      <c r="C503" s="68"/>
      <c r="D503" s="68"/>
      <c r="E503" s="68"/>
      <c r="F503" s="68"/>
      <c r="G503" s="68"/>
      <c r="H503" s="68"/>
      <c r="I503" s="68"/>
      <c r="J503" s="68"/>
      <c r="K503" s="68"/>
      <c r="L503" s="68"/>
      <c r="M503" s="68"/>
      <c r="N503" s="69"/>
      <c r="P503" s="67"/>
      <c r="Q503" s="68"/>
      <c r="R503" s="68"/>
      <c r="S503" s="68"/>
      <c r="T503" s="68"/>
      <c r="U503" s="68"/>
      <c r="V503" s="68"/>
      <c r="W503" s="68"/>
      <c r="X503" s="68"/>
      <c r="Y503" s="68"/>
      <c r="Z503" s="68"/>
      <c r="AA503" s="68"/>
      <c r="AB503" s="69"/>
      <c r="AD503" s="67"/>
      <c r="AE503" s="68"/>
      <c r="AF503" s="68"/>
      <c r="AG503" s="68"/>
      <c r="AH503" s="68"/>
      <c r="AI503" s="68"/>
      <c r="AJ503" s="68"/>
      <c r="AK503" s="68"/>
      <c r="AL503" s="68"/>
      <c r="AM503" s="68"/>
      <c r="AN503" s="68"/>
      <c r="AO503" s="68"/>
      <c r="AP503" s="69"/>
      <c r="AR503" s="67"/>
      <c r="AS503" s="68"/>
      <c r="AT503" s="68"/>
      <c r="AU503" s="68"/>
      <c r="AV503" s="68"/>
      <c r="AW503" s="68"/>
      <c r="AX503" s="68"/>
      <c r="AY503" s="68"/>
      <c r="AZ503" s="68"/>
      <c r="BA503" s="68"/>
      <c r="BB503" s="68"/>
      <c r="BC503" s="69"/>
    </row>
    <row r="504" customFormat="false" ht="7.5" hidden="false" customHeight="true" outlineLevel="0" collapsed="false"/>
    <row r="505" customFormat="false" ht="19.5" hidden="false" customHeight="true" outlineLevel="0" collapsed="false">
      <c r="B505" s="60"/>
      <c r="C505" s="91" t="s">
        <v>102</v>
      </c>
      <c r="D505" s="91"/>
      <c r="E505" s="91"/>
      <c r="F505" s="91"/>
      <c r="G505" s="91"/>
      <c r="H505" s="91"/>
      <c r="I505" s="91"/>
      <c r="J505" s="91"/>
      <c r="K505" s="91"/>
      <c r="L505" s="91"/>
      <c r="M505" s="91"/>
      <c r="N505" s="92"/>
      <c r="P505" s="60"/>
      <c r="Q505" s="91" t="s">
        <v>103</v>
      </c>
      <c r="R505" s="91"/>
      <c r="S505" s="91"/>
      <c r="T505" s="91"/>
      <c r="U505" s="91"/>
      <c r="V505" s="91"/>
      <c r="W505" s="91"/>
      <c r="X505" s="91"/>
      <c r="Y505" s="91"/>
      <c r="Z505" s="91"/>
      <c r="AA505" s="91"/>
      <c r="AB505" s="92"/>
      <c r="AD505" s="60"/>
      <c r="AE505" s="91" t="s">
        <v>104</v>
      </c>
      <c r="AF505" s="91"/>
      <c r="AG505" s="91"/>
      <c r="AH505" s="91"/>
      <c r="AI505" s="91"/>
      <c r="AJ505" s="91"/>
      <c r="AK505" s="91"/>
      <c r="AL505" s="91"/>
      <c r="AM505" s="91"/>
      <c r="AN505" s="91"/>
      <c r="AO505" s="91"/>
      <c r="AP505" s="92"/>
      <c r="AR505" s="60"/>
      <c r="AS505" s="91" t="s">
        <v>204</v>
      </c>
      <c r="AT505" s="91"/>
      <c r="AU505" s="91"/>
      <c r="AV505" s="91"/>
      <c r="AW505" s="91"/>
      <c r="AX505" s="91"/>
      <c r="AY505" s="91"/>
      <c r="AZ505" s="91"/>
      <c r="BA505" s="91"/>
      <c r="BB505" s="91"/>
      <c r="BC505" s="92"/>
    </row>
    <row r="506" customFormat="false" ht="12" hidden="false" customHeight="true" outlineLevel="0" collapsed="false">
      <c r="B506" s="63"/>
      <c r="C506" s="93" t="s">
        <v>202</v>
      </c>
      <c r="D506" s="93"/>
      <c r="E506" s="93"/>
      <c r="F506" s="93"/>
      <c r="G506" s="93"/>
      <c r="H506" s="94"/>
      <c r="I506" s="93" t="s">
        <v>205</v>
      </c>
      <c r="J506" s="93"/>
      <c r="K506" s="93"/>
      <c r="L506" s="93"/>
      <c r="M506" s="93"/>
      <c r="N506" s="65"/>
      <c r="P506" s="63"/>
      <c r="Q506" s="93" t="s">
        <v>202</v>
      </c>
      <c r="R506" s="93"/>
      <c r="S506" s="93"/>
      <c r="T506" s="93"/>
      <c r="U506" s="93"/>
      <c r="V506" s="94"/>
      <c r="W506" s="93" t="s">
        <v>206</v>
      </c>
      <c r="X506" s="93"/>
      <c r="Y506" s="93"/>
      <c r="Z506" s="93"/>
      <c r="AA506" s="93"/>
      <c r="AB506" s="65"/>
      <c r="AD506" s="63"/>
      <c r="AE506" s="93" t="s">
        <v>202</v>
      </c>
      <c r="AF506" s="93"/>
      <c r="AG506" s="93"/>
      <c r="AH506" s="93"/>
      <c r="AI506" s="93"/>
      <c r="AJ506" s="94"/>
      <c r="AK506" s="93" t="s">
        <v>205</v>
      </c>
      <c r="AL506" s="93"/>
      <c r="AM506" s="93"/>
      <c r="AN506" s="93"/>
      <c r="AO506" s="93"/>
      <c r="AP506" s="65"/>
      <c r="AR506" s="63"/>
      <c r="AS506" s="93" t="s">
        <v>202</v>
      </c>
      <c r="AT506" s="93"/>
      <c r="AU506" s="93"/>
      <c r="AV506" s="93"/>
      <c r="AW506" s="93"/>
      <c r="AX506" s="93"/>
      <c r="AY506" s="93"/>
      <c r="AZ506" s="93"/>
      <c r="BA506" s="93"/>
      <c r="BB506" s="93"/>
      <c r="BC506" s="65"/>
    </row>
    <row r="507" customFormat="false" ht="25.5" hidden="false" customHeight="true" outlineLevel="0" collapsed="false">
      <c r="B507" s="63"/>
      <c r="C507" s="95" t="n">
        <f aca="false">SUMIFS(Data!$K$2:$K$32,Data!$A$2:$A$32,"&gt;="&amp;Cal!$H$4,Data!$A$2:$A$32,"&lt;="&amp;Cal!$I$4)</f>
        <v>0</v>
      </c>
      <c r="D507" s="95"/>
      <c r="E507" s="95"/>
      <c r="F507" s="95"/>
      <c r="G507" s="95"/>
      <c r="H507" s="94"/>
      <c r="I507" s="95" t="n">
        <f aca="false">COUNTIF(AW422:AW426,"O")</f>
        <v>0</v>
      </c>
      <c r="J507" s="95"/>
      <c r="K507" s="95"/>
      <c r="L507" s="95"/>
      <c r="M507" s="95"/>
      <c r="N507" s="65"/>
      <c r="P507" s="63"/>
      <c r="Q507" s="95" t="n">
        <f aca="false">SUMIFS(Data!$L$2:$L$32,Data!$A$2:$A$32,"&gt;="&amp;Cal!$H$4,Data!$A$2:$A$32,"&lt;="&amp;Cal!$I$4)</f>
        <v>0</v>
      </c>
      <c r="R507" s="95"/>
      <c r="S507" s="95"/>
      <c r="T507" s="95"/>
      <c r="U507" s="95"/>
      <c r="V507" s="94"/>
      <c r="W507" s="95" t="n">
        <f aca="false">COUNTIF(AC431:AC435,"&gt;0")</f>
        <v>0</v>
      </c>
      <c r="X507" s="95"/>
      <c r="Y507" s="95"/>
      <c r="Z507" s="95"/>
      <c r="AA507" s="95"/>
      <c r="AB507" s="65"/>
      <c r="AD507" s="63"/>
      <c r="AE507" s="95" t="n">
        <f aca="false">SUMIFS(Data!$M$2:$M$32,Data!$A$2:$A$32,"&gt;="&amp;Cal!$H$4,Data!$A$2:$A$32,"&lt;="&amp;Cal!$I$4)</f>
        <v>0</v>
      </c>
      <c r="AF507" s="95"/>
      <c r="AG507" s="95"/>
      <c r="AH507" s="95"/>
      <c r="AI507" s="95"/>
      <c r="AJ507" s="94"/>
      <c r="AK507" s="95" t="n">
        <f aca="false">COUNTIF(AV445:AV450,"O")</f>
        <v>0</v>
      </c>
      <c r="AL507" s="95"/>
      <c r="AM507" s="95"/>
      <c r="AN507" s="95"/>
      <c r="AO507" s="95"/>
      <c r="AP507" s="65"/>
      <c r="AR507" s="63"/>
      <c r="AS507" s="95" t="n">
        <f aca="false">SUMIFS(Data!$H$2:$H$32,Data!$A$2:$A$32,"&gt;="&amp;Cal!$H$4,Data!$A$2:$A$32,"&lt;="&amp;Cal!$I$4)</f>
        <v>0</v>
      </c>
      <c r="AT507" s="95"/>
      <c r="AU507" s="95"/>
      <c r="AV507" s="95"/>
      <c r="AW507" s="95"/>
      <c r="AX507" s="95"/>
      <c r="AY507" s="95"/>
      <c r="AZ507" s="95"/>
      <c r="BA507" s="95"/>
      <c r="BB507" s="95"/>
      <c r="BC507" s="65"/>
    </row>
    <row r="508" customFormat="false" ht="6" hidden="false" customHeight="true" outlineLevel="0" collapsed="false">
      <c r="B508" s="67"/>
      <c r="C508" s="68"/>
      <c r="D508" s="68"/>
      <c r="E508" s="68"/>
      <c r="F508" s="68"/>
      <c r="G508" s="68"/>
      <c r="H508" s="68"/>
      <c r="I508" s="68"/>
      <c r="J508" s="68"/>
      <c r="K508" s="68"/>
      <c r="L508" s="68"/>
      <c r="M508" s="68"/>
      <c r="N508" s="69"/>
      <c r="P508" s="67"/>
      <c r="Q508" s="68"/>
      <c r="R508" s="68"/>
      <c r="S508" s="68"/>
      <c r="T508" s="68"/>
      <c r="U508" s="68"/>
      <c r="V508" s="68"/>
      <c r="W508" s="68"/>
      <c r="X508" s="68"/>
      <c r="Y508" s="68"/>
      <c r="Z508" s="68"/>
      <c r="AA508" s="68"/>
      <c r="AB508" s="69"/>
      <c r="AD508" s="67"/>
      <c r="AE508" s="68"/>
      <c r="AF508" s="68"/>
      <c r="AG508" s="68"/>
      <c r="AH508" s="68"/>
      <c r="AI508" s="68"/>
      <c r="AJ508" s="68"/>
      <c r="AK508" s="68"/>
      <c r="AL508" s="68"/>
      <c r="AM508" s="68"/>
      <c r="AN508" s="68"/>
      <c r="AO508" s="68"/>
      <c r="AP508" s="69"/>
      <c r="AR508" s="67"/>
      <c r="AS508" s="68"/>
      <c r="AT508" s="68"/>
      <c r="AU508" s="68"/>
      <c r="AV508" s="68"/>
      <c r="AW508" s="68"/>
      <c r="AX508" s="68"/>
      <c r="AY508" s="68"/>
      <c r="AZ508" s="68"/>
      <c r="BA508" s="68"/>
      <c r="BB508" s="68"/>
      <c r="BC508" s="69"/>
    </row>
    <row r="509" customFormat="false" ht="7.5" hidden="false" customHeight="true" outlineLevel="0" collapsed="false"/>
    <row r="510" customFormat="false" ht="108" hidden="false" customHeight="true" outlineLevel="0" collapsed="false"/>
    <row r="511" customFormat="false" ht="6" hidden="false" customHeight="true" outlineLevel="0" collapsed="false"/>
    <row r="512" customFormat="false" ht="19.5" hidden="false" customHeight="true" outlineLevel="0" collapsed="false">
      <c r="B512" s="73" t="s">
        <v>107</v>
      </c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4" t="s">
        <v>108</v>
      </c>
      <c r="R512" s="74"/>
      <c r="S512" s="74"/>
      <c r="T512" s="74"/>
      <c r="U512" s="74"/>
      <c r="V512" s="74"/>
      <c r="W512" s="74"/>
      <c r="X512" s="74"/>
      <c r="Y512" s="74"/>
      <c r="Z512" s="74"/>
      <c r="AA512" s="74"/>
      <c r="AC512" s="73" t="s">
        <v>207</v>
      </c>
      <c r="AD512" s="73"/>
      <c r="AE512" s="73"/>
      <c r="AF512" s="73"/>
      <c r="AG512" s="73"/>
      <c r="AH512" s="73"/>
      <c r="AI512" s="73"/>
      <c r="AJ512" s="73"/>
      <c r="AK512" s="73"/>
      <c r="AL512" s="73"/>
      <c r="AM512" s="73"/>
      <c r="AN512" s="73"/>
      <c r="AO512" s="73"/>
      <c r="AP512" s="73"/>
      <c r="AQ512" s="73"/>
      <c r="AR512" s="73"/>
      <c r="AS512" s="74" t="s">
        <v>108</v>
      </c>
      <c r="AT512" s="74"/>
      <c r="AU512" s="74"/>
      <c r="AV512" s="74"/>
      <c r="AW512" s="74"/>
      <c r="AX512" s="74"/>
      <c r="AY512" s="74"/>
      <c r="AZ512" s="74"/>
      <c r="BA512" s="74"/>
      <c r="BB512" s="74"/>
      <c r="BC512" s="74"/>
    </row>
    <row r="513" customFormat="false" ht="18" hidden="false" customHeight="true" outlineLevel="0" collapsed="false">
      <c r="B513" s="75" t="s">
        <v>134</v>
      </c>
      <c r="C513" s="75"/>
      <c r="D513" s="75"/>
      <c r="E513" s="75"/>
      <c r="F513" s="75"/>
      <c r="G513" s="75"/>
      <c r="H513" s="75"/>
      <c r="I513" s="75"/>
      <c r="J513" s="75"/>
      <c r="K513" s="75"/>
      <c r="L513" s="75"/>
      <c r="M513" s="75"/>
      <c r="N513" s="75"/>
      <c r="O513" s="75"/>
      <c r="P513" s="75"/>
      <c r="Q513" s="75"/>
      <c r="R513" s="75"/>
      <c r="S513" s="75"/>
      <c r="T513" s="75"/>
      <c r="U513" s="75"/>
      <c r="V513" s="75"/>
      <c r="W513" s="75"/>
      <c r="X513" s="75"/>
      <c r="Y513" s="75"/>
      <c r="Z513" s="75"/>
      <c r="AA513" s="75"/>
      <c r="AB513" s="76" t="s">
        <v>208</v>
      </c>
      <c r="AC513" s="76"/>
      <c r="AD513" s="76"/>
      <c r="AE513" s="76"/>
      <c r="AF513" s="76"/>
      <c r="AG513" s="76"/>
      <c r="AH513" s="76"/>
      <c r="AI513" s="76"/>
      <c r="AJ513" s="76"/>
      <c r="AK513" s="76"/>
      <c r="AL513" s="76"/>
      <c r="AM513" s="76"/>
      <c r="AN513" s="76"/>
      <c r="AO513" s="76"/>
      <c r="AP513" s="76"/>
      <c r="AQ513" s="76"/>
      <c r="AR513" s="76"/>
      <c r="AS513" s="76"/>
      <c r="AT513" s="76"/>
      <c r="AU513" s="76"/>
      <c r="AV513" s="76"/>
      <c r="AW513" s="76"/>
      <c r="AX513" s="76"/>
      <c r="AY513" s="76"/>
      <c r="AZ513" s="76"/>
      <c r="BA513" s="76"/>
      <c r="BB513" s="76"/>
      <c r="BC513" s="76"/>
    </row>
    <row r="514" customFormat="false" ht="7.5" hidden="false" customHeight="true" outlineLevel="0" collapsed="false"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</row>
    <row r="515" customFormat="false" ht="19.5" hidden="false" customHeight="true" outlineLevel="0" collapsed="false">
      <c r="B515" s="1"/>
      <c r="C515" s="51" t="s">
        <v>114</v>
      </c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  <c r="AJ515" s="51"/>
      <c r="AK515" s="51"/>
      <c r="AL515" s="51"/>
      <c r="AM515" s="51"/>
      <c r="AN515" s="51"/>
      <c r="AO515" s="51"/>
      <c r="AP515" s="51"/>
      <c r="AQ515" s="51"/>
      <c r="AR515" s="1"/>
      <c r="AS515" s="1"/>
      <c r="AT515" s="1"/>
      <c r="AU515" s="52" t="s">
        <v>115</v>
      </c>
      <c r="AV515" s="52"/>
      <c r="AW515" s="52"/>
      <c r="AX515" s="52"/>
      <c r="AY515" s="52"/>
      <c r="AZ515" s="52"/>
      <c r="BA515" s="52"/>
      <c r="BB515" s="1"/>
      <c r="BC515" s="1"/>
    </row>
    <row r="516" customFormat="false" ht="30" hidden="false" customHeight="true" outlineLevel="0" collapsed="false">
      <c r="B516" s="1"/>
      <c r="C516" s="53" t="s">
        <v>116</v>
      </c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4" t="s">
        <v>117</v>
      </c>
      <c r="AS516" s="54"/>
      <c r="AT516" s="54"/>
      <c r="AU516" s="54"/>
      <c r="AV516" s="54"/>
      <c r="AW516" s="54"/>
      <c r="AX516" s="54"/>
      <c r="AY516" s="54"/>
      <c r="AZ516" s="54"/>
      <c r="BA516" s="54"/>
      <c r="BB516" s="1"/>
      <c r="BC516" s="1"/>
    </row>
    <row r="517" customFormat="false" ht="15.75" hidden="false" customHeight="true" outlineLevel="0" collapsed="false">
      <c r="B517" s="1"/>
      <c r="C517" s="55" t="s">
        <v>118</v>
      </c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</row>
    <row r="518" customFormat="false" ht="9.75" hidden="false" customHeight="true" outlineLevel="0" collapsed="false"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</row>
    <row r="519" customFormat="false" ht="3.75" hidden="false" customHeight="true" outlineLevel="0" collapsed="false"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  <c r="BC519" s="6"/>
    </row>
    <row r="520" customFormat="false" ht="7.5" hidden="false" customHeight="true" outlineLevel="0" collapsed="false"/>
    <row r="521" customFormat="false" ht="13.5" hidden="false" customHeight="true" outlineLevel="0" collapsed="false">
      <c r="B521" s="56" t="s">
        <v>83</v>
      </c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U521" s="56" t="s">
        <v>84</v>
      </c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G521" s="56" t="s">
        <v>119</v>
      </c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S521" s="56" t="s">
        <v>120</v>
      </c>
      <c r="AT521" s="56"/>
      <c r="AU521" s="56"/>
      <c r="AV521" s="56"/>
      <c r="AW521" s="56"/>
      <c r="AX521" s="56"/>
      <c r="AY521" s="56"/>
      <c r="AZ521" s="56"/>
      <c r="BA521" s="56"/>
      <c r="BB521" s="56"/>
      <c r="BC521" s="56"/>
    </row>
    <row r="522" customFormat="false" ht="21.75" hidden="false" customHeight="true" outlineLevel="0" collapsed="false">
      <c r="B522" s="57" t="str">
        <f aca="false">Dashboard!$C$6</f>
        <v>Bindhya TB</v>
      </c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U522" s="57" t="str">
        <f aca="false">Dashboard!$C$7</f>
        <v>Tourism &amp; Business</v>
      </c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G522" s="58" t="n">
        <f aca="false">Cal!H5</f>
        <v>46314</v>
      </c>
      <c r="AH522" s="58"/>
      <c r="AI522" s="58"/>
      <c r="AJ522" s="58"/>
      <c r="AK522" s="58"/>
      <c r="AL522" s="58"/>
      <c r="AM522" s="58"/>
      <c r="AN522" s="58"/>
      <c r="AO522" s="58"/>
      <c r="AP522" s="58"/>
      <c r="AQ522" s="58"/>
      <c r="AS522" s="58" t="n">
        <f aca="false">Cal!I5</f>
        <v>46319</v>
      </c>
      <c r="AT522" s="58"/>
      <c r="AU522" s="58"/>
      <c r="AV522" s="58"/>
      <c r="AW522" s="58"/>
      <c r="AX522" s="58"/>
      <c r="AY522" s="58"/>
      <c r="AZ522" s="58"/>
      <c r="BA522" s="58"/>
      <c r="BB522" s="58"/>
      <c r="BC522" s="58"/>
    </row>
    <row r="523" customFormat="false" ht="9.75" hidden="false" customHeight="true" outlineLevel="0" collapsed="false"/>
    <row r="524" customFormat="false" ht="18" hidden="false" customHeight="true" outlineLevel="0" collapsed="false">
      <c r="B524" s="6"/>
      <c r="C524" s="78" t="s">
        <v>121</v>
      </c>
      <c r="D524" s="78"/>
      <c r="E524" s="78"/>
      <c r="F524" s="78"/>
      <c r="G524" s="78"/>
      <c r="H524" s="78"/>
      <c r="I524" s="78"/>
      <c r="J524" s="78"/>
      <c r="K524" s="78"/>
      <c r="L524" s="78"/>
      <c r="M524" s="78"/>
      <c r="N524" s="78"/>
      <c r="O524" s="78"/>
      <c r="P524" s="78"/>
      <c r="Q524" s="78"/>
      <c r="R524" s="78"/>
      <c r="S524" s="78"/>
      <c r="T524" s="78"/>
      <c r="U524" s="78"/>
      <c r="V524" s="78"/>
      <c r="W524" s="78"/>
      <c r="X524" s="78"/>
      <c r="Y524" s="78"/>
      <c r="Z524" s="78"/>
      <c r="AA524" s="78"/>
      <c r="AB524" s="78"/>
      <c r="AC524" s="78"/>
      <c r="AD524" s="78"/>
      <c r="AE524" s="78"/>
      <c r="AF524" s="78"/>
      <c r="AG524" s="78"/>
      <c r="AH524" s="78"/>
      <c r="AI524" s="78"/>
      <c r="AJ524" s="78"/>
      <c r="AK524" s="78"/>
      <c r="AL524" s="78"/>
      <c r="AM524" s="78"/>
      <c r="AN524" s="78"/>
      <c r="AO524" s="78"/>
      <c r="AP524" s="78"/>
      <c r="AQ524" s="78"/>
      <c r="AR524" s="78"/>
      <c r="AS524" s="78"/>
      <c r="AT524" s="78"/>
      <c r="AU524" s="78"/>
      <c r="AV524" s="78"/>
      <c r="AW524" s="78"/>
      <c r="AX524" s="78"/>
      <c r="AY524" s="78"/>
      <c r="AZ524" s="78"/>
      <c r="BA524" s="78"/>
      <c r="BB524" s="78"/>
      <c r="BC524" s="78"/>
    </row>
    <row r="525" customFormat="false" ht="18" hidden="false" customHeight="true" outlineLevel="0" collapsed="false">
      <c r="B525" s="6"/>
      <c r="C525" s="78"/>
      <c r="D525" s="78"/>
      <c r="E525" s="78"/>
      <c r="F525" s="78"/>
      <c r="G525" s="78"/>
      <c r="H525" s="78"/>
      <c r="I525" s="78"/>
      <c r="J525" s="78"/>
      <c r="K525" s="78"/>
      <c r="L525" s="78"/>
      <c r="M525" s="78"/>
      <c r="N525" s="78"/>
      <c r="O525" s="78"/>
      <c r="P525" s="78"/>
      <c r="Q525" s="78"/>
      <c r="R525" s="78"/>
      <c r="S525" s="78"/>
      <c r="T525" s="78"/>
      <c r="U525" s="78"/>
      <c r="V525" s="78"/>
      <c r="W525" s="78"/>
      <c r="X525" s="78"/>
      <c r="Y525" s="78"/>
      <c r="Z525" s="78"/>
      <c r="AA525" s="78"/>
      <c r="AB525" s="78"/>
      <c r="AC525" s="78"/>
      <c r="AD525" s="78"/>
      <c r="AE525" s="78"/>
      <c r="AF525" s="78"/>
      <c r="AG525" s="78"/>
      <c r="AH525" s="78"/>
      <c r="AI525" s="78"/>
      <c r="AJ525" s="78"/>
      <c r="AK525" s="78"/>
      <c r="AL525" s="78"/>
      <c r="AM525" s="78"/>
      <c r="AN525" s="78"/>
      <c r="AO525" s="78"/>
      <c r="AP525" s="78"/>
      <c r="AQ525" s="78"/>
      <c r="AR525" s="78"/>
      <c r="AS525" s="78"/>
      <c r="AT525" s="78"/>
      <c r="AU525" s="78"/>
      <c r="AV525" s="78"/>
      <c r="AW525" s="78"/>
      <c r="AX525" s="78"/>
      <c r="AY525" s="78"/>
      <c r="AZ525" s="78"/>
      <c r="BA525" s="78"/>
      <c r="BB525" s="78"/>
      <c r="BC525" s="78"/>
    </row>
    <row r="526" customFormat="false" ht="9.75" hidden="false" customHeight="true" outlineLevel="0" collapsed="false"/>
    <row r="527" customFormat="false" ht="21.75" hidden="false" customHeight="true" outlineLevel="0" collapsed="false">
      <c r="B527" s="6"/>
      <c r="C527" s="19" t="s">
        <v>122</v>
      </c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59" t="s">
        <v>123</v>
      </c>
      <c r="AM527" s="59"/>
      <c r="AN527" s="59"/>
      <c r="AO527" s="59"/>
      <c r="AP527" s="59"/>
      <c r="AQ527" s="59"/>
      <c r="AR527" s="59"/>
      <c r="AS527" s="59"/>
      <c r="AT527" s="59"/>
      <c r="AU527" s="59"/>
      <c r="AV527" s="59"/>
      <c r="AW527" s="59"/>
      <c r="AX527" s="59"/>
      <c r="AY527" s="59"/>
      <c r="AZ527" s="59"/>
      <c r="BA527" s="59"/>
      <c r="BB527" s="59"/>
      <c r="BC527" s="59"/>
    </row>
    <row r="528" customFormat="false" ht="27.75" hidden="false" customHeight="true" outlineLevel="0" collapsed="false">
      <c r="B528" s="79" t="s">
        <v>124</v>
      </c>
      <c r="C528" s="79"/>
      <c r="D528" s="80" t="s">
        <v>125</v>
      </c>
      <c r="E528" s="80"/>
      <c r="F528" s="80"/>
      <c r="G528" s="80"/>
      <c r="H528" s="80" t="s">
        <v>126</v>
      </c>
      <c r="I528" s="80"/>
      <c r="J528" s="80"/>
      <c r="K528" s="80"/>
      <c r="L528" s="80"/>
      <c r="M528" s="80"/>
      <c r="N528" s="80"/>
      <c r="O528" s="80" t="s">
        <v>127</v>
      </c>
      <c r="P528" s="80"/>
      <c r="Q528" s="80"/>
      <c r="R528" s="80"/>
      <c r="S528" s="80"/>
      <c r="T528" s="80"/>
      <c r="U528" s="80"/>
      <c r="V528" s="80" t="s">
        <v>128</v>
      </c>
      <c r="W528" s="80"/>
      <c r="X528" s="80"/>
      <c r="Y528" s="80"/>
      <c r="Z528" s="80" t="s">
        <v>129</v>
      </c>
      <c r="AA528" s="80"/>
      <c r="AB528" s="80"/>
      <c r="AC528" s="80"/>
      <c r="AD528" s="80"/>
      <c r="AE528" s="80"/>
      <c r="AF528" s="80"/>
      <c r="AG528" s="80"/>
      <c r="AH528" s="80"/>
      <c r="AI528" s="80"/>
      <c r="AJ528" s="80"/>
      <c r="AK528" s="80"/>
      <c r="AL528" s="80"/>
      <c r="AM528" s="80"/>
      <c r="AN528" s="80"/>
      <c r="AO528" s="80"/>
      <c r="AP528" s="80"/>
      <c r="AQ528" s="80"/>
      <c r="AR528" s="80"/>
      <c r="AS528" s="80"/>
      <c r="AT528" s="80"/>
      <c r="AU528" s="80"/>
      <c r="AV528" s="80"/>
      <c r="AW528" s="80"/>
      <c r="AX528" s="80"/>
      <c r="AY528" s="80"/>
      <c r="AZ528" s="80"/>
      <c r="BA528" s="80"/>
      <c r="BB528" s="80"/>
      <c r="BC528" s="80"/>
    </row>
    <row r="529" customFormat="false" ht="24.75" hidden="false" customHeight="true" outlineLevel="0" collapsed="false">
      <c r="B529" s="81" t="n">
        <v>1</v>
      </c>
      <c r="C529" s="81"/>
      <c r="D529" s="82"/>
      <c r="E529" s="82"/>
      <c r="F529" s="82"/>
      <c r="G529" s="82"/>
      <c r="H529" s="83"/>
      <c r="I529" s="83"/>
      <c r="J529" s="83"/>
      <c r="K529" s="83"/>
      <c r="L529" s="83"/>
      <c r="M529" s="83"/>
      <c r="N529" s="83"/>
      <c r="O529" s="83"/>
      <c r="P529" s="83"/>
      <c r="Q529" s="83"/>
      <c r="R529" s="83"/>
      <c r="S529" s="83"/>
      <c r="T529" s="83"/>
      <c r="U529" s="83"/>
      <c r="V529" s="83"/>
      <c r="W529" s="83"/>
      <c r="X529" s="83"/>
      <c r="Y529" s="83"/>
      <c r="Z529" s="83"/>
      <c r="AA529" s="83"/>
      <c r="AB529" s="83"/>
      <c r="AC529" s="83"/>
      <c r="AD529" s="83"/>
      <c r="AE529" s="83"/>
      <c r="AF529" s="83"/>
      <c r="AG529" s="83"/>
      <c r="AH529" s="83"/>
      <c r="AI529" s="83"/>
      <c r="AJ529" s="83"/>
      <c r="AK529" s="83"/>
      <c r="AL529" s="83"/>
      <c r="AM529" s="83"/>
      <c r="AN529" s="83"/>
      <c r="AO529" s="83"/>
      <c r="AP529" s="83"/>
      <c r="AQ529" s="83"/>
      <c r="AR529" s="83"/>
      <c r="AS529" s="83"/>
      <c r="AT529" s="83"/>
      <c r="AU529" s="83"/>
      <c r="AV529" s="83"/>
      <c r="AW529" s="83"/>
      <c r="AX529" s="83"/>
      <c r="AY529" s="83"/>
      <c r="AZ529" s="83"/>
      <c r="BA529" s="83"/>
      <c r="BB529" s="83"/>
      <c r="BC529" s="83"/>
    </row>
    <row r="530" customFormat="false" ht="24.75" hidden="false" customHeight="true" outlineLevel="0" collapsed="false">
      <c r="B530" s="81" t="n">
        <v>2</v>
      </c>
      <c r="C530" s="81"/>
      <c r="D530" s="82"/>
      <c r="E530" s="82"/>
      <c r="F530" s="82"/>
      <c r="G530" s="82"/>
      <c r="H530" s="83"/>
      <c r="I530" s="83"/>
      <c r="J530" s="83"/>
      <c r="K530" s="83"/>
      <c r="L530" s="83"/>
      <c r="M530" s="83"/>
      <c r="N530" s="83"/>
      <c r="O530" s="83"/>
      <c r="P530" s="83"/>
      <c r="Q530" s="83"/>
      <c r="R530" s="83"/>
      <c r="S530" s="83"/>
      <c r="T530" s="83"/>
      <c r="U530" s="83"/>
      <c r="V530" s="83"/>
      <c r="W530" s="83"/>
      <c r="X530" s="83"/>
      <c r="Y530" s="83"/>
      <c r="Z530" s="83"/>
      <c r="AA530" s="83"/>
      <c r="AB530" s="83"/>
      <c r="AC530" s="83"/>
      <c r="AD530" s="83"/>
      <c r="AE530" s="83"/>
      <c r="AF530" s="83"/>
      <c r="AG530" s="83"/>
      <c r="AH530" s="83"/>
      <c r="AI530" s="83"/>
      <c r="AJ530" s="83"/>
      <c r="AK530" s="83"/>
      <c r="AL530" s="83"/>
      <c r="AM530" s="83"/>
      <c r="AN530" s="83"/>
      <c r="AO530" s="83"/>
      <c r="AP530" s="83"/>
      <c r="AQ530" s="83"/>
      <c r="AR530" s="83"/>
      <c r="AS530" s="83"/>
      <c r="AT530" s="83"/>
      <c r="AU530" s="83"/>
      <c r="AV530" s="83"/>
      <c r="AW530" s="83"/>
      <c r="AX530" s="83"/>
      <c r="AY530" s="83"/>
      <c r="AZ530" s="83"/>
      <c r="BA530" s="83"/>
      <c r="BB530" s="83"/>
      <c r="BC530" s="83"/>
    </row>
    <row r="531" customFormat="false" ht="24.75" hidden="false" customHeight="true" outlineLevel="0" collapsed="false">
      <c r="B531" s="81" t="n">
        <v>3</v>
      </c>
      <c r="C531" s="81"/>
      <c r="D531" s="82"/>
      <c r="E531" s="82"/>
      <c r="F531" s="82"/>
      <c r="G531" s="82"/>
      <c r="H531" s="83"/>
      <c r="I531" s="83"/>
      <c r="J531" s="83"/>
      <c r="K531" s="83"/>
      <c r="L531" s="83"/>
      <c r="M531" s="83"/>
      <c r="N531" s="83"/>
      <c r="O531" s="83"/>
      <c r="P531" s="83"/>
      <c r="Q531" s="83"/>
      <c r="R531" s="83"/>
      <c r="S531" s="83"/>
      <c r="T531" s="83"/>
      <c r="U531" s="83"/>
      <c r="V531" s="83"/>
      <c r="W531" s="83"/>
      <c r="X531" s="83"/>
      <c r="Y531" s="83"/>
      <c r="Z531" s="83"/>
      <c r="AA531" s="83"/>
      <c r="AB531" s="83"/>
      <c r="AC531" s="83"/>
      <c r="AD531" s="83"/>
      <c r="AE531" s="83"/>
      <c r="AF531" s="83"/>
      <c r="AG531" s="83"/>
      <c r="AH531" s="83"/>
      <c r="AI531" s="83"/>
      <c r="AJ531" s="83"/>
      <c r="AK531" s="83"/>
      <c r="AL531" s="83"/>
      <c r="AM531" s="83"/>
      <c r="AN531" s="83"/>
      <c r="AO531" s="83"/>
      <c r="AP531" s="83"/>
      <c r="AQ531" s="83"/>
      <c r="AR531" s="83"/>
      <c r="AS531" s="83"/>
      <c r="AT531" s="83"/>
      <c r="AU531" s="83"/>
      <c r="AV531" s="83"/>
      <c r="AW531" s="83"/>
      <c r="AX531" s="83"/>
      <c r="AY531" s="83"/>
      <c r="AZ531" s="83"/>
      <c r="BA531" s="83"/>
      <c r="BB531" s="83"/>
      <c r="BC531" s="83"/>
    </row>
    <row r="532" customFormat="false" ht="24.75" hidden="false" customHeight="true" outlineLevel="0" collapsed="false">
      <c r="B532" s="81" t="n">
        <v>4</v>
      </c>
      <c r="C532" s="81"/>
      <c r="D532" s="82"/>
      <c r="E532" s="82"/>
      <c r="F532" s="82"/>
      <c r="G532" s="82"/>
      <c r="H532" s="83"/>
      <c r="I532" s="83"/>
      <c r="J532" s="83"/>
      <c r="K532" s="83"/>
      <c r="L532" s="83"/>
      <c r="M532" s="83"/>
      <c r="N532" s="83"/>
      <c r="O532" s="83"/>
      <c r="P532" s="83"/>
      <c r="Q532" s="83"/>
      <c r="R532" s="83"/>
      <c r="S532" s="83"/>
      <c r="T532" s="83"/>
      <c r="U532" s="83"/>
      <c r="V532" s="83"/>
      <c r="W532" s="83"/>
      <c r="X532" s="83"/>
      <c r="Y532" s="83"/>
      <c r="Z532" s="83"/>
      <c r="AA532" s="83"/>
      <c r="AB532" s="83"/>
      <c r="AC532" s="83"/>
      <c r="AD532" s="83"/>
      <c r="AE532" s="83"/>
      <c r="AF532" s="83"/>
      <c r="AG532" s="83"/>
      <c r="AH532" s="83"/>
      <c r="AI532" s="83"/>
      <c r="AJ532" s="83"/>
      <c r="AK532" s="83"/>
      <c r="AL532" s="83"/>
      <c r="AM532" s="83"/>
      <c r="AN532" s="83"/>
      <c r="AO532" s="83"/>
      <c r="AP532" s="83"/>
      <c r="AQ532" s="83"/>
      <c r="AR532" s="83"/>
      <c r="AS532" s="83"/>
      <c r="AT532" s="83"/>
      <c r="AU532" s="83"/>
      <c r="AV532" s="83"/>
      <c r="AW532" s="83"/>
      <c r="AX532" s="83"/>
      <c r="AY532" s="83"/>
      <c r="AZ532" s="83"/>
      <c r="BA532" s="83"/>
      <c r="BB532" s="83"/>
      <c r="BC532" s="83"/>
    </row>
    <row r="533" customFormat="false" ht="24.75" hidden="false" customHeight="true" outlineLevel="0" collapsed="false">
      <c r="B533" s="81" t="n">
        <v>5</v>
      </c>
      <c r="C533" s="81"/>
      <c r="D533" s="82"/>
      <c r="E533" s="82"/>
      <c r="F533" s="82"/>
      <c r="G533" s="82"/>
      <c r="H533" s="83"/>
      <c r="I533" s="83"/>
      <c r="J533" s="83"/>
      <c r="K533" s="83"/>
      <c r="L533" s="83"/>
      <c r="M533" s="83"/>
      <c r="N533" s="83"/>
      <c r="O533" s="83"/>
      <c r="P533" s="83"/>
      <c r="Q533" s="83"/>
      <c r="R533" s="83"/>
      <c r="S533" s="83"/>
      <c r="T533" s="83"/>
      <c r="U533" s="83"/>
      <c r="V533" s="83"/>
      <c r="W533" s="83"/>
      <c r="X533" s="83"/>
      <c r="Y533" s="83"/>
      <c r="Z533" s="83"/>
      <c r="AA533" s="83"/>
      <c r="AB533" s="83"/>
      <c r="AC533" s="83"/>
      <c r="AD533" s="83"/>
      <c r="AE533" s="83"/>
      <c r="AF533" s="83"/>
      <c r="AG533" s="83"/>
      <c r="AH533" s="83"/>
      <c r="AI533" s="83"/>
      <c r="AJ533" s="83"/>
      <c r="AK533" s="83"/>
      <c r="AL533" s="83"/>
      <c r="AM533" s="83"/>
      <c r="AN533" s="83"/>
      <c r="AO533" s="83"/>
      <c r="AP533" s="83"/>
      <c r="AQ533" s="83"/>
      <c r="AR533" s="83"/>
      <c r="AS533" s="83"/>
      <c r="AT533" s="83"/>
      <c r="AU533" s="83"/>
      <c r="AV533" s="83"/>
      <c r="AW533" s="83"/>
      <c r="AX533" s="83"/>
      <c r="AY533" s="83"/>
      <c r="AZ533" s="83"/>
      <c r="BA533" s="83"/>
      <c r="BB533" s="83"/>
      <c r="BC533" s="83"/>
    </row>
    <row r="534" customFormat="false" ht="24.75" hidden="false" customHeight="true" outlineLevel="0" collapsed="false">
      <c r="B534" s="81" t="n">
        <v>6</v>
      </c>
      <c r="C534" s="81"/>
      <c r="D534" s="82"/>
      <c r="E534" s="82"/>
      <c r="F534" s="82"/>
      <c r="G534" s="82"/>
      <c r="H534" s="83"/>
      <c r="I534" s="83"/>
      <c r="J534" s="83"/>
      <c r="K534" s="83"/>
      <c r="L534" s="83"/>
      <c r="M534" s="83"/>
      <c r="N534" s="83"/>
      <c r="O534" s="83"/>
      <c r="P534" s="83"/>
      <c r="Q534" s="83"/>
      <c r="R534" s="83"/>
      <c r="S534" s="83"/>
      <c r="T534" s="83"/>
      <c r="U534" s="83"/>
      <c r="V534" s="83"/>
      <c r="W534" s="83"/>
      <c r="X534" s="83"/>
      <c r="Y534" s="83"/>
      <c r="Z534" s="83"/>
      <c r="AA534" s="83"/>
      <c r="AB534" s="83"/>
      <c r="AC534" s="83"/>
      <c r="AD534" s="83"/>
      <c r="AE534" s="83"/>
      <c r="AF534" s="83"/>
      <c r="AG534" s="83"/>
      <c r="AH534" s="83"/>
      <c r="AI534" s="83"/>
      <c r="AJ534" s="83"/>
      <c r="AK534" s="83"/>
      <c r="AL534" s="83"/>
      <c r="AM534" s="83"/>
      <c r="AN534" s="83"/>
      <c r="AO534" s="83"/>
      <c r="AP534" s="83"/>
      <c r="AQ534" s="83"/>
      <c r="AR534" s="83"/>
      <c r="AS534" s="83"/>
      <c r="AT534" s="83"/>
      <c r="AU534" s="83"/>
      <c r="AV534" s="83"/>
      <c r="AW534" s="83"/>
      <c r="AX534" s="83"/>
      <c r="AY534" s="83"/>
      <c r="AZ534" s="83"/>
      <c r="BA534" s="83"/>
      <c r="BB534" s="83"/>
      <c r="BC534" s="83"/>
    </row>
    <row r="535" customFormat="false" ht="24.75" hidden="false" customHeight="true" outlineLevel="0" collapsed="false">
      <c r="B535" s="81" t="n">
        <v>7</v>
      </c>
      <c r="C535" s="81"/>
      <c r="D535" s="82"/>
      <c r="E535" s="82"/>
      <c r="F535" s="82"/>
      <c r="G535" s="82"/>
      <c r="H535" s="83"/>
      <c r="I535" s="83"/>
      <c r="J535" s="83"/>
      <c r="K535" s="83"/>
      <c r="L535" s="83"/>
      <c r="M535" s="83"/>
      <c r="N535" s="83"/>
      <c r="O535" s="83"/>
      <c r="P535" s="83"/>
      <c r="Q535" s="83"/>
      <c r="R535" s="83"/>
      <c r="S535" s="83"/>
      <c r="T535" s="83"/>
      <c r="U535" s="83"/>
      <c r="V535" s="83"/>
      <c r="W535" s="83"/>
      <c r="X535" s="83"/>
      <c r="Y535" s="83"/>
      <c r="Z535" s="83"/>
      <c r="AA535" s="83"/>
      <c r="AB535" s="83"/>
      <c r="AC535" s="83"/>
      <c r="AD535" s="83"/>
      <c r="AE535" s="83"/>
      <c r="AF535" s="83"/>
      <c r="AG535" s="83"/>
      <c r="AH535" s="83"/>
      <c r="AI535" s="83"/>
      <c r="AJ535" s="83"/>
      <c r="AK535" s="83"/>
      <c r="AL535" s="83"/>
      <c r="AM535" s="83"/>
      <c r="AN535" s="83"/>
      <c r="AO535" s="83"/>
      <c r="AP535" s="83"/>
      <c r="AQ535" s="83"/>
      <c r="AR535" s="83"/>
      <c r="AS535" s="83"/>
      <c r="AT535" s="83"/>
      <c r="AU535" s="83"/>
      <c r="AV535" s="83"/>
      <c r="AW535" s="83"/>
      <c r="AX535" s="83"/>
      <c r="AY535" s="83"/>
      <c r="AZ535" s="83"/>
      <c r="BA535" s="83"/>
      <c r="BB535" s="83"/>
      <c r="BC535" s="83"/>
    </row>
    <row r="536" customFormat="false" ht="24.75" hidden="false" customHeight="true" outlineLevel="0" collapsed="false">
      <c r="B536" s="81" t="n">
        <v>8</v>
      </c>
      <c r="C536" s="81"/>
      <c r="D536" s="82"/>
      <c r="E536" s="82"/>
      <c r="F536" s="82"/>
      <c r="G536" s="82"/>
      <c r="H536" s="83"/>
      <c r="I536" s="83"/>
      <c r="J536" s="83"/>
      <c r="K536" s="83"/>
      <c r="L536" s="83"/>
      <c r="M536" s="83"/>
      <c r="N536" s="83"/>
      <c r="O536" s="83"/>
      <c r="P536" s="83"/>
      <c r="Q536" s="83"/>
      <c r="R536" s="83"/>
      <c r="S536" s="83"/>
      <c r="T536" s="83"/>
      <c r="U536" s="83"/>
      <c r="V536" s="83"/>
      <c r="W536" s="83"/>
      <c r="X536" s="83"/>
      <c r="Y536" s="83"/>
      <c r="Z536" s="83"/>
      <c r="AA536" s="83"/>
      <c r="AB536" s="83"/>
      <c r="AC536" s="83"/>
      <c r="AD536" s="83"/>
      <c r="AE536" s="83"/>
      <c r="AF536" s="83"/>
      <c r="AG536" s="83"/>
      <c r="AH536" s="83"/>
      <c r="AI536" s="83"/>
      <c r="AJ536" s="83"/>
      <c r="AK536" s="83"/>
      <c r="AL536" s="83"/>
      <c r="AM536" s="83"/>
      <c r="AN536" s="83"/>
      <c r="AO536" s="83"/>
      <c r="AP536" s="83"/>
      <c r="AQ536" s="83"/>
      <c r="AR536" s="83"/>
      <c r="AS536" s="83"/>
      <c r="AT536" s="83"/>
      <c r="AU536" s="83"/>
      <c r="AV536" s="83"/>
      <c r="AW536" s="83"/>
      <c r="AX536" s="83"/>
      <c r="AY536" s="83"/>
      <c r="AZ536" s="83"/>
      <c r="BA536" s="83"/>
      <c r="BB536" s="83"/>
      <c r="BC536" s="83"/>
    </row>
    <row r="537" customFormat="false" ht="24.75" hidden="false" customHeight="true" outlineLevel="0" collapsed="false">
      <c r="B537" s="81" t="n">
        <v>9</v>
      </c>
      <c r="C537" s="81"/>
      <c r="D537" s="82"/>
      <c r="E537" s="82"/>
      <c r="F537" s="82"/>
      <c r="G537" s="82"/>
      <c r="H537" s="83"/>
      <c r="I537" s="83"/>
      <c r="J537" s="83"/>
      <c r="K537" s="83"/>
      <c r="L537" s="83"/>
      <c r="M537" s="83"/>
      <c r="N537" s="83"/>
      <c r="O537" s="83"/>
      <c r="P537" s="83"/>
      <c r="Q537" s="83"/>
      <c r="R537" s="83"/>
      <c r="S537" s="83"/>
      <c r="T537" s="83"/>
      <c r="U537" s="83"/>
      <c r="V537" s="83"/>
      <c r="W537" s="83"/>
      <c r="X537" s="83"/>
      <c r="Y537" s="83"/>
      <c r="Z537" s="83"/>
      <c r="AA537" s="83"/>
      <c r="AB537" s="83"/>
      <c r="AC537" s="83"/>
      <c r="AD537" s="83"/>
      <c r="AE537" s="83"/>
      <c r="AF537" s="83"/>
      <c r="AG537" s="83"/>
      <c r="AH537" s="83"/>
      <c r="AI537" s="83"/>
      <c r="AJ537" s="83"/>
      <c r="AK537" s="83"/>
      <c r="AL537" s="83"/>
      <c r="AM537" s="83"/>
      <c r="AN537" s="83"/>
      <c r="AO537" s="83"/>
      <c r="AP537" s="83"/>
      <c r="AQ537" s="83"/>
      <c r="AR537" s="83"/>
      <c r="AS537" s="83"/>
      <c r="AT537" s="83"/>
      <c r="AU537" s="83"/>
      <c r="AV537" s="83"/>
      <c r="AW537" s="83"/>
      <c r="AX537" s="83"/>
      <c r="AY537" s="83"/>
      <c r="AZ537" s="83"/>
      <c r="BA537" s="83"/>
      <c r="BB537" s="83"/>
      <c r="BC537" s="83"/>
    </row>
    <row r="538" customFormat="false" ht="24.75" hidden="false" customHeight="true" outlineLevel="0" collapsed="false">
      <c r="B538" s="81" t="n">
        <v>10</v>
      </c>
      <c r="C538" s="81"/>
      <c r="D538" s="82"/>
      <c r="E538" s="82"/>
      <c r="F538" s="82"/>
      <c r="G538" s="82"/>
      <c r="H538" s="83"/>
      <c r="I538" s="83"/>
      <c r="J538" s="83"/>
      <c r="K538" s="83"/>
      <c r="L538" s="83"/>
      <c r="M538" s="83"/>
      <c r="N538" s="83"/>
      <c r="O538" s="83"/>
      <c r="P538" s="83"/>
      <c r="Q538" s="83"/>
      <c r="R538" s="83"/>
      <c r="S538" s="83"/>
      <c r="T538" s="83"/>
      <c r="U538" s="83"/>
      <c r="V538" s="83"/>
      <c r="W538" s="83"/>
      <c r="X538" s="83"/>
      <c r="Y538" s="83"/>
      <c r="Z538" s="83"/>
      <c r="AA538" s="83"/>
      <c r="AB538" s="83"/>
      <c r="AC538" s="83"/>
      <c r="AD538" s="83"/>
      <c r="AE538" s="83"/>
      <c r="AF538" s="83"/>
      <c r="AG538" s="83"/>
      <c r="AH538" s="83"/>
      <c r="AI538" s="83"/>
      <c r="AJ538" s="83"/>
      <c r="AK538" s="83"/>
      <c r="AL538" s="83"/>
      <c r="AM538" s="83"/>
      <c r="AN538" s="83"/>
      <c r="AO538" s="83"/>
      <c r="AP538" s="83"/>
      <c r="AQ538" s="83"/>
      <c r="AR538" s="83"/>
      <c r="AS538" s="83"/>
      <c r="AT538" s="83"/>
      <c r="AU538" s="83"/>
      <c r="AV538" s="83"/>
      <c r="AW538" s="83"/>
      <c r="AX538" s="83"/>
      <c r="AY538" s="83"/>
      <c r="AZ538" s="83"/>
      <c r="BA538" s="83"/>
      <c r="BB538" s="83"/>
      <c r="BC538" s="83"/>
    </row>
    <row r="539" customFormat="false" ht="24.75" hidden="false" customHeight="true" outlineLevel="0" collapsed="false">
      <c r="B539" s="81" t="n">
        <v>11</v>
      </c>
      <c r="C539" s="81"/>
      <c r="D539" s="82"/>
      <c r="E539" s="82"/>
      <c r="F539" s="82"/>
      <c r="G539" s="82"/>
      <c r="H539" s="83"/>
      <c r="I539" s="83"/>
      <c r="J539" s="83"/>
      <c r="K539" s="83"/>
      <c r="L539" s="83"/>
      <c r="M539" s="83"/>
      <c r="N539" s="83"/>
      <c r="O539" s="83"/>
      <c r="P539" s="83"/>
      <c r="Q539" s="83"/>
      <c r="R539" s="83"/>
      <c r="S539" s="83"/>
      <c r="T539" s="83"/>
      <c r="U539" s="83"/>
      <c r="V539" s="83"/>
      <c r="W539" s="83"/>
      <c r="X539" s="83"/>
      <c r="Y539" s="83"/>
      <c r="Z539" s="83"/>
      <c r="AA539" s="83"/>
      <c r="AB539" s="83"/>
      <c r="AC539" s="83"/>
      <c r="AD539" s="83"/>
      <c r="AE539" s="83"/>
      <c r="AF539" s="83"/>
      <c r="AG539" s="83"/>
      <c r="AH539" s="83"/>
      <c r="AI539" s="83"/>
      <c r="AJ539" s="83"/>
      <c r="AK539" s="83"/>
      <c r="AL539" s="83"/>
      <c r="AM539" s="83"/>
      <c r="AN539" s="83"/>
      <c r="AO539" s="83"/>
      <c r="AP539" s="83"/>
      <c r="AQ539" s="83"/>
      <c r="AR539" s="83"/>
      <c r="AS539" s="83"/>
      <c r="AT539" s="83"/>
      <c r="AU539" s="83"/>
      <c r="AV539" s="83"/>
      <c r="AW539" s="83"/>
      <c r="AX539" s="83"/>
      <c r="AY539" s="83"/>
      <c r="AZ539" s="83"/>
      <c r="BA539" s="83"/>
      <c r="BB539" s="83"/>
      <c r="BC539" s="83"/>
    </row>
    <row r="540" customFormat="false" ht="24" hidden="false" customHeight="true" outlineLevel="0" collapsed="false">
      <c r="B540" s="84" t="s">
        <v>132</v>
      </c>
      <c r="C540" s="84"/>
      <c r="E540" s="85" t="s">
        <v>133</v>
      </c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  <c r="AE540" s="85"/>
      <c r="AF540" s="85"/>
      <c r="AG540" s="85"/>
      <c r="AH540" s="85"/>
      <c r="AI540" s="85"/>
      <c r="AJ540" s="85"/>
      <c r="AK540" s="85"/>
      <c r="AL540" s="85"/>
      <c r="AM540" s="85"/>
      <c r="AN540" s="85"/>
      <c r="AO540" s="85"/>
      <c r="AP540" s="85"/>
      <c r="AQ540" s="85"/>
      <c r="AR540" s="85"/>
      <c r="AS540" s="85"/>
      <c r="AT540" s="85"/>
      <c r="AU540" s="85"/>
      <c r="AV540" s="85"/>
      <c r="AW540" s="85"/>
      <c r="AX540" s="85"/>
      <c r="AY540" s="85"/>
      <c r="AZ540" s="85"/>
      <c r="BA540" s="85"/>
      <c r="BB540" s="85"/>
      <c r="BC540" s="85"/>
    </row>
    <row r="541" customFormat="false" ht="30" hidden="false" customHeight="true" outlineLevel="0" collapsed="false"/>
    <row r="542" customFormat="false" ht="18" hidden="false" customHeight="true" outlineLevel="0" collapsed="false">
      <c r="B542" s="75" t="s">
        <v>134</v>
      </c>
      <c r="C542" s="75"/>
      <c r="D542" s="75"/>
      <c r="E542" s="75"/>
      <c r="F542" s="75"/>
      <c r="G542" s="75"/>
      <c r="H542" s="75"/>
      <c r="I542" s="75"/>
      <c r="J542" s="75"/>
      <c r="K542" s="75"/>
      <c r="L542" s="75"/>
      <c r="M542" s="75"/>
      <c r="N542" s="75"/>
      <c r="O542" s="75"/>
      <c r="P542" s="75"/>
      <c r="Q542" s="75"/>
      <c r="R542" s="75"/>
      <c r="S542" s="75"/>
      <c r="T542" s="75"/>
      <c r="U542" s="75"/>
      <c r="V542" s="75"/>
      <c r="W542" s="75"/>
      <c r="X542" s="75"/>
      <c r="Y542" s="75"/>
      <c r="Z542" s="75"/>
      <c r="AA542" s="75"/>
      <c r="AB542" s="76" t="s">
        <v>135</v>
      </c>
      <c r="AC542" s="76"/>
      <c r="AD542" s="76"/>
      <c r="AE542" s="76"/>
      <c r="AF542" s="76"/>
      <c r="AG542" s="76"/>
      <c r="AH542" s="76"/>
      <c r="AI542" s="76"/>
      <c r="AJ542" s="76"/>
      <c r="AK542" s="76"/>
      <c r="AL542" s="76"/>
      <c r="AM542" s="76"/>
      <c r="AN542" s="76"/>
      <c r="AO542" s="76"/>
      <c r="AP542" s="76"/>
      <c r="AQ542" s="76"/>
      <c r="AR542" s="76"/>
      <c r="AS542" s="76"/>
      <c r="AT542" s="76"/>
      <c r="AU542" s="76"/>
      <c r="AV542" s="76"/>
      <c r="AW542" s="76"/>
      <c r="AX542" s="76"/>
      <c r="AY542" s="76"/>
      <c r="AZ542" s="76"/>
      <c r="BA542" s="76"/>
      <c r="BB542" s="76"/>
      <c r="BC542" s="76"/>
    </row>
    <row r="543" customFormat="false" ht="7.5" hidden="false" customHeight="true" outlineLevel="0" collapsed="false"/>
    <row r="544" customFormat="false" ht="24" hidden="false" customHeight="true" outlineLevel="0" collapsed="false">
      <c r="B544" s="86" t="s">
        <v>115</v>
      </c>
      <c r="C544" s="86"/>
      <c r="D544" s="86"/>
      <c r="E544" s="86"/>
      <c r="F544" s="86"/>
      <c r="H544" s="87" t="s">
        <v>116</v>
      </c>
      <c r="I544" s="87"/>
      <c r="J544" s="87"/>
      <c r="K544" s="87"/>
      <c r="L544" s="87"/>
      <c r="M544" s="87"/>
      <c r="N544" s="87"/>
      <c r="O544" s="87"/>
      <c r="P544" s="87"/>
      <c r="AA544" s="88" t="s">
        <v>136</v>
      </c>
      <c r="AB544" s="88"/>
      <c r="AC544" s="88"/>
      <c r="AD544" s="88"/>
      <c r="AE544" s="88"/>
      <c r="AF544" s="89" t="str">
        <f aca="false">Dashboard!$C$6</f>
        <v>Bindhya TB</v>
      </c>
      <c r="AG544" s="89"/>
      <c r="AH544" s="89"/>
      <c r="AI544" s="89"/>
      <c r="AJ544" s="89"/>
      <c r="AK544" s="89"/>
      <c r="AL544" s="89"/>
      <c r="AM544" s="89"/>
      <c r="AN544" s="89"/>
      <c r="AO544" s="89"/>
      <c r="AP544" s="89"/>
      <c r="AR544" s="88" t="s">
        <v>137</v>
      </c>
      <c r="AS544" s="88"/>
      <c r="AT544" s="89" t="str">
        <f aca="false">TEXT(Cal!H5,"dd mmm")&amp;" to "&amp;TEXT(Cal!I5,"dd mmm yy")</f>
        <v>19 Oct to 24 Oct 26</v>
      </c>
      <c r="AU544" s="89"/>
      <c r="AV544" s="89"/>
      <c r="AW544" s="89"/>
      <c r="AX544" s="89"/>
      <c r="AY544" s="89"/>
      <c r="AZ544" s="89"/>
      <c r="BA544" s="89"/>
      <c r="BB544" s="89"/>
      <c r="BC544" s="89"/>
    </row>
    <row r="545" customFormat="false" ht="3" hidden="false" customHeight="true" outlineLevel="0" collapsed="false"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</row>
    <row r="546" customFormat="false" ht="9.75" hidden="false" customHeight="true" outlineLevel="0" collapsed="false"/>
    <row r="547" customFormat="false" ht="21.75" hidden="false" customHeight="true" outlineLevel="0" collapsed="false">
      <c r="B547" s="6"/>
      <c r="C547" s="19" t="s">
        <v>138</v>
      </c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59" t="s">
        <v>139</v>
      </c>
      <c r="AM547" s="59"/>
      <c r="AN547" s="59"/>
      <c r="AO547" s="59"/>
      <c r="AP547" s="59"/>
      <c r="AQ547" s="59"/>
      <c r="AR547" s="59"/>
      <c r="AS547" s="59"/>
      <c r="AT547" s="59"/>
      <c r="AU547" s="59"/>
      <c r="AV547" s="59"/>
      <c r="AW547" s="59"/>
      <c r="AX547" s="59"/>
      <c r="AY547" s="59"/>
      <c r="AZ547" s="59"/>
      <c r="BA547" s="59"/>
      <c r="BB547" s="59"/>
      <c r="BC547" s="59"/>
    </row>
    <row r="548" customFormat="false" ht="27.75" hidden="false" customHeight="true" outlineLevel="0" collapsed="false">
      <c r="B548" s="79" t="s">
        <v>124</v>
      </c>
      <c r="C548" s="79"/>
      <c r="D548" s="80" t="s">
        <v>140</v>
      </c>
      <c r="E548" s="80"/>
      <c r="F548" s="80"/>
      <c r="G548" s="80"/>
      <c r="H548" s="80" t="s">
        <v>126</v>
      </c>
      <c r="I548" s="80"/>
      <c r="J548" s="80"/>
      <c r="K548" s="80"/>
      <c r="L548" s="80"/>
      <c r="M548" s="80"/>
      <c r="N548" s="80"/>
      <c r="O548" s="80"/>
      <c r="P548" s="80" t="s">
        <v>141</v>
      </c>
      <c r="Q548" s="80"/>
      <c r="R548" s="80"/>
      <c r="S548" s="80"/>
      <c r="T548" s="80" t="s">
        <v>142</v>
      </c>
      <c r="U548" s="80"/>
      <c r="V548" s="80"/>
      <c r="W548" s="80"/>
      <c r="X548" s="80"/>
      <c r="Y548" s="80"/>
      <c r="Z548" s="80"/>
      <c r="AA548" s="80"/>
      <c r="AB548" s="80"/>
      <c r="AC548" s="80"/>
      <c r="AD548" s="80"/>
      <c r="AE548" s="80"/>
      <c r="AF548" s="80"/>
      <c r="AG548" s="80"/>
      <c r="AH548" s="80"/>
      <c r="AI548" s="80"/>
      <c r="AJ548" s="80"/>
      <c r="AK548" s="80"/>
      <c r="AL548" s="80"/>
      <c r="AM548" s="80"/>
      <c r="AN548" s="80" t="s">
        <v>143</v>
      </c>
      <c r="AO548" s="80"/>
      <c r="AP548" s="80"/>
      <c r="AQ548" s="80"/>
      <c r="AR548" s="80"/>
      <c r="AS548" s="80"/>
      <c r="AT548" s="80"/>
      <c r="AU548" s="80"/>
      <c r="AV548" s="80"/>
      <c r="AW548" s="80"/>
      <c r="AX548" s="80"/>
      <c r="AY548" s="80"/>
      <c r="AZ548" s="80"/>
      <c r="BA548" s="80"/>
      <c r="BB548" s="80"/>
      <c r="BC548" s="80"/>
    </row>
    <row r="549" customFormat="false" ht="27.75" hidden="false" customHeight="true" outlineLevel="0" collapsed="false">
      <c r="B549" s="81" t="n">
        <v>1</v>
      </c>
      <c r="C549" s="81"/>
      <c r="D549" s="82"/>
      <c r="E549" s="82"/>
      <c r="F549" s="82"/>
      <c r="G549" s="82"/>
      <c r="H549" s="83"/>
      <c r="I549" s="83"/>
      <c r="J549" s="83"/>
      <c r="K549" s="83"/>
      <c r="L549" s="83"/>
      <c r="M549" s="83"/>
      <c r="N549" s="83"/>
      <c r="O549" s="83"/>
      <c r="P549" s="83"/>
      <c r="Q549" s="83"/>
      <c r="R549" s="83"/>
      <c r="S549" s="83"/>
      <c r="T549" s="83"/>
      <c r="U549" s="83"/>
      <c r="V549" s="83"/>
      <c r="W549" s="83"/>
      <c r="X549" s="83"/>
      <c r="Y549" s="83"/>
      <c r="Z549" s="83"/>
      <c r="AA549" s="83"/>
      <c r="AB549" s="83"/>
      <c r="AC549" s="83"/>
      <c r="AD549" s="83"/>
      <c r="AE549" s="83"/>
      <c r="AF549" s="83"/>
      <c r="AG549" s="83"/>
      <c r="AH549" s="83"/>
      <c r="AI549" s="83"/>
      <c r="AJ549" s="83"/>
      <c r="AK549" s="83"/>
      <c r="AL549" s="83"/>
      <c r="AM549" s="83"/>
      <c r="AN549" s="83"/>
      <c r="AO549" s="83"/>
      <c r="AP549" s="83"/>
      <c r="AQ549" s="83"/>
      <c r="AR549" s="83"/>
      <c r="AS549" s="83"/>
      <c r="AT549" s="83"/>
      <c r="AU549" s="83"/>
      <c r="AV549" s="83"/>
      <c r="AW549" s="83"/>
      <c r="AX549" s="83"/>
      <c r="AY549" s="83"/>
      <c r="AZ549" s="83"/>
      <c r="BA549" s="83"/>
      <c r="BB549" s="83"/>
      <c r="BC549" s="83"/>
    </row>
    <row r="550" customFormat="false" ht="27.75" hidden="false" customHeight="true" outlineLevel="0" collapsed="false">
      <c r="B550" s="81" t="n">
        <v>2</v>
      </c>
      <c r="C550" s="81"/>
      <c r="D550" s="82"/>
      <c r="E550" s="82"/>
      <c r="F550" s="82"/>
      <c r="G550" s="82"/>
      <c r="H550" s="83"/>
      <c r="I550" s="83"/>
      <c r="J550" s="83"/>
      <c r="K550" s="83"/>
      <c r="L550" s="83"/>
      <c r="M550" s="83"/>
      <c r="N550" s="83"/>
      <c r="O550" s="83"/>
      <c r="P550" s="83"/>
      <c r="Q550" s="83"/>
      <c r="R550" s="83"/>
      <c r="S550" s="83"/>
      <c r="T550" s="83"/>
      <c r="U550" s="83"/>
      <c r="V550" s="83"/>
      <c r="W550" s="83"/>
      <c r="X550" s="83"/>
      <c r="Y550" s="83"/>
      <c r="Z550" s="83"/>
      <c r="AA550" s="83"/>
      <c r="AB550" s="83"/>
      <c r="AC550" s="83"/>
      <c r="AD550" s="83"/>
      <c r="AE550" s="83"/>
      <c r="AF550" s="83"/>
      <c r="AG550" s="83"/>
      <c r="AH550" s="83"/>
      <c r="AI550" s="83"/>
      <c r="AJ550" s="83"/>
      <c r="AK550" s="83"/>
      <c r="AL550" s="83"/>
      <c r="AM550" s="83"/>
      <c r="AN550" s="83"/>
      <c r="AO550" s="83"/>
      <c r="AP550" s="83"/>
      <c r="AQ550" s="83"/>
      <c r="AR550" s="83"/>
      <c r="AS550" s="83"/>
      <c r="AT550" s="83"/>
      <c r="AU550" s="83"/>
      <c r="AV550" s="83"/>
      <c r="AW550" s="83"/>
      <c r="AX550" s="83"/>
      <c r="AY550" s="83"/>
      <c r="AZ550" s="83"/>
      <c r="BA550" s="83"/>
      <c r="BB550" s="83"/>
      <c r="BC550" s="83"/>
    </row>
    <row r="551" customFormat="false" ht="27.75" hidden="false" customHeight="true" outlineLevel="0" collapsed="false">
      <c r="B551" s="81" t="n">
        <v>3</v>
      </c>
      <c r="C551" s="81"/>
      <c r="D551" s="82"/>
      <c r="E551" s="82"/>
      <c r="F551" s="82"/>
      <c r="G551" s="82"/>
      <c r="H551" s="83"/>
      <c r="I551" s="83"/>
      <c r="J551" s="83"/>
      <c r="K551" s="83"/>
      <c r="L551" s="83"/>
      <c r="M551" s="83"/>
      <c r="N551" s="83"/>
      <c r="O551" s="83"/>
      <c r="P551" s="83"/>
      <c r="Q551" s="83"/>
      <c r="R551" s="83"/>
      <c r="S551" s="83"/>
      <c r="T551" s="83"/>
      <c r="U551" s="83"/>
      <c r="V551" s="83"/>
      <c r="W551" s="83"/>
      <c r="X551" s="83"/>
      <c r="Y551" s="83"/>
      <c r="Z551" s="83"/>
      <c r="AA551" s="83"/>
      <c r="AB551" s="83"/>
      <c r="AC551" s="83"/>
      <c r="AD551" s="83"/>
      <c r="AE551" s="83"/>
      <c r="AF551" s="83"/>
      <c r="AG551" s="83"/>
      <c r="AH551" s="83"/>
      <c r="AI551" s="83"/>
      <c r="AJ551" s="83"/>
      <c r="AK551" s="83"/>
      <c r="AL551" s="83"/>
      <c r="AM551" s="83"/>
      <c r="AN551" s="83"/>
      <c r="AO551" s="83"/>
      <c r="AP551" s="83"/>
      <c r="AQ551" s="83"/>
      <c r="AR551" s="83"/>
      <c r="AS551" s="83"/>
      <c r="AT551" s="83"/>
      <c r="AU551" s="83"/>
      <c r="AV551" s="83"/>
      <c r="AW551" s="83"/>
      <c r="AX551" s="83"/>
      <c r="AY551" s="83"/>
      <c r="AZ551" s="83"/>
      <c r="BA551" s="83"/>
      <c r="BB551" s="83"/>
      <c r="BC551" s="83"/>
    </row>
    <row r="552" customFormat="false" ht="27.75" hidden="false" customHeight="true" outlineLevel="0" collapsed="false">
      <c r="B552" s="81" t="n">
        <v>4</v>
      </c>
      <c r="C552" s="81"/>
      <c r="D552" s="82"/>
      <c r="E552" s="82"/>
      <c r="F552" s="82"/>
      <c r="G552" s="82"/>
      <c r="H552" s="83"/>
      <c r="I552" s="83"/>
      <c r="J552" s="83"/>
      <c r="K552" s="83"/>
      <c r="L552" s="83"/>
      <c r="M552" s="83"/>
      <c r="N552" s="83"/>
      <c r="O552" s="83"/>
      <c r="P552" s="83"/>
      <c r="Q552" s="83"/>
      <c r="R552" s="83"/>
      <c r="S552" s="83"/>
      <c r="T552" s="83"/>
      <c r="U552" s="83"/>
      <c r="V552" s="83"/>
      <c r="W552" s="83"/>
      <c r="X552" s="83"/>
      <c r="Y552" s="83"/>
      <c r="Z552" s="83"/>
      <c r="AA552" s="83"/>
      <c r="AB552" s="83"/>
      <c r="AC552" s="83"/>
      <c r="AD552" s="83"/>
      <c r="AE552" s="83"/>
      <c r="AF552" s="83"/>
      <c r="AG552" s="83"/>
      <c r="AH552" s="83"/>
      <c r="AI552" s="83"/>
      <c r="AJ552" s="83"/>
      <c r="AK552" s="83"/>
      <c r="AL552" s="83"/>
      <c r="AM552" s="83"/>
      <c r="AN552" s="83"/>
      <c r="AO552" s="83"/>
      <c r="AP552" s="83"/>
      <c r="AQ552" s="83"/>
      <c r="AR552" s="83"/>
      <c r="AS552" s="83"/>
      <c r="AT552" s="83"/>
      <c r="AU552" s="83"/>
      <c r="AV552" s="83"/>
      <c r="AW552" s="83"/>
      <c r="AX552" s="83"/>
      <c r="AY552" s="83"/>
      <c r="AZ552" s="83"/>
      <c r="BA552" s="83"/>
      <c r="BB552" s="83"/>
      <c r="BC552" s="83"/>
    </row>
    <row r="553" customFormat="false" ht="27.75" hidden="false" customHeight="true" outlineLevel="0" collapsed="false">
      <c r="B553" s="81" t="n">
        <v>5</v>
      </c>
      <c r="C553" s="81"/>
      <c r="D553" s="82"/>
      <c r="E553" s="82"/>
      <c r="F553" s="82"/>
      <c r="G553" s="82"/>
      <c r="H553" s="83"/>
      <c r="I553" s="83"/>
      <c r="J553" s="83"/>
      <c r="K553" s="83"/>
      <c r="L553" s="83"/>
      <c r="M553" s="83"/>
      <c r="N553" s="83"/>
      <c r="O553" s="83"/>
      <c r="P553" s="83"/>
      <c r="Q553" s="83"/>
      <c r="R553" s="83"/>
      <c r="S553" s="83"/>
      <c r="T553" s="83"/>
      <c r="U553" s="83"/>
      <c r="V553" s="83"/>
      <c r="W553" s="83"/>
      <c r="X553" s="83"/>
      <c r="Y553" s="83"/>
      <c r="Z553" s="83"/>
      <c r="AA553" s="83"/>
      <c r="AB553" s="83"/>
      <c r="AC553" s="83"/>
      <c r="AD553" s="83"/>
      <c r="AE553" s="83"/>
      <c r="AF553" s="83"/>
      <c r="AG553" s="83"/>
      <c r="AH553" s="83"/>
      <c r="AI553" s="83"/>
      <c r="AJ553" s="83"/>
      <c r="AK553" s="83"/>
      <c r="AL553" s="83"/>
      <c r="AM553" s="83"/>
      <c r="AN553" s="83"/>
      <c r="AO553" s="83"/>
      <c r="AP553" s="83"/>
      <c r="AQ553" s="83"/>
      <c r="AR553" s="83"/>
      <c r="AS553" s="83"/>
      <c r="AT553" s="83"/>
      <c r="AU553" s="83"/>
      <c r="AV553" s="83"/>
      <c r="AW553" s="83"/>
      <c r="AX553" s="83"/>
      <c r="AY553" s="83"/>
      <c r="AZ553" s="83"/>
      <c r="BA553" s="83"/>
      <c r="BB553" s="83"/>
      <c r="BC553" s="83"/>
    </row>
    <row r="554" customFormat="false" ht="27.75" hidden="false" customHeight="true" outlineLevel="0" collapsed="false">
      <c r="B554" s="81" t="n">
        <v>6</v>
      </c>
      <c r="C554" s="81"/>
      <c r="D554" s="82"/>
      <c r="E554" s="82"/>
      <c r="F554" s="82"/>
      <c r="G554" s="82"/>
      <c r="H554" s="83"/>
      <c r="I554" s="83"/>
      <c r="J554" s="83"/>
      <c r="K554" s="83"/>
      <c r="L554" s="83"/>
      <c r="M554" s="83"/>
      <c r="N554" s="83"/>
      <c r="O554" s="83"/>
      <c r="P554" s="83"/>
      <c r="Q554" s="83"/>
      <c r="R554" s="83"/>
      <c r="S554" s="83"/>
      <c r="T554" s="83"/>
      <c r="U554" s="83"/>
      <c r="V554" s="83"/>
      <c r="W554" s="83"/>
      <c r="X554" s="83"/>
      <c r="Y554" s="83"/>
      <c r="Z554" s="83"/>
      <c r="AA554" s="83"/>
      <c r="AB554" s="83"/>
      <c r="AC554" s="83"/>
      <c r="AD554" s="83"/>
      <c r="AE554" s="83"/>
      <c r="AF554" s="83"/>
      <c r="AG554" s="83"/>
      <c r="AH554" s="83"/>
      <c r="AI554" s="83"/>
      <c r="AJ554" s="83"/>
      <c r="AK554" s="83"/>
      <c r="AL554" s="83"/>
      <c r="AM554" s="83"/>
      <c r="AN554" s="83"/>
      <c r="AO554" s="83"/>
      <c r="AP554" s="83"/>
      <c r="AQ554" s="83"/>
      <c r="AR554" s="83"/>
      <c r="AS554" s="83"/>
      <c r="AT554" s="83"/>
      <c r="AU554" s="83"/>
      <c r="AV554" s="83"/>
      <c r="AW554" s="83"/>
      <c r="AX554" s="83"/>
      <c r="AY554" s="83"/>
      <c r="AZ554" s="83"/>
      <c r="BA554" s="83"/>
      <c r="BB554" s="83"/>
      <c r="BC554" s="83"/>
    </row>
    <row r="555" customFormat="false" ht="27.75" hidden="false" customHeight="true" outlineLevel="0" collapsed="false">
      <c r="B555" s="81" t="n">
        <v>7</v>
      </c>
      <c r="C555" s="81"/>
      <c r="D555" s="82"/>
      <c r="E555" s="82"/>
      <c r="F555" s="82"/>
      <c r="G555" s="82"/>
      <c r="H555" s="83"/>
      <c r="I555" s="83"/>
      <c r="J555" s="83"/>
      <c r="K555" s="83"/>
      <c r="L555" s="83"/>
      <c r="M555" s="83"/>
      <c r="N555" s="83"/>
      <c r="O555" s="83"/>
      <c r="P555" s="83"/>
      <c r="Q555" s="83"/>
      <c r="R555" s="83"/>
      <c r="S555" s="83"/>
      <c r="T555" s="83"/>
      <c r="U555" s="83"/>
      <c r="V555" s="83"/>
      <c r="W555" s="83"/>
      <c r="X555" s="83"/>
      <c r="Y555" s="83"/>
      <c r="Z555" s="83"/>
      <c r="AA555" s="83"/>
      <c r="AB555" s="83"/>
      <c r="AC555" s="83"/>
      <c r="AD555" s="83"/>
      <c r="AE555" s="83"/>
      <c r="AF555" s="83"/>
      <c r="AG555" s="83"/>
      <c r="AH555" s="83"/>
      <c r="AI555" s="83"/>
      <c r="AJ555" s="83"/>
      <c r="AK555" s="83"/>
      <c r="AL555" s="83"/>
      <c r="AM555" s="83"/>
      <c r="AN555" s="83"/>
      <c r="AO555" s="83"/>
      <c r="AP555" s="83"/>
      <c r="AQ555" s="83"/>
      <c r="AR555" s="83"/>
      <c r="AS555" s="83"/>
      <c r="AT555" s="83"/>
      <c r="AU555" s="83"/>
      <c r="AV555" s="83"/>
      <c r="AW555" s="83"/>
      <c r="AX555" s="83"/>
      <c r="AY555" s="83"/>
      <c r="AZ555" s="83"/>
      <c r="BA555" s="83"/>
      <c r="BB555" s="83"/>
      <c r="BC555" s="83"/>
    </row>
    <row r="556" customFormat="false" ht="27.75" hidden="false" customHeight="true" outlineLevel="0" collapsed="false">
      <c r="B556" s="81" t="n">
        <v>8</v>
      </c>
      <c r="C556" s="81"/>
      <c r="D556" s="82"/>
      <c r="E556" s="82"/>
      <c r="F556" s="82"/>
      <c r="G556" s="82"/>
      <c r="H556" s="83"/>
      <c r="I556" s="83"/>
      <c r="J556" s="83"/>
      <c r="K556" s="83"/>
      <c r="L556" s="83"/>
      <c r="M556" s="83"/>
      <c r="N556" s="83"/>
      <c r="O556" s="83"/>
      <c r="P556" s="83"/>
      <c r="Q556" s="83"/>
      <c r="R556" s="83"/>
      <c r="S556" s="83"/>
      <c r="T556" s="83"/>
      <c r="U556" s="83"/>
      <c r="V556" s="83"/>
      <c r="W556" s="83"/>
      <c r="X556" s="83"/>
      <c r="Y556" s="83"/>
      <c r="Z556" s="83"/>
      <c r="AA556" s="83"/>
      <c r="AB556" s="83"/>
      <c r="AC556" s="83"/>
      <c r="AD556" s="83"/>
      <c r="AE556" s="83"/>
      <c r="AF556" s="83"/>
      <c r="AG556" s="83"/>
      <c r="AH556" s="83"/>
      <c r="AI556" s="83"/>
      <c r="AJ556" s="83"/>
      <c r="AK556" s="83"/>
      <c r="AL556" s="83"/>
      <c r="AM556" s="83"/>
      <c r="AN556" s="83"/>
      <c r="AO556" s="83"/>
      <c r="AP556" s="83"/>
      <c r="AQ556" s="83"/>
      <c r="AR556" s="83"/>
      <c r="AS556" s="83"/>
      <c r="AT556" s="83"/>
      <c r="AU556" s="83"/>
      <c r="AV556" s="83"/>
      <c r="AW556" s="83"/>
      <c r="AX556" s="83"/>
      <c r="AY556" s="83"/>
      <c r="AZ556" s="83"/>
      <c r="BA556" s="83"/>
      <c r="BB556" s="83"/>
      <c r="BC556" s="83"/>
    </row>
    <row r="557" customFormat="false" ht="27.75" hidden="false" customHeight="true" outlineLevel="0" collapsed="false">
      <c r="B557" s="81" t="n">
        <v>9</v>
      </c>
      <c r="C557" s="81"/>
      <c r="D557" s="82"/>
      <c r="E557" s="82"/>
      <c r="F557" s="82"/>
      <c r="G557" s="82"/>
      <c r="H557" s="83"/>
      <c r="I557" s="83"/>
      <c r="J557" s="83"/>
      <c r="K557" s="83"/>
      <c r="L557" s="83"/>
      <c r="M557" s="83"/>
      <c r="N557" s="83"/>
      <c r="O557" s="83"/>
      <c r="P557" s="83"/>
      <c r="Q557" s="83"/>
      <c r="R557" s="83"/>
      <c r="S557" s="83"/>
      <c r="T557" s="83"/>
      <c r="U557" s="83"/>
      <c r="V557" s="83"/>
      <c r="W557" s="83"/>
      <c r="X557" s="83"/>
      <c r="Y557" s="83"/>
      <c r="Z557" s="83"/>
      <c r="AA557" s="83"/>
      <c r="AB557" s="83"/>
      <c r="AC557" s="83"/>
      <c r="AD557" s="83"/>
      <c r="AE557" s="83"/>
      <c r="AF557" s="83"/>
      <c r="AG557" s="83"/>
      <c r="AH557" s="83"/>
      <c r="AI557" s="83"/>
      <c r="AJ557" s="83"/>
      <c r="AK557" s="83"/>
      <c r="AL557" s="83"/>
      <c r="AM557" s="83"/>
      <c r="AN557" s="83"/>
      <c r="AO557" s="83"/>
      <c r="AP557" s="83"/>
      <c r="AQ557" s="83"/>
      <c r="AR557" s="83"/>
      <c r="AS557" s="83"/>
      <c r="AT557" s="83"/>
      <c r="AU557" s="83"/>
      <c r="AV557" s="83"/>
      <c r="AW557" s="83"/>
      <c r="AX557" s="83"/>
      <c r="AY557" s="83"/>
      <c r="AZ557" s="83"/>
      <c r="BA557" s="83"/>
      <c r="BB557" s="83"/>
      <c r="BC557" s="83"/>
    </row>
    <row r="558" customFormat="false" ht="27.75" hidden="false" customHeight="true" outlineLevel="0" collapsed="false">
      <c r="B558" s="81" t="n">
        <v>10</v>
      </c>
      <c r="C558" s="81"/>
      <c r="D558" s="82"/>
      <c r="E558" s="82"/>
      <c r="F558" s="82"/>
      <c r="G558" s="82"/>
      <c r="H558" s="83"/>
      <c r="I558" s="83"/>
      <c r="J558" s="83"/>
      <c r="K558" s="83"/>
      <c r="L558" s="83"/>
      <c r="M558" s="83"/>
      <c r="N558" s="83"/>
      <c r="O558" s="83"/>
      <c r="P558" s="83"/>
      <c r="Q558" s="83"/>
      <c r="R558" s="83"/>
      <c r="S558" s="83"/>
      <c r="T558" s="83"/>
      <c r="U558" s="83"/>
      <c r="V558" s="83"/>
      <c r="W558" s="83"/>
      <c r="X558" s="83"/>
      <c r="Y558" s="83"/>
      <c r="Z558" s="83"/>
      <c r="AA558" s="83"/>
      <c r="AB558" s="83"/>
      <c r="AC558" s="83"/>
      <c r="AD558" s="83"/>
      <c r="AE558" s="83"/>
      <c r="AF558" s="83"/>
      <c r="AG558" s="83"/>
      <c r="AH558" s="83"/>
      <c r="AI558" s="83"/>
      <c r="AJ558" s="83"/>
      <c r="AK558" s="83"/>
      <c r="AL558" s="83"/>
      <c r="AM558" s="83"/>
      <c r="AN558" s="83"/>
      <c r="AO558" s="83"/>
      <c r="AP558" s="83"/>
      <c r="AQ558" s="83"/>
      <c r="AR558" s="83"/>
      <c r="AS558" s="83"/>
      <c r="AT558" s="83"/>
      <c r="AU558" s="83"/>
      <c r="AV558" s="83"/>
      <c r="AW558" s="83"/>
      <c r="AX558" s="83"/>
      <c r="AY558" s="83"/>
      <c r="AZ558" s="83"/>
      <c r="BA558" s="83"/>
      <c r="BB558" s="83"/>
      <c r="BC558" s="83"/>
    </row>
    <row r="559" customFormat="false" ht="27.75" hidden="false" customHeight="true" outlineLevel="0" collapsed="false">
      <c r="B559" s="81" t="n">
        <v>11</v>
      </c>
      <c r="C559" s="81"/>
      <c r="D559" s="82"/>
      <c r="E559" s="82"/>
      <c r="F559" s="82"/>
      <c r="G559" s="82"/>
      <c r="H559" s="83"/>
      <c r="I559" s="83"/>
      <c r="J559" s="83"/>
      <c r="K559" s="83"/>
      <c r="L559" s="83"/>
      <c r="M559" s="83"/>
      <c r="N559" s="83"/>
      <c r="O559" s="83"/>
      <c r="P559" s="83"/>
      <c r="Q559" s="83"/>
      <c r="R559" s="83"/>
      <c r="S559" s="83"/>
      <c r="T559" s="83"/>
      <c r="U559" s="83"/>
      <c r="V559" s="83"/>
      <c r="W559" s="83"/>
      <c r="X559" s="83"/>
      <c r="Y559" s="83"/>
      <c r="Z559" s="83"/>
      <c r="AA559" s="83"/>
      <c r="AB559" s="83"/>
      <c r="AC559" s="83"/>
      <c r="AD559" s="83"/>
      <c r="AE559" s="83"/>
      <c r="AF559" s="83"/>
      <c r="AG559" s="83"/>
      <c r="AH559" s="83"/>
      <c r="AI559" s="83"/>
      <c r="AJ559" s="83"/>
      <c r="AK559" s="83"/>
      <c r="AL559" s="83"/>
      <c r="AM559" s="83"/>
      <c r="AN559" s="83"/>
      <c r="AO559" s="83"/>
      <c r="AP559" s="83"/>
      <c r="AQ559" s="83"/>
      <c r="AR559" s="83"/>
      <c r="AS559" s="83"/>
      <c r="AT559" s="83"/>
      <c r="AU559" s="83"/>
      <c r="AV559" s="83"/>
      <c r="AW559" s="83"/>
      <c r="AX559" s="83"/>
      <c r="AY559" s="83"/>
      <c r="AZ559" s="83"/>
      <c r="BA559" s="83"/>
      <c r="BB559" s="83"/>
      <c r="BC559" s="83"/>
    </row>
    <row r="560" customFormat="false" ht="24" hidden="false" customHeight="true" outlineLevel="0" collapsed="false">
      <c r="B560" s="84" t="s">
        <v>132</v>
      </c>
      <c r="C560" s="84"/>
      <c r="E560" s="85" t="s">
        <v>144</v>
      </c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  <c r="AE560" s="85"/>
      <c r="AF560" s="85"/>
      <c r="AG560" s="85"/>
      <c r="AH560" s="85"/>
      <c r="AI560" s="85"/>
      <c r="AJ560" s="85"/>
      <c r="AK560" s="85"/>
      <c r="AL560" s="85"/>
      <c r="AM560" s="85"/>
      <c r="AN560" s="85"/>
      <c r="AO560" s="85"/>
      <c r="AP560" s="85"/>
      <c r="AQ560" s="85"/>
      <c r="AR560" s="85"/>
      <c r="AS560" s="85"/>
      <c r="AT560" s="85"/>
      <c r="AU560" s="85"/>
      <c r="AV560" s="85"/>
      <c r="AW560" s="85"/>
      <c r="AX560" s="85"/>
      <c r="AY560" s="85"/>
      <c r="AZ560" s="85"/>
      <c r="BA560" s="85"/>
      <c r="BB560" s="85"/>
      <c r="BC560" s="85"/>
    </row>
    <row r="561" customFormat="false" ht="139.5" hidden="false" customHeight="true" outlineLevel="0" collapsed="false"/>
    <row r="562" customFormat="false" ht="18" hidden="false" customHeight="true" outlineLevel="0" collapsed="false">
      <c r="B562" s="75" t="s">
        <v>134</v>
      </c>
      <c r="C562" s="75"/>
      <c r="D562" s="75"/>
      <c r="E562" s="75"/>
      <c r="F562" s="75"/>
      <c r="G562" s="75"/>
      <c r="H562" s="75"/>
      <c r="I562" s="75"/>
      <c r="J562" s="75"/>
      <c r="K562" s="75"/>
      <c r="L562" s="75"/>
      <c r="M562" s="75"/>
      <c r="N562" s="75"/>
      <c r="O562" s="75"/>
      <c r="P562" s="75"/>
      <c r="Q562" s="75"/>
      <c r="R562" s="75"/>
      <c r="S562" s="75"/>
      <c r="T562" s="75"/>
      <c r="U562" s="75"/>
      <c r="V562" s="75"/>
      <c r="W562" s="75"/>
      <c r="X562" s="75"/>
      <c r="Y562" s="75"/>
      <c r="Z562" s="75"/>
      <c r="AA562" s="75"/>
      <c r="AB562" s="76" t="s">
        <v>145</v>
      </c>
      <c r="AC562" s="76"/>
      <c r="AD562" s="76"/>
      <c r="AE562" s="76"/>
      <c r="AF562" s="76"/>
      <c r="AG562" s="76"/>
      <c r="AH562" s="76"/>
      <c r="AI562" s="76"/>
      <c r="AJ562" s="76"/>
      <c r="AK562" s="76"/>
      <c r="AL562" s="76"/>
      <c r="AM562" s="76"/>
      <c r="AN562" s="76"/>
      <c r="AO562" s="76"/>
      <c r="AP562" s="76"/>
      <c r="AQ562" s="76"/>
      <c r="AR562" s="76"/>
      <c r="AS562" s="76"/>
      <c r="AT562" s="76"/>
      <c r="AU562" s="76"/>
      <c r="AV562" s="76"/>
      <c r="AW562" s="76"/>
      <c r="AX562" s="76"/>
      <c r="AY562" s="76"/>
      <c r="AZ562" s="76"/>
      <c r="BA562" s="76"/>
      <c r="BB562" s="76"/>
      <c r="BC562" s="76"/>
    </row>
    <row r="563" customFormat="false" ht="7.5" hidden="false" customHeight="true" outlineLevel="0" collapsed="false"/>
    <row r="564" customFormat="false" ht="24" hidden="false" customHeight="true" outlineLevel="0" collapsed="false">
      <c r="B564" s="86" t="s">
        <v>115</v>
      </c>
      <c r="C564" s="86"/>
      <c r="D564" s="86"/>
      <c r="E564" s="86"/>
      <c r="F564" s="86"/>
      <c r="H564" s="87" t="s">
        <v>116</v>
      </c>
      <c r="I564" s="87"/>
      <c r="J564" s="87"/>
      <c r="K564" s="87"/>
      <c r="L564" s="87"/>
      <c r="M564" s="87"/>
      <c r="N564" s="87"/>
      <c r="O564" s="87"/>
      <c r="P564" s="87"/>
      <c r="AA564" s="88" t="s">
        <v>136</v>
      </c>
      <c r="AB564" s="88"/>
      <c r="AC564" s="88"/>
      <c r="AD564" s="88"/>
      <c r="AE564" s="88"/>
      <c r="AF564" s="89" t="str">
        <f aca="false">Dashboard!$C$6</f>
        <v>Bindhya TB</v>
      </c>
      <c r="AG564" s="89"/>
      <c r="AH564" s="89"/>
      <c r="AI564" s="89"/>
      <c r="AJ564" s="89"/>
      <c r="AK564" s="89"/>
      <c r="AL564" s="89"/>
      <c r="AM564" s="89"/>
      <c r="AN564" s="89"/>
      <c r="AO564" s="89"/>
      <c r="AP564" s="89"/>
      <c r="AR564" s="88" t="s">
        <v>137</v>
      </c>
      <c r="AS564" s="88"/>
      <c r="AT564" s="89" t="str">
        <f aca="false">TEXT(Cal!H5,"dd mmm")&amp;" to "&amp;TEXT(Cal!I5,"dd mmm yy")</f>
        <v>19 Oct to 24 Oct 26</v>
      </c>
      <c r="AU564" s="89"/>
      <c r="AV564" s="89"/>
      <c r="AW564" s="89"/>
      <c r="AX564" s="89"/>
      <c r="AY564" s="89"/>
      <c r="AZ564" s="89"/>
      <c r="BA564" s="89"/>
      <c r="BB564" s="89"/>
      <c r="BC564" s="89"/>
    </row>
    <row r="565" customFormat="false" ht="3" hidden="false" customHeight="true" outlineLevel="0" collapsed="false"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</row>
    <row r="566" customFormat="false" ht="9.75" hidden="false" customHeight="true" outlineLevel="0" collapsed="false"/>
    <row r="567" customFormat="false" ht="21.75" hidden="false" customHeight="true" outlineLevel="0" collapsed="false">
      <c r="B567" s="6"/>
      <c r="C567" s="19" t="s">
        <v>146</v>
      </c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59" t="s">
        <v>147</v>
      </c>
      <c r="AM567" s="59"/>
      <c r="AN567" s="59"/>
      <c r="AO567" s="59"/>
      <c r="AP567" s="59"/>
      <c r="AQ567" s="59"/>
      <c r="AR567" s="59"/>
      <c r="AS567" s="59"/>
      <c r="AT567" s="59"/>
      <c r="AU567" s="59"/>
      <c r="AV567" s="59"/>
      <c r="AW567" s="59"/>
      <c r="AX567" s="59"/>
      <c r="AY567" s="59"/>
      <c r="AZ567" s="59"/>
      <c r="BA567" s="59"/>
      <c r="BB567" s="59"/>
      <c r="BC567" s="59"/>
    </row>
    <row r="568" customFormat="false" ht="27.75" hidden="false" customHeight="true" outlineLevel="0" collapsed="false">
      <c r="B568" s="79" t="s">
        <v>124</v>
      </c>
      <c r="C568" s="79"/>
      <c r="D568" s="80" t="s">
        <v>140</v>
      </c>
      <c r="E568" s="80"/>
      <c r="F568" s="80"/>
      <c r="G568" s="80"/>
      <c r="H568" s="80" t="s">
        <v>127</v>
      </c>
      <c r="I568" s="80"/>
      <c r="J568" s="80"/>
      <c r="K568" s="80"/>
      <c r="L568" s="80"/>
      <c r="M568" s="80"/>
      <c r="N568" s="80"/>
      <c r="O568" s="80"/>
      <c r="P568" s="80" t="s">
        <v>126</v>
      </c>
      <c r="Q568" s="80"/>
      <c r="R568" s="80"/>
      <c r="S568" s="80"/>
      <c r="T568" s="80"/>
      <c r="U568" s="80"/>
      <c r="V568" s="80"/>
      <c r="W568" s="80" t="s">
        <v>148</v>
      </c>
      <c r="X568" s="80"/>
      <c r="Y568" s="80"/>
      <c r="Z568" s="80"/>
      <c r="AA568" s="80"/>
      <c r="AB568" s="80"/>
      <c r="AC568" s="80" t="s">
        <v>149</v>
      </c>
      <c r="AD568" s="80"/>
      <c r="AE568" s="80"/>
      <c r="AF568" s="80"/>
      <c r="AG568" s="80" t="s">
        <v>150</v>
      </c>
      <c r="AH568" s="80"/>
      <c r="AI568" s="80"/>
      <c r="AJ568" s="80"/>
      <c r="AK568" s="80"/>
      <c r="AL568" s="80"/>
      <c r="AM568" s="80"/>
      <c r="AN568" s="80"/>
      <c r="AO568" s="80"/>
      <c r="AP568" s="80"/>
      <c r="AQ568" s="80"/>
      <c r="AR568" s="80"/>
      <c r="AS568" s="80"/>
      <c r="AT568" s="80"/>
      <c r="AU568" s="80"/>
      <c r="AV568" s="80"/>
      <c r="AW568" s="80"/>
      <c r="AX568" s="80"/>
      <c r="AY568" s="80"/>
      <c r="AZ568" s="80"/>
      <c r="BA568" s="80"/>
      <c r="BB568" s="80"/>
      <c r="BC568" s="80"/>
    </row>
    <row r="569" customFormat="false" ht="27.75" hidden="false" customHeight="true" outlineLevel="0" collapsed="false">
      <c r="B569" s="81" t="n">
        <v>1</v>
      </c>
      <c r="C569" s="81"/>
      <c r="D569" s="82"/>
      <c r="E569" s="82"/>
      <c r="F569" s="82"/>
      <c r="G569" s="82"/>
      <c r="H569" s="83"/>
      <c r="I569" s="83"/>
      <c r="J569" s="83"/>
      <c r="K569" s="83"/>
      <c r="L569" s="83"/>
      <c r="M569" s="83"/>
      <c r="N569" s="83"/>
      <c r="O569" s="83"/>
      <c r="P569" s="83"/>
      <c r="Q569" s="83"/>
      <c r="R569" s="83"/>
      <c r="S569" s="83"/>
      <c r="T569" s="83"/>
      <c r="U569" s="83"/>
      <c r="V569" s="83"/>
      <c r="W569" s="90"/>
      <c r="X569" s="90"/>
      <c r="Y569" s="90"/>
      <c r="Z569" s="90"/>
      <c r="AA569" s="90"/>
      <c r="AB569" s="90"/>
      <c r="AC569" s="83"/>
      <c r="AD569" s="83"/>
      <c r="AE569" s="83"/>
      <c r="AF569" s="83"/>
      <c r="AG569" s="83"/>
      <c r="AH569" s="83"/>
      <c r="AI569" s="83"/>
      <c r="AJ569" s="83"/>
      <c r="AK569" s="83"/>
      <c r="AL569" s="83"/>
      <c r="AM569" s="83"/>
      <c r="AN569" s="83"/>
      <c r="AO569" s="83"/>
      <c r="AP569" s="83"/>
      <c r="AQ569" s="83"/>
      <c r="AR569" s="83"/>
      <c r="AS569" s="83"/>
      <c r="AT569" s="83"/>
      <c r="AU569" s="83"/>
      <c r="AV569" s="83"/>
      <c r="AW569" s="83"/>
      <c r="AX569" s="83"/>
      <c r="AY569" s="83"/>
      <c r="AZ569" s="83"/>
      <c r="BA569" s="83"/>
      <c r="BB569" s="83"/>
      <c r="BC569" s="83"/>
    </row>
    <row r="570" customFormat="false" ht="27.75" hidden="false" customHeight="true" outlineLevel="0" collapsed="false">
      <c r="B570" s="81" t="n">
        <v>2</v>
      </c>
      <c r="C570" s="81"/>
      <c r="D570" s="82"/>
      <c r="E570" s="82"/>
      <c r="F570" s="82"/>
      <c r="G570" s="82"/>
      <c r="H570" s="83"/>
      <c r="I570" s="83"/>
      <c r="J570" s="83"/>
      <c r="K570" s="83"/>
      <c r="L570" s="83"/>
      <c r="M570" s="83"/>
      <c r="N570" s="83"/>
      <c r="O570" s="83"/>
      <c r="P570" s="83"/>
      <c r="Q570" s="83"/>
      <c r="R570" s="83"/>
      <c r="S570" s="83"/>
      <c r="T570" s="83"/>
      <c r="U570" s="83"/>
      <c r="V570" s="83"/>
      <c r="W570" s="90"/>
      <c r="X570" s="90"/>
      <c r="Y570" s="90"/>
      <c r="Z570" s="90"/>
      <c r="AA570" s="90"/>
      <c r="AB570" s="90"/>
      <c r="AC570" s="83"/>
      <c r="AD570" s="83"/>
      <c r="AE570" s="83"/>
      <c r="AF570" s="83"/>
      <c r="AG570" s="83"/>
      <c r="AH570" s="83"/>
      <c r="AI570" s="83"/>
      <c r="AJ570" s="83"/>
      <c r="AK570" s="83"/>
      <c r="AL570" s="83"/>
      <c r="AM570" s="83"/>
      <c r="AN570" s="83"/>
      <c r="AO570" s="83"/>
      <c r="AP570" s="83"/>
      <c r="AQ570" s="83"/>
      <c r="AR570" s="83"/>
      <c r="AS570" s="83"/>
      <c r="AT570" s="83"/>
      <c r="AU570" s="83"/>
      <c r="AV570" s="83"/>
      <c r="AW570" s="83"/>
      <c r="AX570" s="83"/>
      <c r="AY570" s="83"/>
      <c r="AZ570" s="83"/>
      <c r="BA570" s="83"/>
      <c r="BB570" s="83"/>
      <c r="BC570" s="83"/>
    </row>
    <row r="571" customFormat="false" ht="27.75" hidden="false" customHeight="true" outlineLevel="0" collapsed="false">
      <c r="B571" s="81" t="n">
        <v>3</v>
      </c>
      <c r="C571" s="81"/>
      <c r="D571" s="82"/>
      <c r="E571" s="82"/>
      <c r="F571" s="82"/>
      <c r="G571" s="82"/>
      <c r="H571" s="83"/>
      <c r="I571" s="83"/>
      <c r="J571" s="83"/>
      <c r="K571" s="83"/>
      <c r="L571" s="83"/>
      <c r="M571" s="83"/>
      <c r="N571" s="83"/>
      <c r="O571" s="83"/>
      <c r="P571" s="83"/>
      <c r="Q571" s="83"/>
      <c r="R571" s="83"/>
      <c r="S571" s="83"/>
      <c r="T571" s="83"/>
      <c r="U571" s="83"/>
      <c r="V571" s="83"/>
      <c r="W571" s="90"/>
      <c r="X571" s="90"/>
      <c r="Y571" s="90"/>
      <c r="Z571" s="90"/>
      <c r="AA571" s="90"/>
      <c r="AB571" s="90"/>
      <c r="AC571" s="83"/>
      <c r="AD571" s="83"/>
      <c r="AE571" s="83"/>
      <c r="AF571" s="83"/>
      <c r="AG571" s="83"/>
      <c r="AH571" s="83"/>
      <c r="AI571" s="83"/>
      <c r="AJ571" s="83"/>
      <c r="AK571" s="83"/>
      <c r="AL571" s="83"/>
      <c r="AM571" s="83"/>
      <c r="AN571" s="83"/>
      <c r="AO571" s="83"/>
      <c r="AP571" s="83"/>
      <c r="AQ571" s="83"/>
      <c r="AR571" s="83"/>
      <c r="AS571" s="83"/>
      <c r="AT571" s="83"/>
      <c r="AU571" s="83"/>
      <c r="AV571" s="83"/>
      <c r="AW571" s="83"/>
      <c r="AX571" s="83"/>
      <c r="AY571" s="83"/>
      <c r="AZ571" s="83"/>
      <c r="BA571" s="83"/>
      <c r="BB571" s="83"/>
      <c r="BC571" s="83"/>
    </row>
    <row r="572" customFormat="false" ht="27.75" hidden="false" customHeight="true" outlineLevel="0" collapsed="false">
      <c r="B572" s="81" t="n">
        <v>4</v>
      </c>
      <c r="C572" s="81"/>
      <c r="D572" s="82"/>
      <c r="E572" s="82"/>
      <c r="F572" s="82"/>
      <c r="G572" s="82"/>
      <c r="H572" s="83"/>
      <c r="I572" s="83"/>
      <c r="J572" s="83"/>
      <c r="K572" s="83"/>
      <c r="L572" s="83"/>
      <c r="M572" s="83"/>
      <c r="N572" s="83"/>
      <c r="O572" s="83"/>
      <c r="P572" s="83"/>
      <c r="Q572" s="83"/>
      <c r="R572" s="83"/>
      <c r="S572" s="83"/>
      <c r="T572" s="83"/>
      <c r="U572" s="83"/>
      <c r="V572" s="83"/>
      <c r="W572" s="90"/>
      <c r="X572" s="90"/>
      <c r="Y572" s="90"/>
      <c r="Z572" s="90"/>
      <c r="AA572" s="90"/>
      <c r="AB572" s="90"/>
      <c r="AC572" s="83"/>
      <c r="AD572" s="83"/>
      <c r="AE572" s="83"/>
      <c r="AF572" s="83"/>
      <c r="AG572" s="83"/>
      <c r="AH572" s="83"/>
      <c r="AI572" s="83"/>
      <c r="AJ572" s="83"/>
      <c r="AK572" s="83"/>
      <c r="AL572" s="83"/>
      <c r="AM572" s="83"/>
      <c r="AN572" s="83"/>
      <c r="AO572" s="83"/>
      <c r="AP572" s="83"/>
      <c r="AQ572" s="83"/>
      <c r="AR572" s="83"/>
      <c r="AS572" s="83"/>
      <c r="AT572" s="83"/>
      <c r="AU572" s="83"/>
      <c r="AV572" s="83"/>
      <c r="AW572" s="83"/>
      <c r="AX572" s="83"/>
      <c r="AY572" s="83"/>
      <c r="AZ572" s="83"/>
      <c r="BA572" s="83"/>
      <c r="BB572" s="83"/>
      <c r="BC572" s="83"/>
    </row>
    <row r="573" customFormat="false" ht="27.75" hidden="false" customHeight="true" outlineLevel="0" collapsed="false">
      <c r="B573" s="81" t="n">
        <v>5</v>
      </c>
      <c r="C573" s="81"/>
      <c r="D573" s="82"/>
      <c r="E573" s="82"/>
      <c r="F573" s="82"/>
      <c r="G573" s="82"/>
      <c r="H573" s="83"/>
      <c r="I573" s="83"/>
      <c r="J573" s="83"/>
      <c r="K573" s="83"/>
      <c r="L573" s="83"/>
      <c r="M573" s="83"/>
      <c r="N573" s="83"/>
      <c r="O573" s="83"/>
      <c r="P573" s="83"/>
      <c r="Q573" s="83"/>
      <c r="R573" s="83"/>
      <c r="S573" s="83"/>
      <c r="T573" s="83"/>
      <c r="U573" s="83"/>
      <c r="V573" s="83"/>
      <c r="W573" s="90"/>
      <c r="X573" s="90"/>
      <c r="Y573" s="90"/>
      <c r="Z573" s="90"/>
      <c r="AA573" s="90"/>
      <c r="AB573" s="90"/>
      <c r="AC573" s="83"/>
      <c r="AD573" s="83"/>
      <c r="AE573" s="83"/>
      <c r="AF573" s="83"/>
      <c r="AG573" s="83"/>
      <c r="AH573" s="83"/>
      <c r="AI573" s="83"/>
      <c r="AJ573" s="83"/>
      <c r="AK573" s="83"/>
      <c r="AL573" s="83"/>
      <c r="AM573" s="83"/>
      <c r="AN573" s="83"/>
      <c r="AO573" s="83"/>
      <c r="AP573" s="83"/>
      <c r="AQ573" s="83"/>
      <c r="AR573" s="83"/>
      <c r="AS573" s="83"/>
      <c r="AT573" s="83"/>
      <c r="AU573" s="83"/>
      <c r="AV573" s="83"/>
      <c r="AW573" s="83"/>
      <c r="AX573" s="83"/>
      <c r="AY573" s="83"/>
      <c r="AZ573" s="83"/>
      <c r="BA573" s="83"/>
      <c r="BB573" s="83"/>
      <c r="BC573" s="83"/>
    </row>
    <row r="574" customFormat="false" ht="27.75" hidden="false" customHeight="true" outlineLevel="0" collapsed="false">
      <c r="B574" s="81" t="n">
        <v>6</v>
      </c>
      <c r="C574" s="81"/>
      <c r="D574" s="82"/>
      <c r="E574" s="82"/>
      <c r="F574" s="82"/>
      <c r="G574" s="82"/>
      <c r="H574" s="83"/>
      <c r="I574" s="83"/>
      <c r="J574" s="83"/>
      <c r="K574" s="83"/>
      <c r="L574" s="83"/>
      <c r="M574" s="83"/>
      <c r="N574" s="83"/>
      <c r="O574" s="83"/>
      <c r="P574" s="83"/>
      <c r="Q574" s="83"/>
      <c r="R574" s="83"/>
      <c r="S574" s="83"/>
      <c r="T574" s="83"/>
      <c r="U574" s="83"/>
      <c r="V574" s="83"/>
      <c r="W574" s="90"/>
      <c r="X574" s="90"/>
      <c r="Y574" s="90"/>
      <c r="Z574" s="90"/>
      <c r="AA574" s="90"/>
      <c r="AB574" s="90"/>
      <c r="AC574" s="83"/>
      <c r="AD574" s="83"/>
      <c r="AE574" s="83"/>
      <c r="AF574" s="83"/>
      <c r="AG574" s="83"/>
      <c r="AH574" s="83"/>
      <c r="AI574" s="83"/>
      <c r="AJ574" s="83"/>
      <c r="AK574" s="83"/>
      <c r="AL574" s="83"/>
      <c r="AM574" s="83"/>
      <c r="AN574" s="83"/>
      <c r="AO574" s="83"/>
      <c r="AP574" s="83"/>
      <c r="AQ574" s="83"/>
      <c r="AR574" s="83"/>
      <c r="AS574" s="83"/>
      <c r="AT574" s="83"/>
      <c r="AU574" s="83"/>
      <c r="AV574" s="83"/>
      <c r="AW574" s="83"/>
      <c r="AX574" s="83"/>
      <c r="AY574" s="83"/>
      <c r="AZ574" s="83"/>
      <c r="BA574" s="83"/>
      <c r="BB574" s="83"/>
      <c r="BC574" s="83"/>
    </row>
    <row r="575" customFormat="false" ht="24" hidden="false" customHeight="true" outlineLevel="0" collapsed="false">
      <c r="B575" s="84" t="s">
        <v>132</v>
      </c>
      <c r="C575" s="84"/>
      <c r="E575" s="85" t="s">
        <v>151</v>
      </c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  <c r="AE575" s="85"/>
      <c r="AF575" s="85"/>
      <c r="AG575" s="85"/>
      <c r="AH575" s="85"/>
      <c r="AI575" s="85"/>
      <c r="AJ575" s="85"/>
      <c r="AK575" s="85"/>
      <c r="AL575" s="85"/>
      <c r="AM575" s="85"/>
      <c r="AN575" s="85"/>
      <c r="AO575" s="85"/>
      <c r="AP575" s="85"/>
      <c r="AQ575" s="85"/>
      <c r="AR575" s="85"/>
      <c r="AS575" s="85"/>
      <c r="AT575" s="85"/>
      <c r="AU575" s="85"/>
      <c r="AV575" s="85"/>
      <c r="AW575" s="85"/>
      <c r="AX575" s="85"/>
      <c r="AY575" s="85"/>
      <c r="AZ575" s="85"/>
      <c r="BA575" s="85"/>
      <c r="BB575" s="85"/>
      <c r="BC575" s="85"/>
    </row>
    <row r="576" customFormat="false" ht="9.75" hidden="false" customHeight="true" outlineLevel="0" collapsed="false"/>
    <row r="577" customFormat="false" ht="21.75" hidden="false" customHeight="true" outlineLevel="0" collapsed="false">
      <c r="B577" s="6"/>
      <c r="C577" s="19" t="s">
        <v>152</v>
      </c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59" t="s">
        <v>153</v>
      </c>
      <c r="AM577" s="59"/>
      <c r="AN577" s="59"/>
      <c r="AO577" s="59"/>
      <c r="AP577" s="59"/>
      <c r="AQ577" s="59"/>
      <c r="AR577" s="59"/>
      <c r="AS577" s="59"/>
      <c r="AT577" s="59"/>
      <c r="AU577" s="59"/>
      <c r="AV577" s="59"/>
      <c r="AW577" s="59"/>
      <c r="AX577" s="59"/>
      <c r="AY577" s="59"/>
      <c r="AZ577" s="59"/>
      <c r="BA577" s="59"/>
      <c r="BB577" s="59"/>
      <c r="BC577" s="59"/>
    </row>
    <row r="578" customFormat="false" ht="27.75" hidden="false" customHeight="true" outlineLevel="0" collapsed="false">
      <c r="B578" s="79" t="s">
        <v>124</v>
      </c>
      <c r="C578" s="79"/>
      <c r="D578" s="80" t="s">
        <v>140</v>
      </c>
      <c r="E578" s="80"/>
      <c r="F578" s="80"/>
      <c r="G578" s="80"/>
      <c r="H578" s="80" t="s">
        <v>127</v>
      </c>
      <c r="I578" s="80"/>
      <c r="J578" s="80"/>
      <c r="K578" s="80"/>
      <c r="L578" s="80"/>
      <c r="M578" s="80"/>
      <c r="N578" s="80"/>
      <c r="O578" s="80"/>
      <c r="P578" s="80" t="s">
        <v>126</v>
      </c>
      <c r="Q578" s="80"/>
      <c r="R578" s="80"/>
      <c r="S578" s="80"/>
      <c r="T578" s="80"/>
      <c r="U578" s="80"/>
      <c r="V578" s="80"/>
      <c r="W578" s="80" t="s">
        <v>154</v>
      </c>
      <c r="X578" s="80"/>
      <c r="Y578" s="80"/>
      <c r="Z578" s="80"/>
      <c r="AA578" s="80"/>
      <c r="AB578" s="80"/>
      <c r="AC578" s="80" t="s">
        <v>149</v>
      </c>
      <c r="AD578" s="80"/>
      <c r="AE578" s="80"/>
      <c r="AF578" s="80"/>
      <c r="AG578" s="80" t="s">
        <v>150</v>
      </c>
      <c r="AH578" s="80"/>
      <c r="AI578" s="80"/>
      <c r="AJ578" s="80"/>
      <c r="AK578" s="80"/>
      <c r="AL578" s="80"/>
      <c r="AM578" s="80"/>
      <c r="AN578" s="80"/>
      <c r="AO578" s="80"/>
      <c r="AP578" s="80"/>
      <c r="AQ578" s="80"/>
      <c r="AR578" s="80"/>
      <c r="AS578" s="80"/>
      <c r="AT578" s="80"/>
      <c r="AU578" s="80"/>
      <c r="AV578" s="80"/>
      <c r="AW578" s="80"/>
      <c r="AX578" s="80"/>
      <c r="AY578" s="80"/>
      <c r="AZ578" s="80"/>
      <c r="BA578" s="80"/>
      <c r="BB578" s="80"/>
      <c r="BC578" s="80"/>
    </row>
    <row r="579" customFormat="false" ht="27.75" hidden="false" customHeight="true" outlineLevel="0" collapsed="false">
      <c r="B579" s="81" t="n">
        <v>1</v>
      </c>
      <c r="C579" s="81"/>
      <c r="D579" s="82"/>
      <c r="E579" s="82"/>
      <c r="F579" s="82"/>
      <c r="G579" s="82"/>
      <c r="H579" s="83"/>
      <c r="I579" s="83"/>
      <c r="J579" s="83"/>
      <c r="K579" s="83"/>
      <c r="L579" s="83"/>
      <c r="M579" s="83"/>
      <c r="N579" s="83"/>
      <c r="O579" s="83"/>
      <c r="P579" s="83"/>
      <c r="Q579" s="83"/>
      <c r="R579" s="83"/>
      <c r="S579" s="83"/>
      <c r="T579" s="83"/>
      <c r="U579" s="83"/>
      <c r="V579" s="83"/>
      <c r="W579" s="90"/>
      <c r="X579" s="90"/>
      <c r="Y579" s="90"/>
      <c r="Z579" s="90"/>
      <c r="AA579" s="90"/>
      <c r="AB579" s="90"/>
      <c r="AC579" s="83"/>
      <c r="AD579" s="83"/>
      <c r="AE579" s="83"/>
      <c r="AF579" s="83"/>
      <c r="AG579" s="83"/>
      <c r="AH579" s="83"/>
      <c r="AI579" s="83"/>
      <c r="AJ579" s="83"/>
      <c r="AK579" s="83"/>
      <c r="AL579" s="83"/>
      <c r="AM579" s="83"/>
      <c r="AN579" s="83"/>
      <c r="AO579" s="83"/>
      <c r="AP579" s="83"/>
      <c r="AQ579" s="83"/>
      <c r="AR579" s="83"/>
      <c r="AS579" s="83"/>
      <c r="AT579" s="83"/>
      <c r="AU579" s="83"/>
      <c r="AV579" s="83"/>
      <c r="AW579" s="83"/>
      <c r="AX579" s="83"/>
      <c r="AY579" s="83"/>
      <c r="AZ579" s="83"/>
      <c r="BA579" s="83"/>
      <c r="BB579" s="83"/>
      <c r="BC579" s="83"/>
    </row>
    <row r="580" customFormat="false" ht="27.75" hidden="false" customHeight="true" outlineLevel="0" collapsed="false">
      <c r="B580" s="81" t="n">
        <v>2</v>
      </c>
      <c r="C580" s="81"/>
      <c r="D580" s="82"/>
      <c r="E580" s="82"/>
      <c r="F580" s="82"/>
      <c r="G580" s="82"/>
      <c r="H580" s="83"/>
      <c r="I580" s="83"/>
      <c r="J580" s="83"/>
      <c r="K580" s="83"/>
      <c r="L580" s="83"/>
      <c r="M580" s="83"/>
      <c r="N580" s="83"/>
      <c r="O580" s="83"/>
      <c r="P580" s="83"/>
      <c r="Q580" s="83"/>
      <c r="R580" s="83"/>
      <c r="S580" s="83"/>
      <c r="T580" s="83"/>
      <c r="U580" s="83"/>
      <c r="V580" s="83"/>
      <c r="W580" s="90"/>
      <c r="X580" s="90"/>
      <c r="Y580" s="90"/>
      <c r="Z580" s="90"/>
      <c r="AA580" s="90"/>
      <c r="AB580" s="90"/>
      <c r="AC580" s="83"/>
      <c r="AD580" s="83"/>
      <c r="AE580" s="83"/>
      <c r="AF580" s="83"/>
      <c r="AG580" s="83"/>
      <c r="AH580" s="83"/>
      <c r="AI580" s="83"/>
      <c r="AJ580" s="83"/>
      <c r="AK580" s="83"/>
      <c r="AL580" s="83"/>
      <c r="AM580" s="83"/>
      <c r="AN580" s="83"/>
      <c r="AO580" s="83"/>
      <c r="AP580" s="83"/>
      <c r="AQ580" s="83"/>
      <c r="AR580" s="83"/>
      <c r="AS580" s="83"/>
      <c r="AT580" s="83"/>
      <c r="AU580" s="83"/>
      <c r="AV580" s="83"/>
      <c r="AW580" s="83"/>
      <c r="AX580" s="83"/>
      <c r="AY580" s="83"/>
      <c r="AZ580" s="83"/>
      <c r="BA580" s="83"/>
      <c r="BB580" s="83"/>
      <c r="BC580" s="83"/>
    </row>
    <row r="581" customFormat="false" ht="27.75" hidden="false" customHeight="true" outlineLevel="0" collapsed="false">
      <c r="B581" s="81" t="n">
        <v>3</v>
      </c>
      <c r="C581" s="81"/>
      <c r="D581" s="82"/>
      <c r="E581" s="82"/>
      <c r="F581" s="82"/>
      <c r="G581" s="82"/>
      <c r="H581" s="83"/>
      <c r="I581" s="83"/>
      <c r="J581" s="83"/>
      <c r="K581" s="83"/>
      <c r="L581" s="83"/>
      <c r="M581" s="83"/>
      <c r="N581" s="83"/>
      <c r="O581" s="83"/>
      <c r="P581" s="83"/>
      <c r="Q581" s="83"/>
      <c r="R581" s="83"/>
      <c r="S581" s="83"/>
      <c r="T581" s="83"/>
      <c r="U581" s="83"/>
      <c r="V581" s="83"/>
      <c r="W581" s="90"/>
      <c r="X581" s="90"/>
      <c r="Y581" s="90"/>
      <c r="Z581" s="90"/>
      <c r="AA581" s="90"/>
      <c r="AB581" s="90"/>
      <c r="AC581" s="83"/>
      <c r="AD581" s="83"/>
      <c r="AE581" s="83"/>
      <c r="AF581" s="83"/>
      <c r="AG581" s="83"/>
      <c r="AH581" s="83"/>
      <c r="AI581" s="83"/>
      <c r="AJ581" s="83"/>
      <c r="AK581" s="83"/>
      <c r="AL581" s="83"/>
      <c r="AM581" s="83"/>
      <c r="AN581" s="83"/>
      <c r="AO581" s="83"/>
      <c r="AP581" s="83"/>
      <c r="AQ581" s="83"/>
      <c r="AR581" s="83"/>
      <c r="AS581" s="83"/>
      <c r="AT581" s="83"/>
      <c r="AU581" s="83"/>
      <c r="AV581" s="83"/>
      <c r="AW581" s="83"/>
      <c r="AX581" s="83"/>
      <c r="AY581" s="83"/>
      <c r="AZ581" s="83"/>
      <c r="BA581" s="83"/>
      <c r="BB581" s="83"/>
      <c r="BC581" s="83"/>
    </row>
    <row r="582" customFormat="false" ht="27.75" hidden="false" customHeight="true" outlineLevel="0" collapsed="false">
      <c r="B582" s="81" t="n">
        <v>4</v>
      </c>
      <c r="C582" s="81"/>
      <c r="D582" s="82"/>
      <c r="E582" s="82"/>
      <c r="F582" s="82"/>
      <c r="G582" s="82"/>
      <c r="H582" s="83"/>
      <c r="I582" s="83"/>
      <c r="J582" s="83"/>
      <c r="K582" s="83"/>
      <c r="L582" s="83"/>
      <c r="M582" s="83"/>
      <c r="N582" s="83"/>
      <c r="O582" s="83"/>
      <c r="P582" s="83"/>
      <c r="Q582" s="83"/>
      <c r="R582" s="83"/>
      <c r="S582" s="83"/>
      <c r="T582" s="83"/>
      <c r="U582" s="83"/>
      <c r="V582" s="83"/>
      <c r="W582" s="90"/>
      <c r="X582" s="90"/>
      <c r="Y582" s="90"/>
      <c r="Z582" s="90"/>
      <c r="AA582" s="90"/>
      <c r="AB582" s="90"/>
      <c r="AC582" s="83"/>
      <c r="AD582" s="83"/>
      <c r="AE582" s="83"/>
      <c r="AF582" s="83"/>
      <c r="AG582" s="83"/>
      <c r="AH582" s="83"/>
      <c r="AI582" s="83"/>
      <c r="AJ582" s="83"/>
      <c r="AK582" s="83"/>
      <c r="AL582" s="83"/>
      <c r="AM582" s="83"/>
      <c r="AN582" s="83"/>
      <c r="AO582" s="83"/>
      <c r="AP582" s="83"/>
      <c r="AQ582" s="83"/>
      <c r="AR582" s="83"/>
      <c r="AS582" s="83"/>
      <c r="AT582" s="83"/>
      <c r="AU582" s="83"/>
      <c r="AV582" s="83"/>
      <c r="AW582" s="83"/>
      <c r="AX582" s="83"/>
      <c r="AY582" s="83"/>
      <c r="AZ582" s="83"/>
      <c r="BA582" s="83"/>
      <c r="BB582" s="83"/>
      <c r="BC582" s="83"/>
    </row>
    <row r="583" customFormat="false" ht="27.75" hidden="false" customHeight="true" outlineLevel="0" collapsed="false">
      <c r="B583" s="81" t="n">
        <v>5</v>
      </c>
      <c r="C583" s="81"/>
      <c r="D583" s="82"/>
      <c r="E583" s="82"/>
      <c r="F583" s="82"/>
      <c r="G583" s="82"/>
      <c r="H583" s="83"/>
      <c r="I583" s="83"/>
      <c r="J583" s="83"/>
      <c r="K583" s="83"/>
      <c r="L583" s="83"/>
      <c r="M583" s="83"/>
      <c r="N583" s="83"/>
      <c r="O583" s="83"/>
      <c r="P583" s="83"/>
      <c r="Q583" s="83"/>
      <c r="R583" s="83"/>
      <c r="S583" s="83"/>
      <c r="T583" s="83"/>
      <c r="U583" s="83"/>
      <c r="V583" s="83"/>
      <c r="W583" s="90"/>
      <c r="X583" s="90"/>
      <c r="Y583" s="90"/>
      <c r="Z583" s="90"/>
      <c r="AA583" s="90"/>
      <c r="AB583" s="90"/>
      <c r="AC583" s="83"/>
      <c r="AD583" s="83"/>
      <c r="AE583" s="83"/>
      <c r="AF583" s="83"/>
      <c r="AG583" s="83"/>
      <c r="AH583" s="83"/>
      <c r="AI583" s="83"/>
      <c r="AJ583" s="83"/>
      <c r="AK583" s="83"/>
      <c r="AL583" s="83"/>
      <c r="AM583" s="83"/>
      <c r="AN583" s="83"/>
      <c r="AO583" s="83"/>
      <c r="AP583" s="83"/>
      <c r="AQ583" s="83"/>
      <c r="AR583" s="83"/>
      <c r="AS583" s="83"/>
      <c r="AT583" s="83"/>
      <c r="AU583" s="83"/>
      <c r="AV583" s="83"/>
      <c r="AW583" s="83"/>
      <c r="AX583" s="83"/>
      <c r="AY583" s="83"/>
      <c r="AZ583" s="83"/>
      <c r="BA583" s="83"/>
      <c r="BB583" s="83"/>
      <c r="BC583" s="83"/>
    </row>
    <row r="584" customFormat="false" ht="24" hidden="false" customHeight="true" outlineLevel="0" collapsed="false">
      <c r="B584" s="84" t="s">
        <v>132</v>
      </c>
      <c r="C584" s="84"/>
      <c r="E584" s="85" t="s">
        <v>155</v>
      </c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  <c r="AE584" s="85"/>
      <c r="AF584" s="85"/>
      <c r="AG584" s="85"/>
      <c r="AH584" s="85"/>
      <c r="AI584" s="85"/>
      <c r="AJ584" s="85"/>
      <c r="AK584" s="85"/>
      <c r="AL584" s="85"/>
      <c r="AM584" s="85"/>
      <c r="AN584" s="85"/>
      <c r="AO584" s="85"/>
      <c r="AP584" s="85"/>
      <c r="AQ584" s="85"/>
      <c r="AR584" s="85"/>
      <c r="AS584" s="85"/>
      <c r="AT584" s="85"/>
      <c r="AU584" s="85"/>
      <c r="AV584" s="85"/>
      <c r="AW584" s="85"/>
      <c r="AX584" s="85"/>
      <c r="AY584" s="85"/>
      <c r="AZ584" s="85"/>
      <c r="BA584" s="85"/>
      <c r="BB584" s="85"/>
      <c r="BC584" s="85"/>
    </row>
    <row r="585" customFormat="false" ht="55.5" hidden="false" customHeight="true" outlineLevel="0" collapsed="false"/>
    <row r="586" customFormat="false" ht="18" hidden="false" customHeight="true" outlineLevel="0" collapsed="false">
      <c r="B586" s="75" t="s">
        <v>134</v>
      </c>
      <c r="C586" s="75"/>
      <c r="D586" s="75"/>
      <c r="E586" s="75"/>
      <c r="F586" s="75"/>
      <c r="G586" s="75"/>
      <c r="H586" s="75"/>
      <c r="I586" s="75"/>
      <c r="J586" s="75"/>
      <c r="K586" s="75"/>
      <c r="L586" s="75"/>
      <c r="M586" s="75"/>
      <c r="N586" s="75"/>
      <c r="O586" s="75"/>
      <c r="P586" s="75"/>
      <c r="Q586" s="75"/>
      <c r="R586" s="75"/>
      <c r="S586" s="75"/>
      <c r="T586" s="75"/>
      <c r="U586" s="75"/>
      <c r="V586" s="75"/>
      <c r="W586" s="75"/>
      <c r="X586" s="75"/>
      <c r="Y586" s="75"/>
      <c r="Z586" s="75"/>
      <c r="AA586" s="75"/>
      <c r="AB586" s="76" t="s">
        <v>156</v>
      </c>
      <c r="AC586" s="76"/>
      <c r="AD586" s="76"/>
      <c r="AE586" s="76"/>
      <c r="AF586" s="76"/>
      <c r="AG586" s="76"/>
      <c r="AH586" s="76"/>
      <c r="AI586" s="76"/>
      <c r="AJ586" s="76"/>
      <c r="AK586" s="76"/>
      <c r="AL586" s="76"/>
      <c r="AM586" s="76"/>
      <c r="AN586" s="76"/>
      <c r="AO586" s="76"/>
      <c r="AP586" s="76"/>
      <c r="AQ586" s="76"/>
      <c r="AR586" s="76"/>
      <c r="AS586" s="76"/>
      <c r="AT586" s="76"/>
      <c r="AU586" s="76"/>
      <c r="AV586" s="76"/>
      <c r="AW586" s="76"/>
      <c r="AX586" s="76"/>
      <c r="AY586" s="76"/>
      <c r="AZ586" s="76"/>
      <c r="BA586" s="76"/>
      <c r="BB586" s="76"/>
      <c r="BC586" s="76"/>
    </row>
    <row r="587" customFormat="false" ht="7.5" hidden="false" customHeight="true" outlineLevel="0" collapsed="false"/>
    <row r="588" customFormat="false" ht="24" hidden="false" customHeight="true" outlineLevel="0" collapsed="false">
      <c r="B588" s="86" t="s">
        <v>115</v>
      </c>
      <c r="C588" s="86"/>
      <c r="D588" s="86"/>
      <c r="E588" s="86"/>
      <c r="F588" s="86"/>
      <c r="H588" s="87" t="s">
        <v>116</v>
      </c>
      <c r="I588" s="87"/>
      <c r="J588" s="87"/>
      <c r="K588" s="87"/>
      <c r="L588" s="87"/>
      <c r="M588" s="87"/>
      <c r="N588" s="87"/>
      <c r="O588" s="87"/>
      <c r="P588" s="87"/>
      <c r="AA588" s="88" t="s">
        <v>136</v>
      </c>
      <c r="AB588" s="88"/>
      <c r="AC588" s="88"/>
      <c r="AD588" s="88"/>
      <c r="AE588" s="88"/>
      <c r="AF588" s="89" t="str">
        <f aca="false">Dashboard!$C$6</f>
        <v>Bindhya TB</v>
      </c>
      <c r="AG588" s="89"/>
      <c r="AH588" s="89"/>
      <c r="AI588" s="89"/>
      <c r="AJ588" s="89"/>
      <c r="AK588" s="89"/>
      <c r="AL588" s="89"/>
      <c r="AM588" s="89"/>
      <c r="AN588" s="89"/>
      <c r="AO588" s="89"/>
      <c r="AP588" s="89"/>
      <c r="AR588" s="88" t="s">
        <v>137</v>
      </c>
      <c r="AS588" s="88"/>
      <c r="AT588" s="89" t="str">
        <f aca="false">TEXT(Cal!H5,"dd mmm")&amp;" to "&amp;TEXT(Cal!I5,"dd mmm yy")</f>
        <v>19 Oct to 24 Oct 26</v>
      </c>
      <c r="AU588" s="89"/>
      <c r="AV588" s="89"/>
      <c r="AW588" s="89"/>
      <c r="AX588" s="89"/>
      <c r="AY588" s="89"/>
      <c r="AZ588" s="89"/>
      <c r="BA588" s="89"/>
      <c r="BB588" s="89"/>
      <c r="BC588" s="89"/>
    </row>
    <row r="589" customFormat="false" ht="3" hidden="false" customHeight="true" outlineLevel="0" collapsed="false"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</row>
    <row r="590" customFormat="false" ht="9.75" hidden="false" customHeight="true" outlineLevel="0" collapsed="false"/>
    <row r="591" customFormat="false" ht="21.75" hidden="false" customHeight="true" outlineLevel="0" collapsed="false">
      <c r="B591" s="6"/>
      <c r="C591" s="19" t="s">
        <v>157</v>
      </c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59" t="s">
        <v>158</v>
      </c>
      <c r="AM591" s="59"/>
      <c r="AN591" s="59"/>
      <c r="AO591" s="59"/>
      <c r="AP591" s="59"/>
      <c r="AQ591" s="59"/>
      <c r="AR591" s="59"/>
      <c r="AS591" s="59"/>
      <c r="AT591" s="59"/>
      <c r="AU591" s="59"/>
      <c r="AV591" s="59"/>
      <c r="AW591" s="59"/>
      <c r="AX591" s="59"/>
      <c r="AY591" s="59"/>
      <c r="AZ591" s="59"/>
      <c r="BA591" s="59"/>
      <c r="BB591" s="59"/>
      <c r="BC591" s="59"/>
    </row>
    <row r="592" customFormat="false" ht="27.75" hidden="false" customHeight="true" outlineLevel="0" collapsed="false">
      <c r="B592" s="79" t="s">
        <v>124</v>
      </c>
      <c r="C592" s="79"/>
      <c r="D592" s="80" t="s">
        <v>140</v>
      </c>
      <c r="E592" s="80"/>
      <c r="F592" s="80"/>
      <c r="G592" s="80"/>
      <c r="H592" s="80" t="s">
        <v>126</v>
      </c>
      <c r="I592" s="80"/>
      <c r="J592" s="80"/>
      <c r="K592" s="80"/>
      <c r="L592" s="80"/>
      <c r="M592" s="80"/>
      <c r="N592" s="80"/>
      <c r="O592" s="80" t="s">
        <v>159</v>
      </c>
      <c r="P592" s="80"/>
      <c r="Q592" s="80"/>
      <c r="R592" s="80"/>
      <c r="S592" s="80"/>
      <c r="T592" s="80"/>
      <c r="U592" s="80"/>
      <c r="V592" s="80"/>
      <c r="W592" s="80"/>
      <c r="X592" s="80"/>
      <c r="Y592" s="80"/>
      <c r="Z592" s="80"/>
      <c r="AA592" s="80"/>
      <c r="AB592" s="80"/>
      <c r="AC592" s="80"/>
      <c r="AD592" s="80"/>
      <c r="AE592" s="80" t="s">
        <v>160</v>
      </c>
      <c r="AF592" s="80"/>
      <c r="AG592" s="80"/>
      <c r="AH592" s="80"/>
      <c r="AI592" s="80" t="s">
        <v>161</v>
      </c>
      <c r="AJ592" s="80"/>
      <c r="AK592" s="80"/>
      <c r="AL592" s="80"/>
      <c r="AM592" s="80"/>
      <c r="AN592" s="80"/>
      <c r="AO592" s="80"/>
      <c r="AP592" s="80"/>
      <c r="AQ592" s="80"/>
      <c r="AR592" s="80"/>
      <c r="AS592" s="80"/>
      <c r="AT592" s="80"/>
      <c r="AU592" s="80"/>
      <c r="AV592" s="80"/>
      <c r="AW592" s="80" t="s">
        <v>162</v>
      </c>
      <c r="AX592" s="80"/>
      <c r="AY592" s="80"/>
      <c r="AZ592" s="80"/>
      <c r="BA592" s="80"/>
      <c r="BB592" s="80"/>
      <c r="BC592" s="80"/>
    </row>
    <row r="593" customFormat="false" ht="27.75" hidden="false" customHeight="true" outlineLevel="0" collapsed="false">
      <c r="B593" s="81" t="n">
        <v>1</v>
      </c>
      <c r="C593" s="81"/>
      <c r="D593" s="82"/>
      <c r="E593" s="82"/>
      <c r="F593" s="82"/>
      <c r="G593" s="82"/>
      <c r="H593" s="83"/>
      <c r="I593" s="83"/>
      <c r="J593" s="83"/>
      <c r="K593" s="83"/>
      <c r="L593" s="83"/>
      <c r="M593" s="83"/>
      <c r="N593" s="83"/>
      <c r="O593" s="83"/>
      <c r="P593" s="83"/>
      <c r="Q593" s="83"/>
      <c r="R593" s="83"/>
      <c r="S593" s="83"/>
      <c r="T593" s="83"/>
      <c r="U593" s="83"/>
      <c r="V593" s="83"/>
      <c r="W593" s="83"/>
      <c r="X593" s="83"/>
      <c r="Y593" s="83"/>
      <c r="Z593" s="83"/>
      <c r="AA593" s="83"/>
      <c r="AB593" s="83"/>
      <c r="AC593" s="83"/>
      <c r="AD593" s="83"/>
      <c r="AE593" s="83"/>
      <c r="AF593" s="83"/>
      <c r="AG593" s="83"/>
      <c r="AH593" s="83"/>
      <c r="AI593" s="83"/>
      <c r="AJ593" s="83"/>
      <c r="AK593" s="83"/>
      <c r="AL593" s="83"/>
      <c r="AM593" s="83"/>
      <c r="AN593" s="83"/>
      <c r="AO593" s="83"/>
      <c r="AP593" s="83"/>
      <c r="AQ593" s="83"/>
      <c r="AR593" s="83"/>
      <c r="AS593" s="83"/>
      <c r="AT593" s="83"/>
      <c r="AU593" s="83"/>
      <c r="AV593" s="83"/>
      <c r="AW593" s="83"/>
      <c r="AX593" s="83"/>
      <c r="AY593" s="83"/>
      <c r="AZ593" s="83"/>
      <c r="BA593" s="83"/>
      <c r="BB593" s="83"/>
      <c r="BC593" s="83"/>
    </row>
    <row r="594" customFormat="false" ht="27.75" hidden="false" customHeight="true" outlineLevel="0" collapsed="false">
      <c r="B594" s="81" t="n">
        <v>2</v>
      </c>
      <c r="C594" s="81"/>
      <c r="D594" s="82"/>
      <c r="E594" s="82"/>
      <c r="F594" s="82"/>
      <c r="G594" s="82"/>
      <c r="H594" s="83"/>
      <c r="I594" s="83"/>
      <c r="J594" s="83"/>
      <c r="K594" s="83"/>
      <c r="L594" s="83"/>
      <c r="M594" s="83"/>
      <c r="N594" s="83"/>
      <c r="O594" s="83"/>
      <c r="P594" s="83"/>
      <c r="Q594" s="83"/>
      <c r="R594" s="83"/>
      <c r="S594" s="83"/>
      <c r="T594" s="83"/>
      <c r="U594" s="83"/>
      <c r="V594" s="83"/>
      <c r="W594" s="83"/>
      <c r="X594" s="83"/>
      <c r="Y594" s="83"/>
      <c r="Z594" s="83"/>
      <c r="AA594" s="83"/>
      <c r="AB594" s="83"/>
      <c r="AC594" s="83"/>
      <c r="AD594" s="83"/>
      <c r="AE594" s="83"/>
      <c r="AF594" s="83"/>
      <c r="AG594" s="83"/>
      <c r="AH594" s="83"/>
      <c r="AI594" s="83"/>
      <c r="AJ594" s="83"/>
      <c r="AK594" s="83"/>
      <c r="AL594" s="83"/>
      <c r="AM594" s="83"/>
      <c r="AN594" s="83"/>
      <c r="AO594" s="83"/>
      <c r="AP594" s="83"/>
      <c r="AQ594" s="83"/>
      <c r="AR594" s="83"/>
      <c r="AS594" s="83"/>
      <c r="AT594" s="83"/>
      <c r="AU594" s="83"/>
      <c r="AV594" s="83"/>
      <c r="AW594" s="83"/>
      <c r="AX594" s="83"/>
      <c r="AY594" s="83"/>
      <c r="AZ594" s="83"/>
      <c r="BA594" s="83"/>
      <c r="BB594" s="83"/>
      <c r="BC594" s="83"/>
    </row>
    <row r="595" customFormat="false" ht="27.75" hidden="false" customHeight="true" outlineLevel="0" collapsed="false">
      <c r="B595" s="81" t="n">
        <v>3</v>
      </c>
      <c r="C595" s="81"/>
      <c r="D595" s="82"/>
      <c r="E595" s="82"/>
      <c r="F595" s="82"/>
      <c r="G595" s="82"/>
      <c r="H595" s="83"/>
      <c r="I595" s="83"/>
      <c r="J595" s="83"/>
      <c r="K595" s="83"/>
      <c r="L595" s="83"/>
      <c r="M595" s="83"/>
      <c r="N595" s="83"/>
      <c r="O595" s="83"/>
      <c r="P595" s="83"/>
      <c r="Q595" s="83"/>
      <c r="R595" s="83"/>
      <c r="S595" s="83"/>
      <c r="T595" s="83"/>
      <c r="U595" s="83"/>
      <c r="V595" s="83"/>
      <c r="W595" s="83"/>
      <c r="X595" s="83"/>
      <c r="Y595" s="83"/>
      <c r="Z595" s="83"/>
      <c r="AA595" s="83"/>
      <c r="AB595" s="83"/>
      <c r="AC595" s="83"/>
      <c r="AD595" s="83"/>
      <c r="AE595" s="83"/>
      <c r="AF595" s="83"/>
      <c r="AG595" s="83"/>
      <c r="AH595" s="83"/>
      <c r="AI595" s="83"/>
      <c r="AJ595" s="83"/>
      <c r="AK595" s="83"/>
      <c r="AL595" s="83"/>
      <c r="AM595" s="83"/>
      <c r="AN595" s="83"/>
      <c r="AO595" s="83"/>
      <c r="AP595" s="83"/>
      <c r="AQ595" s="83"/>
      <c r="AR595" s="83"/>
      <c r="AS595" s="83"/>
      <c r="AT595" s="83"/>
      <c r="AU595" s="83"/>
      <c r="AV595" s="83"/>
      <c r="AW595" s="83"/>
      <c r="AX595" s="83"/>
      <c r="AY595" s="83"/>
      <c r="AZ595" s="83"/>
      <c r="BA595" s="83"/>
      <c r="BB595" s="83"/>
      <c r="BC595" s="83"/>
    </row>
    <row r="596" customFormat="false" ht="27.75" hidden="false" customHeight="true" outlineLevel="0" collapsed="false">
      <c r="B596" s="81" t="n">
        <v>4</v>
      </c>
      <c r="C596" s="81"/>
      <c r="D596" s="82"/>
      <c r="E596" s="82"/>
      <c r="F596" s="82"/>
      <c r="G596" s="82"/>
      <c r="H596" s="83"/>
      <c r="I596" s="83"/>
      <c r="J596" s="83"/>
      <c r="K596" s="83"/>
      <c r="L596" s="83"/>
      <c r="M596" s="83"/>
      <c r="N596" s="83"/>
      <c r="O596" s="83"/>
      <c r="P596" s="83"/>
      <c r="Q596" s="83"/>
      <c r="R596" s="83"/>
      <c r="S596" s="83"/>
      <c r="T596" s="83"/>
      <c r="U596" s="83"/>
      <c r="V596" s="83"/>
      <c r="W596" s="83"/>
      <c r="X596" s="83"/>
      <c r="Y596" s="83"/>
      <c r="Z596" s="83"/>
      <c r="AA596" s="83"/>
      <c r="AB596" s="83"/>
      <c r="AC596" s="83"/>
      <c r="AD596" s="83"/>
      <c r="AE596" s="83"/>
      <c r="AF596" s="83"/>
      <c r="AG596" s="83"/>
      <c r="AH596" s="83"/>
      <c r="AI596" s="83"/>
      <c r="AJ596" s="83"/>
      <c r="AK596" s="83"/>
      <c r="AL596" s="83"/>
      <c r="AM596" s="83"/>
      <c r="AN596" s="83"/>
      <c r="AO596" s="83"/>
      <c r="AP596" s="83"/>
      <c r="AQ596" s="83"/>
      <c r="AR596" s="83"/>
      <c r="AS596" s="83"/>
      <c r="AT596" s="83"/>
      <c r="AU596" s="83"/>
      <c r="AV596" s="83"/>
      <c r="AW596" s="83"/>
      <c r="AX596" s="83"/>
      <c r="AY596" s="83"/>
      <c r="AZ596" s="83"/>
      <c r="BA596" s="83"/>
      <c r="BB596" s="83"/>
      <c r="BC596" s="83"/>
    </row>
    <row r="597" customFormat="false" ht="27.75" hidden="false" customHeight="true" outlineLevel="0" collapsed="false">
      <c r="B597" s="81" t="n">
        <v>5</v>
      </c>
      <c r="C597" s="81"/>
      <c r="D597" s="82"/>
      <c r="E597" s="82"/>
      <c r="F597" s="82"/>
      <c r="G597" s="82"/>
      <c r="H597" s="83"/>
      <c r="I597" s="83"/>
      <c r="J597" s="83"/>
      <c r="K597" s="83"/>
      <c r="L597" s="83"/>
      <c r="M597" s="83"/>
      <c r="N597" s="83"/>
      <c r="O597" s="83"/>
      <c r="P597" s="83"/>
      <c r="Q597" s="83"/>
      <c r="R597" s="83"/>
      <c r="S597" s="83"/>
      <c r="T597" s="83"/>
      <c r="U597" s="83"/>
      <c r="V597" s="83"/>
      <c r="W597" s="83"/>
      <c r="X597" s="83"/>
      <c r="Y597" s="83"/>
      <c r="Z597" s="83"/>
      <c r="AA597" s="83"/>
      <c r="AB597" s="83"/>
      <c r="AC597" s="83"/>
      <c r="AD597" s="83"/>
      <c r="AE597" s="83"/>
      <c r="AF597" s="83"/>
      <c r="AG597" s="83"/>
      <c r="AH597" s="83"/>
      <c r="AI597" s="83"/>
      <c r="AJ597" s="83"/>
      <c r="AK597" s="83"/>
      <c r="AL597" s="83"/>
      <c r="AM597" s="83"/>
      <c r="AN597" s="83"/>
      <c r="AO597" s="83"/>
      <c r="AP597" s="83"/>
      <c r="AQ597" s="83"/>
      <c r="AR597" s="83"/>
      <c r="AS597" s="83"/>
      <c r="AT597" s="83"/>
      <c r="AU597" s="83"/>
      <c r="AV597" s="83"/>
      <c r="AW597" s="83"/>
      <c r="AX597" s="83"/>
      <c r="AY597" s="83"/>
      <c r="AZ597" s="83"/>
      <c r="BA597" s="83"/>
      <c r="BB597" s="83"/>
      <c r="BC597" s="83"/>
    </row>
    <row r="598" customFormat="false" ht="24" hidden="false" customHeight="true" outlineLevel="0" collapsed="false">
      <c r="B598" s="84" t="s">
        <v>132</v>
      </c>
      <c r="C598" s="84"/>
      <c r="E598" s="85" t="s">
        <v>163</v>
      </c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  <c r="AE598" s="85"/>
      <c r="AF598" s="85"/>
      <c r="AG598" s="85"/>
      <c r="AH598" s="85"/>
      <c r="AI598" s="85"/>
      <c r="AJ598" s="85"/>
      <c r="AK598" s="85"/>
      <c r="AL598" s="85"/>
      <c r="AM598" s="85"/>
      <c r="AN598" s="85"/>
      <c r="AO598" s="85"/>
      <c r="AP598" s="85"/>
      <c r="AQ598" s="85"/>
      <c r="AR598" s="85"/>
      <c r="AS598" s="85"/>
      <c r="AT598" s="85"/>
      <c r="AU598" s="85"/>
      <c r="AV598" s="85"/>
      <c r="AW598" s="85"/>
      <c r="AX598" s="85"/>
      <c r="AY598" s="85"/>
      <c r="AZ598" s="85"/>
      <c r="BA598" s="85"/>
      <c r="BB598" s="85"/>
      <c r="BC598" s="85"/>
    </row>
    <row r="599" customFormat="false" ht="9.75" hidden="false" customHeight="true" outlineLevel="0" collapsed="false"/>
    <row r="600" customFormat="false" ht="21.75" hidden="false" customHeight="true" outlineLevel="0" collapsed="false">
      <c r="B600" s="6"/>
      <c r="C600" s="19" t="s">
        <v>164</v>
      </c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59" t="s">
        <v>165</v>
      </c>
      <c r="AM600" s="59"/>
      <c r="AN600" s="59"/>
      <c r="AO600" s="59"/>
      <c r="AP600" s="59"/>
      <c r="AQ600" s="59"/>
      <c r="AR600" s="59"/>
      <c r="AS600" s="59"/>
      <c r="AT600" s="59"/>
      <c r="AU600" s="59"/>
      <c r="AV600" s="59"/>
      <c r="AW600" s="59"/>
      <c r="AX600" s="59"/>
      <c r="AY600" s="59"/>
      <c r="AZ600" s="59"/>
      <c r="BA600" s="59"/>
      <c r="BB600" s="59"/>
      <c r="BC600" s="59"/>
    </row>
    <row r="601" customFormat="false" ht="27.75" hidden="false" customHeight="true" outlineLevel="0" collapsed="false">
      <c r="B601" s="79" t="s">
        <v>124</v>
      </c>
      <c r="C601" s="79"/>
      <c r="D601" s="80" t="s">
        <v>140</v>
      </c>
      <c r="E601" s="80"/>
      <c r="F601" s="80"/>
      <c r="G601" s="80"/>
      <c r="H601" s="80" t="s">
        <v>127</v>
      </c>
      <c r="I601" s="80"/>
      <c r="J601" s="80"/>
      <c r="K601" s="80"/>
      <c r="L601" s="80"/>
      <c r="M601" s="80"/>
      <c r="N601" s="80"/>
      <c r="O601" s="80"/>
      <c r="P601" s="80"/>
      <c r="Q601" s="80" t="s">
        <v>126</v>
      </c>
      <c r="R601" s="80"/>
      <c r="S601" s="80"/>
      <c r="T601" s="80"/>
      <c r="U601" s="80"/>
      <c r="V601" s="80"/>
      <c r="W601" s="80"/>
      <c r="X601" s="80" t="s">
        <v>166</v>
      </c>
      <c r="Y601" s="80"/>
      <c r="Z601" s="80"/>
      <c r="AA601" s="80"/>
      <c r="AB601" s="80"/>
      <c r="AC601" s="80" t="s">
        <v>167</v>
      </c>
      <c r="AD601" s="80"/>
      <c r="AE601" s="80"/>
      <c r="AF601" s="80"/>
      <c r="AG601" s="80"/>
      <c r="AH601" s="80" t="s">
        <v>149</v>
      </c>
      <c r="AI601" s="80"/>
      <c r="AJ601" s="80"/>
      <c r="AK601" s="80"/>
      <c r="AL601" s="80" t="s">
        <v>168</v>
      </c>
      <c r="AM601" s="80"/>
      <c r="AN601" s="80"/>
      <c r="AO601" s="80"/>
      <c r="AP601" s="80"/>
      <c r="AQ601" s="80"/>
      <c r="AR601" s="80"/>
      <c r="AS601" s="80"/>
      <c r="AT601" s="80"/>
      <c r="AU601" s="80"/>
      <c r="AV601" s="80"/>
      <c r="AW601" s="80"/>
      <c r="AX601" s="80"/>
      <c r="AY601" s="80"/>
      <c r="AZ601" s="80"/>
      <c r="BA601" s="80"/>
      <c r="BB601" s="80"/>
      <c r="BC601" s="80"/>
    </row>
    <row r="602" customFormat="false" ht="27.75" hidden="false" customHeight="true" outlineLevel="0" collapsed="false">
      <c r="B602" s="81" t="n">
        <v>1</v>
      </c>
      <c r="C602" s="81"/>
      <c r="D602" s="82"/>
      <c r="E602" s="82"/>
      <c r="F602" s="82"/>
      <c r="G602" s="82"/>
      <c r="H602" s="83"/>
      <c r="I602" s="83"/>
      <c r="J602" s="83"/>
      <c r="K602" s="83"/>
      <c r="L602" s="83"/>
      <c r="M602" s="83"/>
      <c r="N602" s="83"/>
      <c r="O602" s="83"/>
      <c r="P602" s="83"/>
      <c r="Q602" s="83"/>
      <c r="R602" s="83"/>
      <c r="S602" s="83"/>
      <c r="T602" s="83"/>
      <c r="U602" s="83"/>
      <c r="V602" s="83"/>
      <c r="W602" s="83"/>
      <c r="X602" s="83"/>
      <c r="Y602" s="83"/>
      <c r="Z602" s="83"/>
      <c r="AA602" s="83"/>
      <c r="AB602" s="83"/>
      <c r="AC602" s="83"/>
      <c r="AD602" s="83"/>
      <c r="AE602" s="83"/>
      <c r="AF602" s="83"/>
      <c r="AG602" s="83"/>
      <c r="AH602" s="83"/>
      <c r="AI602" s="83"/>
      <c r="AJ602" s="83"/>
      <c r="AK602" s="83"/>
      <c r="AL602" s="83"/>
      <c r="AM602" s="83"/>
      <c r="AN602" s="83"/>
      <c r="AO602" s="83"/>
      <c r="AP602" s="83"/>
      <c r="AQ602" s="83"/>
      <c r="AR602" s="83"/>
      <c r="AS602" s="83"/>
      <c r="AT602" s="83"/>
      <c r="AU602" s="83"/>
      <c r="AV602" s="83"/>
      <c r="AW602" s="83"/>
      <c r="AX602" s="83"/>
      <c r="AY602" s="83"/>
      <c r="AZ602" s="83"/>
      <c r="BA602" s="83"/>
      <c r="BB602" s="83"/>
      <c r="BC602" s="83"/>
    </row>
    <row r="603" customFormat="false" ht="27.75" hidden="false" customHeight="true" outlineLevel="0" collapsed="false">
      <c r="B603" s="81" t="n">
        <v>2</v>
      </c>
      <c r="C603" s="81"/>
      <c r="D603" s="82"/>
      <c r="E603" s="82"/>
      <c r="F603" s="82"/>
      <c r="G603" s="82"/>
      <c r="H603" s="83"/>
      <c r="I603" s="83"/>
      <c r="J603" s="83"/>
      <c r="K603" s="83"/>
      <c r="L603" s="83"/>
      <c r="M603" s="83"/>
      <c r="N603" s="83"/>
      <c r="O603" s="83"/>
      <c r="P603" s="83"/>
      <c r="Q603" s="83"/>
      <c r="R603" s="83"/>
      <c r="S603" s="83"/>
      <c r="T603" s="83"/>
      <c r="U603" s="83"/>
      <c r="V603" s="83"/>
      <c r="W603" s="83"/>
      <c r="X603" s="83"/>
      <c r="Y603" s="83"/>
      <c r="Z603" s="83"/>
      <c r="AA603" s="83"/>
      <c r="AB603" s="83"/>
      <c r="AC603" s="83"/>
      <c r="AD603" s="83"/>
      <c r="AE603" s="83"/>
      <c r="AF603" s="83"/>
      <c r="AG603" s="83"/>
      <c r="AH603" s="83"/>
      <c r="AI603" s="83"/>
      <c r="AJ603" s="83"/>
      <c r="AK603" s="83"/>
      <c r="AL603" s="83"/>
      <c r="AM603" s="83"/>
      <c r="AN603" s="83"/>
      <c r="AO603" s="83"/>
      <c r="AP603" s="83"/>
      <c r="AQ603" s="83"/>
      <c r="AR603" s="83"/>
      <c r="AS603" s="83"/>
      <c r="AT603" s="83"/>
      <c r="AU603" s="83"/>
      <c r="AV603" s="83"/>
      <c r="AW603" s="83"/>
      <c r="AX603" s="83"/>
      <c r="AY603" s="83"/>
      <c r="AZ603" s="83"/>
      <c r="BA603" s="83"/>
      <c r="BB603" s="83"/>
      <c r="BC603" s="83"/>
    </row>
    <row r="604" customFormat="false" ht="27.75" hidden="false" customHeight="true" outlineLevel="0" collapsed="false">
      <c r="B604" s="81" t="n">
        <v>3</v>
      </c>
      <c r="C604" s="81"/>
      <c r="D604" s="82"/>
      <c r="E604" s="82"/>
      <c r="F604" s="82"/>
      <c r="G604" s="82"/>
      <c r="H604" s="83"/>
      <c r="I604" s="83"/>
      <c r="J604" s="83"/>
      <c r="K604" s="83"/>
      <c r="L604" s="83"/>
      <c r="M604" s="83"/>
      <c r="N604" s="83"/>
      <c r="O604" s="83"/>
      <c r="P604" s="83"/>
      <c r="Q604" s="83"/>
      <c r="R604" s="83"/>
      <c r="S604" s="83"/>
      <c r="T604" s="83"/>
      <c r="U604" s="83"/>
      <c r="V604" s="83"/>
      <c r="W604" s="83"/>
      <c r="X604" s="83"/>
      <c r="Y604" s="83"/>
      <c r="Z604" s="83"/>
      <c r="AA604" s="83"/>
      <c r="AB604" s="83"/>
      <c r="AC604" s="83"/>
      <c r="AD604" s="83"/>
      <c r="AE604" s="83"/>
      <c r="AF604" s="83"/>
      <c r="AG604" s="83"/>
      <c r="AH604" s="83"/>
      <c r="AI604" s="83"/>
      <c r="AJ604" s="83"/>
      <c r="AK604" s="83"/>
      <c r="AL604" s="83"/>
      <c r="AM604" s="83"/>
      <c r="AN604" s="83"/>
      <c r="AO604" s="83"/>
      <c r="AP604" s="83"/>
      <c r="AQ604" s="83"/>
      <c r="AR604" s="83"/>
      <c r="AS604" s="83"/>
      <c r="AT604" s="83"/>
      <c r="AU604" s="83"/>
      <c r="AV604" s="83"/>
      <c r="AW604" s="83"/>
      <c r="AX604" s="83"/>
      <c r="AY604" s="83"/>
      <c r="AZ604" s="83"/>
      <c r="BA604" s="83"/>
      <c r="BB604" s="83"/>
      <c r="BC604" s="83"/>
    </row>
    <row r="605" customFormat="false" ht="27.75" hidden="false" customHeight="true" outlineLevel="0" collapsed="false">
      <c r="B605" s="81" t="n">
        <v>4</v>
      </c>
      <c r="C605" s="81"/>
      <c r="D605" s="82"/>
      <c r="E605" s="82"/>
      <c r="F605" s="82"/>
      <c r="G605" s="82"/>
      <c r="H605" s="83"/>
      <c r="I605" s="83"/>
      <c r="J605" s="83"/>
      <c r="K605" s="83"/>
      <c r="L605" s="83"/>
      <c r="M605" s="83"/>
      <c r="N605" s="83"/>
      <c r="O605" s="83"/>
      <c r="P605" s="83"/>
      <c r="Q605" s="83"/>
      <c r="R605" s="83"/>
      <c r="S605" s="83"/>
      <c r="T605" s="83"/>
      <c r="U605" s="83"/>
      <c r="V605" s="83"/>
      <c r="W605" s="83"/>
      <c r="X605" s="83"/>
      <c r="Y605" s="83"/>
      <c r="Z605" s="83"/>
      <c r="AA605" s="83"/>
      <c r="AB605" s="83"/>
      <c r="AC605" s="83"/>
      <c r="AD605" s="83"/>
      <c r="AE605" s="83"/>
      <c r="AF605" s="83"/>
      <c r="AG605" s="83"/>
      <c r="AH605" s="83"/>
      <c r="AI605" s="83"/>
      <c r="AJ605" s="83"/>
      <c r="AK605" s="83"/>
      <c r="AL605" s="83"/>
      <c r="AM605" s="83"/>
      <c r="AN605" s="83"/>
      <c r="AO605" s="83"/>
      <c r="AP605" s="83"/>
      <c r="AQ605" s="83"/>
      <c r="AR605" s="83"/>
      <c r="AS605" s="83"/>
      <c r="AT605" s="83"/>
      <c r="AU605" s="83"/>
      <c r="AV605" s="83"/>
      <c r="AW605" s="83"/>
      <c r="AX605" s="83"/>
      <c r="AY605" s="83"/>
      <c r="AZ605" s="83"/>
      <c r="BA605" s="83"/>
      <c r="BB605" s="83"/>
      <c r="BC605" s="83"/>
    </row>
    <row r="606" customFormat="false" ht="27.75" hidden="false" customHeight="true" outlineLevel="0" collapsed="false">
      <c r="B606" s="81" t="n">
        <v>5</v>
      </c>
      <c r="C606" s="81"/>
      <c r="D606" s="82"/>
      <c r="E606" s="82"/>
      <c r="F606" s="82"/>
      <c r="G606" s="82"/>
      <c r="H606" s="83"/>
      <c r="I606" s="83"/>
      <c r="J606" s="83"/>
      <c r="K606" s="83"/>
      <c r="L606" s="83"/>
      <c r="M606" s="83"/>
      <c r="N606" s="83"/>
      <c r="O606" s="83"/>
      <c r="P606" s="83"/>
      <c r="Q606" s="83"/>
      <c r="R606" s="83"/>
      <c r="S606" s="83"/>
      <c r="T606" s="83"/>
      <c r="U606" s="83"/>
      <c r="V606" s="83"/>
      <c r="W606" s="83"/>
      <c r="X606" s="83"/>
      <c r="Y606" s="83"/>
      <c r="Z606" s="83"/>
      <c r="AA606" s="83"/>
      <c r="AB606" s="83"/>
      <c r="AC606" s="83"/>
      <c r="AD606" s="83"/>
      <c r="AE606" s="83"/>
      <c r="AF606" s="83"/>
      <c r="AG606" s="83"/>
      <c r="AH606" s="83"/>
      <c r="AI606" s="83"/>
      <c r="AJ606" s="83"/>
      <c r="AK606" s="83"/>
      <c r="AL606" s="83"/>
      <c r="AM606" s="83"/>
      <c r="AN606" s="83"/>
      <c r="AO606" s="83"/>
      <c r="AP606" s="83"/>
      <c r="AQ606" s="83"/>
      <c r="AR606" s="83"/>
      <c r="AS606" s="83"/>
      <c r="AT606" s="83"/>
      <c r="AU606" s="83"/>
      <c r="AV606" s="83"/>
      <c r="AW606" s="83"/>
      <c r="AX606" s="83"/>
      <c r="AY606" s="83"/>
      <c r="AZ606" s="83"/>
      <c r="BA606" s="83"/>
      <c r="BB606" s="83"/>
      <c r="BC606" s="83"/>
    </row>
    <row r="607" customFormat="false" ht="24" hidden="false" customHeight="true" outlineLevel="0" collapsed="false">
      <c r="B607" s="84" t="s">
        <v>132</v>
      </c>
      <c r="C607" s="84"/>
      <c r="E607" s="85" t="s">
        <v>169</v>
      </c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  <c r="AE607" s="85"/>
      <c r="AF607" s="85"/>
      <c r="AG607" s="85"/>
      <c r="AH607" s="85"/>
      <c r="AI607" s="85"/>
      <c r="AJ607" s="85"/>
      <c r="AK607" s="85"/>
      <c r="AL607" s="85"/>
      <c r="AM607" s="85"/>
      <c r="AN607" s="85"/>
      <c r="AO607" s="85"/>
      <c r="AP607" s="85"/>
      <c r="AQ607" s="85"/>
      <c r="AR607" s="85"/>
      <c r="AS607" s="85"/>
      <c r="AT607" s="85"/>
      <c r="AU607" s="85"/>
      <c r="AV607" s="85"/>
      <c r="AW607" s="85"/>
      <c r="AX607" s="85"/>
      <c r="AY607" s="85"/>
      <c r="AZ607" s="85"/>
      <c r="BA607" s="85"/>
      <c r="BB607" s="85"/>
      <c r="BC607" s="85"/>
    </row>
    <row r="608" customFormat="false" ht="84" hidden="false" customHeight="true" outlineLevel="0" collapsed="false"/>
    <row r="609" customFormat="false" ht="18" hidden="false" customHeight="true" outlineLevel="0" collapsed="false">
      <c r="B609" s="75" t="s">
        <v>134</v>
      </c>
      <c r="C609" s="75"/>
      <c r="D609" s="75"/>
      <c r="E609" s="75"/>
      <c r="F609" s="75"/>
      <c r="G609" s="75"/>
      <c r="H609" s="75"/>
      <c r="I609" s="75"/>
      <c r="J609" s="75"/>
      <c r="K609" s="75"/>
      <c r="L609" s="75"/>
      <c r="M609" s="75"/>
      <c r="N609" s="75"/>
      <c r="O609" s="75"/>
      <c r="P609" s="75"/>
      <c r="Q609" s="75"/>
      <c r="R609" s="75"/>
      <c r="S609" s="75"/>
      <c r="T609" s="75"/>
      <c r="U609" s="75"/>
      <c r="V609" s="75"/>
      <c r="W609" s="75"/>
      <c r="X609" s="75"/>
      <c r="Y609" s="75"/>
      <c r="Z609" s="75"/>
      <c r="AA609" s="75"/>
      <c r="AB609" s="76" t="s">
        <v>170</v>
      </c>
      <c r="AC609" s="76"/>
      <c r="AD609" s="76"/>
      <c r="AE609" s="76"/>
      <c r="AF609" s="76"/>
      <c r="AG609" s="76"/>
      <c r="AH609" s="76"/>
      <c r="AI609" s="76"/>
      <c r="AJ609" s="76"/>
      <c r="AK609" s="76"/>
      <c r="AL609" s="76"/>
      <c r="AM609" s="76"/>
      <c r="AN609" s="76"/>
      <c r="AO609" s="76"/>
      <c r="AP609" s="76"/>
      <c r="AQ609" s="76"/>
      <c r="AR609" s="76"/>
      <c r="AS609" s="76"/>
      <c r="AT609" s="76"/>
      <c r="AU609" s="76"/>
      <c r="AV609" s="76"/>
      <c r="AW609" s="76"/>
      <c r="AX609" s="76"/>
      <c r="AY609" s="76"/>
      <c r="AZ609" s="76"/>
      <c r="BA609" s="76"/>
      <c r="BB609" s="76"/>
      <c r="BC609" s="76"/>
    </row>
    <row r="610" customFormat="false" ht="7.5" hidden="false" customHeight="true" outlineLevel="0" collapsed="false"/>
    <row r="611" customFormat="false" ht="24" hidden="false" customHeight="true" outlineLevel="0" collapsed="false">
      <c r="B611" s="86" t="s">
        <v>115</v>
      </c>
      <c r="C611" s="86"/>
      <c r="D611" s="86"/>
      <c r="E611" s="86"/>
      <c r="F611" s="86"/>
      <c r="H611" s="87" t="s">
        <v>116</v>
      </c>
      <c r="I611" s="87"/>
      <c r="J611" s="87"/>
      <c r="K611" s="87"/>
      <c r="L611" s="87"/>
      <c r="M611" s="87"/>
      <c r="N611" s="87"/>
      <c r="O611" s="87"/>
      <c r="P611" s="87"/>
      <c r="AA611" s="88" t="s">
        <v>136</v>
      </c>
      <c r="AB611" s="88"/>
      <c r="AC611" s="88"/>
      <c r="AD611" s="88"/>
      <c r="AE611" s="88"/>
      <c r="AF611" s="89" t="str">
        <f aca="false">Dashboard!$C$6</f>
        <v>Bindhya TB</v>
      </c>
      <c r="AG611" s="89"/>
      <c r="AH611" s="89"/>
      <c r="AI611" s="89"/>
      <c r="AJ611" s="89"/>
      <c r="AK611" s="89"/>
      <c r="AL611" s="89"/>
      <c r="AM611" s="89"/>
      <c r="AN611" s="89"/>
      <c r="AO611" s="89"/>
      <c r="AP611" s="89"/>
      <c r="AR611" s="88" t="s">
        <v>137</v>
      </c>
      <c r="AS611" s="88"/>
      <c r="AT611" s="89" t="str">
        <f aca="false">TEXT(Cal!H5,"dd mmm")&amp;" to "&amp;TEXT(Cal!I5,"dd mmm yy")</f>
        <v>19 Oct to 24 Oct 26</v>
      </c>
      <c r="AU611" s="89"/>
      <c r="AV611" s="89"/>
      <c r="AW611" s="89"/>
      <c r="AX611" s="89"/>
      <c r="AY611" s="89"/>
      <c r="AZ611" s="89"/>
      <c r="BA611" s="89"/>
      <c r="BB611" s="89"/>
      <c r="BC611" s="89"/>
    </row>
    <row r="612" customFormat="false" ht="3" hidden="false" customHeight="true" outlineLevel="0" collapsed="false"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</row>
    <row r="613" customFormat="false" ht="9.75" hidden="false" customHeight="true" outlineLevel="0" collapsed="false"/>
    <row r="614" customFormat="false" ht="21.75" hidden="false" customHeight="true" outlineLevel="0" collapsed="false">
      <c r="B614" s="6"/>
      <c r="C614" s="19" t="s">
        <v>171</v>
      </c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59" t="s">
        <v>172</v>
      </c>
      <c r="AM614" s="59"/>
      <c r="AN614" s="59"/>
      <c r="AO614" s="59"/>
      <c r="AP614" s="59"/>
      <c r="AQ614" s="59"/>
      <c r="AR614" s="59"/>
      <c r="AS614" s="59"/>
      <c r="AT614" s="59"/>
      <c r="AU614" s="59"/>
      <c r="AV614" s="59"/>
      <c r="AW614" s="59"/>
      <c r="AX614" s="59"/>
      <c r="AY614" s="59"/>
      <c r="AZ614" s="59"/>
      <c r="BA614" s="59"/>
      <c r="BB614" s="59"/>
      <c r="BC614" s="59"/>
    </row>
    <row r="615" customFormat="false" ht="27.75" hidden="false" customHeight="true" outlineLevel="0" collapsed="false">
      <c r="B615" s="79" t="s">
        <v>124</v>
      </c>
      <c r="C615" s="79"/>
      <c r="D615" s="80" t="s">
        <v>140</v>
      </c>
      <c r="E615" s="80"/>
      <c r="F615" s="80"/>
      <c r="G615" s="80"/>
      <c r="H615" s="80" t="s">
        <v>173</v>
      </c>
      <c r="I615" s="80"/>
      <c r="J615" s="80"/>
      <c r="K615" s="80"/>
      <c r="L615" s="80" t="s">
        <v>159</v>
      </c>
      <c r="M615" s="80"/>
      <c r="N615" s="80"/>
      <c r="O615" s="80"/>
      <c r="P615" s="80"/>
      <c r="Q615" s="80"/>
      <c r="R615" s="80"/>
      <c r="S615" s="80"/>
      <c r="T615" s="80"/>
      <c r="U615" s="80"/>
      <c r="V615" s="80"/>
      <c r="W615" s="80"/>
      <c r="X615" s="80"/>
      <c r="Y615" s="80"/>
      <c r="Z615" s="80"/>
      <c r="AA615" s="80"/>
      <c r="AB615" s="80"/>
      <c r="AC615" s="80"/>
      <c r="AD615" s="80"/>
      <c r="AE615" s="80"/>
      <c r="AF615" s="80"/>
      <c r="AG615" s="80"/>
      <c r="AH615" s="80" t="s">
        <v>174</v>
      </c>
      <c r="AI615" s="80"/>
      <c r="AJ615" s="80"/>
      <c r="AK615" s="80"/>
      <c r="AL615" s="80" t="s">
        <v>175</v>
      </c>
      <c r="AM615" s="80"/>
      <c r="AN615" s="80"/>
      <c r="AO615" s="80"/>
      <c r="AP615" s="80"/>
      <c r="AQ615" s="80"/>
      <c r="AR615" s="80"/>
      <c r="AS615" s="80"/>
      <c r="AT615" s="80"/>
      <c r="AU615" s="80"/>
      <c r="AV615" s="80" t="s">
        <v>162</v>
      </c>
      <c r="AW615" s="80"/>
      <c r="AX615" s="80"/>
      <c r="AY615" s="80"/>
      <c r="AZ615" s="80"/>
      <c r="BA615" s="80"/>
      <c r="BB615" s="80"/>
      <c r="BC615" s="80"/>
    </row>
    <row r="616" customFormat="false" ht="27.75" hidden="false" customHeight="true" outlineLevel="0" collapsed="false">
      <c r="B616" s="81" t="n">
        <v>1</v>
      </c>
      <c r="C616" s="81"/>
      <c r="D616" s="82"/>
      <c r="E616" s="82"/>
      <c r="F616" s="82"/>
      <c r="G616" s="82"/>
      <c r="H616" s="83"/>
      <c r="I616" s="83"/>
      <c r="J616" s="83"/>
      <c r="K616" s="83"/>
      <c r="L616" s="83"/>
      <c r="M616" s="83"/>
      <c r="N616" s="83"/>
      <c r="O616" s="83"/>
      <c r="P616" s="83"/>
      <c r="Q616" s="83"/>
      <c r="R616" s="83"/>
      <c r="S616" s="83"/>
      <c r="T616" s="83"/>
      <c r="U616" s="83"/>
      <c r="V616" s="83"/>
      <c r="W616" s="83"/>
      <c r="X616" s="83"/>
      <c r="Y616" s="83"/>
      <c r="Z616" s="83"/>
      <c r="AA616" s="83"/>
      <c r="AB616" s="83"/>
      <c r="AC616" s="83"/>
      <c r="AD616" s="83"/>
      <c r="AE616" s="83"/>
      <c r="AF616" s="83"/>
      <c r="AG616" s="83"/>
      <c r="AH616" s="83"/>
      <c r="AI616" s="83"/>
      <c r="AJ616" s="83"/>
      <c r="AK616" s="83"/>
      <c r="AL616" s="83"/>
      <c r="AM616" s="83"/>
      <c r="AN616" s="83"/>
      <c r="AO616" s="83"/>
      <c r="AP616" s="83"/>
      <c r="AQ616" s="83"/>
      <c r="AR616" s="83"/>
      <c r="AS616" s="83"/>
      <c r="AT616" s="83"/>
      <c r="AU616" s="83"/>
      <c r="AV616" s="83"/>
      <c r="AW616" s="83"/>
      <c r="AX616" s="83"/>
      <c r="AY616" s="83"/>
      <c r="AZ616" s="83"/>
      <c r="BA616" s="83"/>
      <c r="BB616" s="83"/>
      <c r="BC616" s="83"/>
    </row>
    <row r="617" customFormat="false" ht="27.75" hidden="false" customHeight="true" outlineLevel="0" collapsed="false">
      <c r="B617" s="81" t="n">
        <v>2</v>
      </c>
      <c r="C617" s="81"/>
      <c r="D617" s="82"/>
      <c r="E617" s="82"/>
      <c r="F617" s="82"/>
      <c r="G617" s="82"/>
      <c r="H617" s="83"/>
      <c r="I617" s="83"/>
      <c r="J617" s="83"/>
      <c r="K617" s="83"/>
      <c r="L617" s="83"/>
      <c r="M617" s="83"/>
      <c r="N617" s="83"/>
      <c r="O617" s="83"/>
      <c r="P617" s="83"/>
      <c r="Q617" s="83"/>
      <c r="R617" s="83"/>
      <c r="S617" s="83"/>
      <c r="T617" s="83"/>
      <c r="U617" s="83"/>
      <c r="V617" s="83"/>
      <c r="W617" s="83"/>
      <c r="X617" s="83"/>
      <c r="Y617" s="83"/>
      <c r="Z617" s="83"/>
      <c r="AA617" s="83"/>
      <c r="AB617" s="83"/>
      <c r="AC617" s="83"/>
      <c r="AD617" s="83"/>
      <c r="AE617" s="83"/>
      <c r="AF617" s="83"/>
      <c r="AG617" s="83"/>
      <c r="AH617" s="83"/>
      <c r="AI617" s="83"/>
      <c r="AJ617" s="83"/>
      <c r="AK617" s="83"/>
      <c r="AL617" s="83"/>
      <c r="AM617" s="83"/>
      <c r="AN617" s="83"/>
      <c r="AO617" s="83"/>
      <c r="AP617" s="83"/>
      <c r="AQ617" s="83"/>
      <c r="AR617" s="83"/>
      <c r="AS617" s="83"/>
      <c r="AT617" s="83"/>
      <c r="AU617" s="83"/>
      <c r="AV617" s="83"/>
      <c r="AW617" s="83"/>
      <c r="AX617" s="83"/>
      <c r="AY617" s="83"/>
      <c r="AZ617" s="83"/>
      <c r="BA617" s="83"/>
      <c r="BB617" s="83"/>
      <c r="BC617" s="83"/>
    </row>
    <row r="618" customFormat="false" ht="27.75" hidden="false" customHeight="true" outlineLevel="0" collapsed="false">
      <c r="B618" s="81" t="n">
        <v>3</v>
      </c>
      <c r="C618" s="81"/>
      <c r="D618" s="82"/>
      <c r="E618" s="82"/>
      <c r="F618" s="82"/>
      <c r="G618" s="82"/>
      <c r="H618" s="83"/>
      <c r="I618" s="83"/>
      <c r="J618" s="83"/>
      <c r="K618" s="83"/>
      <c r="L618" s="83"/>
      <c r="M618" s="83"/>
      <c r="N618" s="83"/>
      <c r="O618" s="83"/>
      <c r="P618" s="83"/>
      <c r="Q618" s="83"/>
      <c r="R618" s="83"/>
      <c r="S618" s="83"/>
      <c r="T618" s="83"/>
      <c r="U618" s="83"/>
      <c r="V618" s="83"/>
      <c r="W618" s="83"/>
      <c r="X618" s="83"/>
      <c r="Y618" s="83"/>
      <c r="Z618" s="83"/>
      <c r="AA618" s="83"/>
      <c r="AB618" s="83"/>
      <c r="AC618" s="83"/>
      <c r="AD618" s="83"/>
      <c r="AE618" s="83"/>
      <c r="AF618" s="83"/>
      <c r="AG618" s="83"/>
      <c r="AH618" s="83"/>
      <c r="AI618" s="83"/>
      <c r="AJ618" s="83"/>
      <c r="AK618" s="83"/>
      <c r="AL618" s="83"/>
      <c r="AM618" s="83"/>
      <c r="AN618" s="83"/>
      <c r="AO618" s="83"/>
      <c r="AP618" s="83"/>
      <c r="AQ618" s="83"/>
      <c r="AR618" s="83"/>
      <c r="AS618" s="83"/>
      <c r="AT618" s="83"/>
      <c r="AU618" s="83"/>
      <c r="AV618" s="83"/>
      <c r="AW618" s="83"/>
      <c r="AX618" s="83"/>
      <c r="AY618" s="83"/>
      <c r="AZ618" s="83"/>
      <c r="BA618" s="83"/>
      <c r="BB618" s="83"/>
      <c r="BC618" s="83"/>
    </row>
    <row r="619" customFormat="false" ht="27.75" hidden="false" customHeight="true" outlineLevel="0" collapsed="false">
      <c r="B619" s="81" t="n">
        <v>4</v>
      </c>
      <c r="C619" s="81"/>
      <c r="D619" s="82"/>
      <c r="E619" s="82"/>
      <c r="F619" s="82"/>
      <c r="G619" s="82"/>
      <c r="H619" s="83"/>
      <c r="I619" s="83"/>
      <c r="J619" s="83"/>
      <c r="K619" s="83"/>
      <c r="L619" s="83"/>
      <c r="M619" s="83"/>
      <c r="N619" s="83"/>
      <c r="O619" s="83"/>
      <c r="P619" s="83"/>
      <c r="Q619" s="83"/>
      <c r="R619" s="83"/>
      <c r="S619" s="83"/>
      <c r="T619" s="83"/>
      <c r="U619" s="83"/>
      <c r="V619" s="83"/>
      <c r="W619" s="83"/>
      <c r="X619" s="83"/>
      <c r="Y619" s="83"/>
      <c r="Z619" s="83"/>
      <c r="AA619" s="83"/>
      <c r="AB619" s="83"/>
      <c r="AC619" s="83"/>
      <c r="AD619" s="83"/>
      <c r="AE619" s="83"/>
      <c r="AF619" s="83"/>
      <c r="AG619" s="83"/>
      <c r="AH619" s="83"/>
      <c r="AI619" s="83"/>
      <c r="AJ619" s="83"/>
      <c r="AK619" s="83"/>
      <c r="AL619" s="83"/>
      <c r="AM619" s="83"/>
      <c r="AN619" s="83"/>
      <c r="AO619" s="83"/>
      <c r="AP619" s="83"/>
      <c r="AQ619" s="83"/>
      <c r="AR619" s="83"/>
      <c r="AS619" s="83"/>
      <c r="AT619" s="83"/>
      <c r="AU619" s="83"/>
      <c r="AV619" s="83"/>
      <c r="AW619" s="83"/>
      <c r="AX619" s="83"/>
      <c r="AY619" s="83"/>
      <c r="AZ619" s="83"/>
      <c r="BA619" s="83"/>
      <c r="BB619" s="83"/>
      <c r="BC619" s="83"/>
    </row>
    <row r="620" customFormat="false" ht="27.75" hidden="false" customHeight="true" outlineLevel="0" collapsed="false">
      <c r="B620" s="81" t="n">
        <v>5</v>
      </c>
      <c r="C620" s="81"/>
      <c r="D620" s="82"/>
      <c r="E620" s="82"/>
      <c r="F620" s="82"/>
      <c r="G620" s="82"/>
      <c r="H620" s="83"/>
      <c r="I620" s="83"/>
      <c r="J620" s="83"/>
      <c r="K620" s="83"/>
      <c r="L620" s="83"/>
      <c r="M620" s="83"/>
      <c r="N620" s="83"/>
      <c r="O620" s="83"/>
      <c r="P620" s="83"/>
      <c r="Q620" s="83"/>
      <c r="R620" s="83"/>
      <c r="S620" s="83"/>
      <c r="T620" s="83"/>
      <c r="U620" s="83"/>
      <c r="V620" s="83"/>
      <c r="W620" s="83"/>
      <c r="X620" s="83"/>
      <c r="Y620" s="83"/>
      <c r="Z620" s="83"/>
      <c r="AA620" s="83"/>
      <c r="AB620" s="83"/>
      <c r="AC620" s="83"/>
      <c r="AD620" s="83"/>
      <c r="AE620" s="83"/>
      <c r="AF620" s="83"/>
      <c r="AG620" s="83"/>
      <c r="AH620" s="83"/>
      <c r="AI620" s="83"/>
      <c r="AJ620" s="83"/>
      <c r="AK620" s="83"/>
      <c r="AL620" s="83"/>
      <c r="AM620" s="83"/>
      <c r="AN620" s="83"/>
      <c r="AO620" s="83"/>
      <c r="AP620" s="83"/>
      <c r="AQ620" s="83"/>
      <c r="AR620" s="83"/>
      <c r="AS620" s="83"/>
      <c r="AT620" s="83"/>
      <c r="AU620" s="83"/>
      <c r="AV620" s="83"/>
      <c r="AW620" s="83"/>
      <c r="AX620" s="83"/>
      <c r="AY620" s="83"/>
      <c r="AZ620" s="83"/>
      <c r="BA620" s="83"/>
      <c r="BB620" s="83"/>
      <c r="BC620" s="83"/>
    </row>
    <row r="621" customFormat="false" ht="27.75" hidden="false" customHeight="true" outlineLevel="0" collapsed="false">
      <c r="B621" s="81" t="n">
        <v>6</v>
      </c>
      <c r="C621" s="81"/>
      <c r="D621" s="82"/>
      <c r="E621" s="82"/>
      <c r="F621" s="82"/>
      <c r="G621" s="82"/>
      <c r="H621" s="83"/>
      <c r="I621" s="83"/>
      <c r="J621" s="83"/>
      <c r="K621" s="83"/>
      <c r="L621" s="83"/>
      <c r="M621" s="83"/>
      <c r="N621" s="83"/>
      <c r="O621" s="83"/>
      <c r="P621" s="83"/>
      <c r="Q621" s="83"/>
      <c r="R621" s="83"/>
      <c r="S621" s="83"/>
      <c r="T621" s="83"/>
      <c r="U621" s="83"/>
      <c r="V621" s="83"/>
      <c r="W621" s="83"/>
      <c r="X621" s="83"/>
      <c r="Y621" s="83"/>
      <c r="Z621" s="83"/>
      <c r="AA621" s="83"/>
      <c r="AB621" s="83"/>
      <c r="AC621" s="83"/>
      <c r="AD621" s="83"/>
      <c r="AE621" s="83"/>
      <c r="AF621" s="83"/>
      <c r="AG621" s="83"/>
      <c r="AH621" s="83"/>
      <c r="AI621" s="83"/>
      <c r="AJ621" s="83"/>
      <c r="AK621" s="83"/>
      <c r="AL621" s="83"/>
      <c r="AM621" s="83"/>
      <c r="AN621" s="83"/>
      <c r="AO621" s="83"/>
      <c r="AP621" s="83"/>
      <c r="AQ621" s="83"/>
      <c r="AR621" s="83"/>
      <c r="AS621" s="83"/>
      <c r="AT621" s="83"/>
      <c r="AU621" s="83"/>
      <c r="AV621" s="83"/>
      <c r="AW621" s="83"/>
      <c r="AX621" s="83"/>
      <c r="AY621" s="83"/>
      <c r="AZ621" s="83"/>
      <c r="BA621" s="83"/>
      <c r="BB621" s="83"/>
      <c r="BC621" s="83"/>
    </row>
    <row r="622" customFormat="false" ht="24" hidden="false" customHeight="true" outlineLevel="0" collapsed="false">
      <c r="B622" s="84" t="s">
        <v>132</v>
      </c>
      <c r="C622" s="84"/>
      <c r="E622" s="85" t="s">
        <v>177</v>
      </c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  <c r="AE622" s="85"/>
      <c r="AF622" s="85"/>
      <c r="AG622" s="85"/>
      <c r="AH622" s="85"/>
      <c r="AI622" s="85"/>
      <c r="AJ622" s="85"/>
      <c r="AK622" s="85"/>
      <c r="AL622" s="85"/>
      <c r="AM622" s="85"/>
      <c r="AN622" s="85"/>
      <c r="AO622" s="85"/>
      <c r="AP622" s="85"/>
      <c r="AQ622" s="85"/>
      <c r="AR622" s="85"/>
      <c r="AS622" s="85"/>
      <c r="AT622" s="85"/>
      <c r="AU622" s="85"/>
      <c r="AV622" s="85"/>
      <c r="AW622" s="85"/>
      <c r="AX622" s="85"/>
      <c r="AY622" s="85"/>
      <c r="AZ622" s="85"/>
      <c r="BA622" s="85"/>
      <c r="BB622" s="85"/>
      <c r="BC622" s="85"/>
    </row>
    <row r="623" customFormat="false" ht="9.75" hidden="false" customHeight="true" outlineLevel="0" collapsed="false"/>
    <row r="624" customFormat="false" ht="21.75" hidden="false" customHeight="true" outlineLevel="0" collapsed="false">
      <c r="B624" s="6"/>
      <c r="C624" s="19" t="s">
        <v>178</v>
      </c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59" t="s">
        <v>179</v>
      </c>
      <c r="AM624" s="59"/>
      <c r="AN624" s="59"/>
      <c r="AO624" s="59"/>
      <c r="AP624" s="59"/>
      <c r="AQ624" s="59"/>
      <c r="AR624" s="59"/>
      <c r="AS624" s="59"/>
      <c r="AT624" s="59"/>
      <c r="AU624" s="59"/>
      <c r="AV624" s="59"/>
      <c r="AW624" s="59"/>
      <c r="AX624" s="59"/>
      <c r="AY624" s="59"/>
      <c r="AZ624" s="59"/>
      <c r="BA624" s="59"/>
      <c r="BB624" s="59"/>
      <c r="BC624" s="59"/>
    </row>
    <row r="625" customFormat="false" ht="27.75" hidden="false" customHeight="true" outlineLevel="0" collapsed="false">
      <c r="B625" s="79" t="s">
        <v>124</v>
      </c>
      <c r="C625" s="79"/>
      <c r="D625" s="80" t="s">
        <v>140</v>
      </c>
      <c r="E625" s="80"/>
      <c r="F625" s="80"/>
      <c r="G625" s="80"/>
      <c r="H625" s="80" t="s">
        <v>180</v>
      </c>
      <c r="I625" s="80"/>
      <c r="J625" s="80"/>
      <c r="K625" s="80"/>
      <c r="L625" s="80"/>
      <c r="M625" s="80"/>
      <c r="N625" s="80"/>
      <c r="O625" s="80"/>
      <c r="P625" s="80" t="s">
        <v>181</v>
      </c>
      <c r="Q625" s="80"/>
      <c r="R625" s="80"/>
      <c r="S625" s="80"/>
      <c r="T625" s="80" t="s">
        <v>182</v>
      </c>
      <c r="U625" s="80"/>
      <c r="V625" s="80"/>
      <c r="W625" s="80"/>
      <c r="X625" s="80"/>
      <c r="Y625" s="80"/>
      <c r="Z625" s="80"/>
      <c r="AA625" s="80"/>
      <c r="AB625" s="80"/>
      <c r="AC625" s="80"/>
      <c r="AD625" s="80"/>
      <c r="AE625" s="80"/>
      <c r="AF625" s="80" t="s">
        <v>183</v>
      </c>
      <c r="AG625" s="80"/>
      <c r="AH625" s="80"/>
      <c r="AI625" s="80"/>
      <c r="AJ625" s="80"/>
      <c r="AK625" s="80"/>
      <c r="AL625" s="80"/>
      <c r="AM625" s="80"/>
      <c r="AN625" s="80"/>
      <c r="AO625" s="80"/>
      <c r="AP625" s="80"/>
      <c r="AQ625" s="80"/>
      <c r="AR625" s="80"/>
      <c r="AS625" s="80"/>
      <c r="AT625" s="80"/>
      <c r="AU625" s="80"/>
      <c r="AV625" s="80"/>
      <c r="AW625" s="80"/>
      <c r="AX625" s="80"/>
      <c r="AY625" s="80"/>
      <c r="AZ625" s="80"/>
      <c r="BA625" s="80"/>
      <c r="BB625" s="80"/>
      <c r="BC625" s="80"/>
    </row>
    <row r="626" customFormat="false" ht="24" hidden="false" customHeight="true" outlineLevel="0" collapsed="false">
      <c r="B626" s="81" t="n">
        <v>1</v>
      </c>
      <c r="C626" s="81"/>
      <c r="D626" s="82"/>
      <c r="E626" s="82"/>
      <c r="F626" s="82"/>
      <c r="G626" s="82"/>
      <c r="H626" s="83"/>
      <c r="I626" s="83"/>
      <c r="J626" s="83"/>
      <c r="K626" s="83"/>
      <c r="L626" s="83"/>
      <c r="M626" s="83"/>
      <c r="N626" s="83"/>
      <c r="O626" s="83"/>
      <c r="P626" s="83"/>
      <c r="Q626" s="83"/>
      <c r="R626" s="83"/>
      <c r="S626" s="83"/>
      <c r="T626" s="83"/>
      <c r="U626" s="83"/>
      <c r="V626" s="83"/>
      <c r="W626" s="83"/>
      <c r="X626" s="83"/>
      <c r="Y626" s="83"/>
      <c r="Z626" s="83"/>
      <c r="AA626" s="83"/>
      <c r="AB626" s="83"/>
      <c r="AC626" s="83"/>
      <c r="AD626" s="83"/>
      <c r="AE626" s="83"/>
      <c r="AF626" s="83"/>
      <c r="AG626" s="83"/>
      <c r="AH626" s="83"/>
      <c r="AI626" s="83"/>
      <c r="AJ626" s="83"/>
      <c r="AK626" s="83"/>
      <c r="AL626" s="83"/>
      <c r="AM626" s="83"/>
      <c r="AN626" s="83"/>
      <c r="AO626" s="83"/>
      <c r="AP626" s="83"/>
      <c r="AQ626" s="83"/>
      <c r="AR626" s="83"/>
      <c r="AS626" s="83"/>
      <c r="AT626" s="83"/>
      <c r="AU626" s="83"/>
      <c r="AV626" s="83"/>
      <c r="AW626" s="83"/>
      <c r="AX626" s="83"/>
      <c r="AY626" s="83"/>
      <c r="AZ626" s="83"/>
      <c r="BA626" s="83"/>
      <c r="BB626" s="83"/>
      <c r="BC626" s="83"/>
    </row>
    <row r="627" customFormat="false" ht="24" hidden="false" customHeight="true" outlineLevel="0" collapsed="false">
      <c r="B627" s="81" t="n">
        <v>2</v>
      </c>
      <c r="C627" s="81"/>
      <c r="D627" s="82"/>
      <c r="E627" s="82"/>
      <c r="F627" s="82"/>
      <c r="G627" s="82"/>
      <c r="H627" s="83"/>
      <c r="I627" s="83"/>
      <c r="J627" s="83"/>
      <c r="K627" s="83"/>
      <c r="L627" s="83"/>
      <c r="M627" s="83"/>
      <c r="N627" s="83"/>
      <c r="O627" s="83"/>
      <c r="P627" s="83"/>
      <c r="Q627" s="83"/>
      <c r="R627" s="83"/>
      <c r="S627" s="83"/>
      <c r="T627" s="83"/>
      <c r="U627" s="83"/>
      <c r="V627" s="83"/>
      <c r="W627" s="83"/>
      <c r="X627" s="83"/>
      <c r="Y627" s="83"/>
      <c r="Z627" s="83"/>
      <c r="AA627" s="83"/>
      <c r="AB627" s="83"/>
      <c r="AC627" s="83"/>
      <c r="AD627" s="83"/>
      <c r="AE627" s="83"/>
      <c r="AF627" s="83"/>
      <c r="AG627" s="83"/>
      <c r="AH627" s="83"/>
      <c r="AI627" s="83"/>
      <c r="AJ627" s="83"/>
      <c r="AK627" s="83"/>
      <c r="AL627" s="83"/>
      <c r="AM627" s="83"/>
      <c r="AN627" s="83"/>
      <c r="AO627" s="83"/>
      <c r="AP627" s="83"/>
      <c r="AQ627" s="83"/>
      <c r="AR627" s="83"/>
      <c r="AS627" s="83"/>
      <c r="AT627" s="83"/>
      <c r="AU627" s="83"/>
      <c r="AV627" s="83"/>
      <c r="AW627" s="83"/>
      <c r="AX627" s="83"/>
      <c r="AY627" s="83"/>
      <c r="AZ627" s="83"/>
      <c r="BA627" s="83"/>
      <c r="BB627" s="83"/>
      <c r="BC627" s="83"/>
    </row>
    <row r="628" customFormat="false" ht="24" hidden="false" customHeight="true" outlineLevel="0" collapsed="false">
      <c r="B628" s="81" t="n">
        <v>3</v>
      </c>
      <c r="C628" s="81"/>
      <c r="D628" s="82"/>
      <c r="E628" s="82"/>
      <c r="F628" s="82"/>
      <c r="G628" s="82"/>
      <c r="H628" s="83"/>
      <c r="I628" s="83"/>
      <c r="J628" s="83"/>
      <c r="K628" s="83"/>
      <c r="L628" s="83"/>
      <c r="M628" s="83"/>
      <c r="N628" s="83"/>
      <c r="O628" s="83"/>
      <c r="P628" s="83"/>
      <c r="Q628" s="83"/>
      <c r="R628" s="83"/>
      <c r="S628" s="83"/>
      <c r="T628" s="83"/>
      <c r="U628" s="83"/>
      <c r="V628" s="83"/>
      <c r="W628" s="83"/>
      <c r="X628" s="83"/>
      <c r="Y628" s="83"/>
      <c r="Z628" s="83"/>
      <c r="AA628" s="83"/>
      <c r="AB628" s="83"/>
      <c r="AC628" s="83"/>
      <c r="AD628" s="83"/>
      <c r="AE628" s="83"/>
      <c r="AF628" s="83"/>
      <c r="AG628" s="83"/>
      <c r="AH628" s="83"/>
      <c r="AI628" s="83"/>
      <c r="AJ628" s="83"/>
      <c r="AK628" s="83"/>
      <c r="AL628" s="83"/>
      <c r="AM628" s="83"/>
      <c r="AN628" s="83"/>
      <c r="AO628" s="83"/>
      <c r="AP628" s="83"/>
      <c r="AQ628" s="83"/>
      <c r="AR628" s="83"/>
      <c r="AS628" s="83"/>
      <c r="AT628" s="83"/>
      <c r="AU628" s="83"/>
      <c r="AV628" s="83"/>
      <c r="AW628" s="83"/>
      <c r="AX628" s="83"/>
      <c r="AY628" s="83"/>
      <c r="AZ628" s="83"/>
      <c r="BA628" s="83"/>
      <c r="BB628" s="83"/>
      <c r="BC628" s="83"/>
    </row>
    <row r="629" customFormat="false" ht="24" hidden="false" customHeight="true" outlineLevel="0" collapsed="false">
      <c r="B629" s="81" t="n">
        <v>4</v>
      </c>
      <c r="C629" s="81"/>
      <c r="D629" s="82"/>
      <c r="E629" s="82"/>
      <c r="F629" s="82"/>
      <c r="G629" s="82"/>
      <c r="H629" s="83"/>
      <c r="I629" s="83"/>
      <c r="J629" s="83"/>
      <c r="K629" s="83"/>
      <c r="L629" s="83"/>
      <c r="M629" s="83"/>
      <c r="N629" s="83"/>
      <c r="O629" s="83"/>
      <c r="P629" s="83"/>
      <c r="Q629" s="83"/>
      <c r="R629" s="83"/>
      <c r="S629" s="83"/>
      <c r="T629" s="83"/>
      <c r="U629" s="83"/>
      <c r="V629" s="83"/>
      <c r="W629" s="83"/>
      <c r="X629" s="83"/>
      <c r="Y629" s="83"/>
      <c r="Z629" s="83"/>
      <c r="AA629" s="83"/>
      <c r="AB629" s="83"/>
      <c r="AC629" s="83"/>
      <c r="AD629" s="83"/>
      <c r="AE629" s="83"/>
      <c r="AF629" s="83"/>
      <c r="AG629" s="83"/>
      <c r="AH629" s="83"/>
      <c r="AI629" s="83"/>
      <c r="AJ629" s="83"/>
      <c r="AK629" s="83"/>
      <c r="AL629" s="83"/>
      <c r="AM629" s="83"/>
      <c r="AN629" s="83"/>
      <c r="AO629" s="83"/>
      <c r="AP629" s="83"/>
      <c r="AQ629" s="83"/>
      <c r="AR629" s="83"/>
      <c r="AS629" s="83"/>
      <c r="AT629" s="83"/>
      <c r="AU629" s="83"/>
      <c r="AV629" s="83"/>
      <c r="AW629" s="83"/>
      <c r="AX629" s="83"/>
      <c r="AY629" s="83"/>
      <c r="AZ629" s="83"/>
      <c r="BA629" s="83"/>
      <c r="BB629" s="83"/>
      <c r="BC629" s="83"/>
    </row>
    <row r="630" customFormat="false" ht="24" hidden="false" customHeight="true" outlineLevel="0" collapsed="false">
      <c r="B630" s="81" t="n">
        <v>5</v>
      </c>
      <c r="C630" s="81"/>
      <c r="D630" s="82"/>
      <c r="E630" s="82"/>
      <c r="F630" s="82"/>
      <c r="G630" s="82"/>
      <c r="H630" s="83"/>
      <c r="I630" s="83"/>
      <c r="J630" s="83"/>
      <c r="K630" s="83"/>
      <c r="L630" s="83"/>
      <c r="M630" s="83"/>
      <c r="N630" s="83"/>
      <c r="O630" s="83"/>
      <c r="P630" s="83"/>
      <c r="Q630" s="83"/>
      <c r="R630" s="83"/>
      <c r="S630" s="83"/>
      <c r="T630" s="83"/>
      <c r="U630" s="83"/>
      <c r="V630" s="83"/>
      <c r="W630" s="83"/>
      <c r="X630" s="83"/>
      <c r="Y630" s="83"/>
      <c r="Z630" s="83"/>
      <c r="AA630" s="83"/>
      <c r="AB630" s="83"/>
      <c r="AC630" s="83"/>
      <c r="AD630" s="83"/>
      <c r="AE630" s="83"/>
      <c r="AF630" s="83"/>
      <c r="AG630" s="83"/>
      <c r="AH630" s="83"/>
      <c r="AI630" s="83"/>
      <c r="AJ630" s="83"/>
      <c r="AK630" s="83"/>
      <c r="AL630" s="83"/>
      <c r="AM630" s="83"/>
      <c r="AN630" s="83"/>
      <c r="AO630" s="83"/>
      <c r="AP630" s="83"/>
      <c r="AQ630" s="83"/>
      <c r="AR630" s="83"/>
      <c r="AS630" s="83"/>
      <c r="AT630" s="83"/>
      <c r="AU630" s="83"/>
      <c r="AV630" s="83"/>
      <c r="AW630" s="83"/>
      <c r="AX630" s="83"/>
      <c r="AY630" s="83"/>
      <c r="AZ630" s="83"/>
      <c r="BA630" s="83"/>
      <c r="BB630" s="83"/>
      <c r="BC630" s="83"/>
    </row>
    <row r="631" customFormat="false" ht="24" hidden="false" customHeight="true" outlineLevel="0" collapsed="false">
      <c r="B631" s="81" t="n">
        <v>6</v>
      </c>
      <c r="C631" s="81"/>
      <c r="D631" s="82"/>
      <c r="E631" s="82"/>
      <c r="F631" s="82"/>
      <c r="G631" s="82"/>
      <c r="H631" s="83"/>
      <c r="I631" s="83"/>
      <c r="J631" s="83"/>
      <c r="K631" s="83"/>
      <c r="L631" s="83"/>
      <c r="M631" s="83"/>
      <c r="N631" s="83"/>
      <c r="O631" s="83"/>
      <c r="P631" s="83"/>
      <c r="Q631" s="83"/>
      <c r="R631" s="83"/>
      <c r="S631" s="83"/>
      <c r="T631" s="83"/>
      <c r="U631" s="83"/>
      <c r="V631" s="83"/>
      <c r="W631" s="83"/>
      <c r="X631" s="83"/>
      <c r="Y631" s="83"/>
      <c r="Z631" s="83"/>
      <c r="AA631" s="83"/>
      <c r="AB631" s="83"/>
      <c r="AC631" s="83"/>
      <c r="AD631" s="83"/>
      <c r="AE631" s="83"/>
      <c r="AF631" s="83"/>
      <c r="AG631" s="83"/>
      <c r="AH631" s="83"/>
      <c r="AI631" s="83"/>
      <c r="AJ631" s="83"/>
      <c r="AK631" s="83"/>
      <c r="AL631" s="83"/>
      <c r="AM631" s="83"/>
      <c r="AN631" s="83"/>
      <c r="AO631" s="83"/>
      <c r="AP631" s="83"/>
      <c r="AQ631" s="83"/>
      <c r="AR631" s="83"/>
      <c r="AS631" s="83"/>
      <c r="AT631" s="83"/>
      <c r="AU631" s="83"/>
      <c r="AV631" s="83"/>
      <c r="AW631" s="83"/>
      <c r="AX631" s="83"/>
      <c r="AY631" s="83"/>
      <c r="AZ631" s="83"/>
      <c r="BA631" s="83"/>
      <c r="BB631" s="83"/>
      <c r="BC631" s="83"/>
    </row>
    <row r="632" customFormat="false" ht="24" hidden="false" customHeight="true" outlineLevel="0" collapsed="false">
      <c r="B632" s="81" t="n">
        <v>7</v>
      </c>
      <c r="C632" s="81"/>
      <c r="D632" s="82"/>
      <c r="E632" s="82"/>
      <c r="F632" s="82"/>
      <c r="G632" s="82"/>
      <c r="H632" s="83"/>
      <c r="I632" s="83"/>
      <c r="J632" s="83"/>
      <c r="K632" s="83"/>
      <c r="L632" s="83"/>
      <c r="M632" s="83"/>
      <c r="N632" s="83"/>
      <c r="O632" s="83"/>
      <c r="P632" s="83"/>
      <c r="Q632" s="83"/>
      <c r="R632" s="83"/>
      <c r="S632" s="83"/>
      <c r="T632" s="83"/>
      <c r="U632" s="83"/>
      <c r="V632" s="83"/>
      <c r="W632" s="83"/>
      <c r="X632" s="83"/>
      <c r="Y632" s="83"/>
      <c r="Z632" s="83"/>
      <c r="AA632" s="83"/>
      <c r="AB632" s="83"/>
      <c r="AC632" s="83"/>
      <c r="AD632" s="83"/>
      <c r="AE632" s="83"/>
      <c r="AF632" s="83"/>
      <c r="AG632" s="83"/>
      <c r="AH632" s="83"/>
      <c r="AI632" s="83"/>
      <c r="AJ632" s="83"/>
      <c r="AK632" s="83"/>
      <c r="AL632" s="83"/>
      <c r="AM632" s="83"/>
      <c r="AN632" s="83"/>
      <c r="AO632" s="83"/>
      <c r="AP632" s="83"/>
      <c r="AQ632" s="83"/>
      <c r="AR632" s="83"/>
      <c r="AS632" s="83"/>
      <c r="AT632" s="83"/>
      <c r="AU632" s="83"/>
      <c r="AV632" s="83"/>
      <c r="AW632" s="83"/>
      <c r="AX632" s="83"/>
      <c r="AY632" s="83"/>
      <c r="AZ632" s="83"/>
      <c r="BA632" s="83"/>
      <c r="BB632" s="83"/>
      <c r="BC632" s="83"/>
    </row>
    <row r="633" customFormat="false" ht="24" hidden="false" customHeight="true" outlineLevel="0" collapsed="false">
      <c r="B633" s="84" t="s">
        <v>132</v>
      </c>
      <c r="C633" s="84"/>
      <c r="E633" s="85" t="s">
        <v>184</v>
      </c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  <c r="AE633" s="85"/>
      <c r="AF633" s="85"/>
      <c r="AG633" s="85"/>
      <c r="AH633" s="85"/>
      <c r="AI633" s="85"/>
      <c r="AJ633" s="85"/>
      <c r="AK633" s="85"/>
      <c r="AL633" s="85"/>
      <c r="AM633" s="85"/>
      <c r="AN633" s="85"/>
      <c r="AO633" s="85"/>
      <c r="AP633" s="85"/>
      <c r="AQ633" s="85"/>
      <c r="AR633" s="85"/>
      <c r="AS633" s="85"/>
      <c r="AT633" s="85"/>
      <c r="AU633" s="85"/>
      <c r="AV633" s="85"/>
      <c r="AW633" s="85"/>
      <c r="AX633" s="85"/>
      <c r="AY633" s="85"/>
      <c r="AZ633" s="85"/>
      <c r="BA633" s="85"/>
      <c r="BB633" s="85"/>
      <c r="BC633" s="85"/>
    </row>
    <row r="634" customFormat="false" ht="27.75" hidden="false" customHeight="true" outlineLevel="0" collapsed="false"/>
    <row r="635" customFormat="false" ht="18" hidden="false" customHeight="true" outlineLevel="0" collapsed="false">
      <c r="B635" s="75" t="s">
        <v>134</v>
      </c>
      <c r="C635" s="75"/>
      <c r="D635" s="75"/>
      <c r="E635" s="75"/>
      <c r="F635" s="75"/>
      <c r="G635" s="75"/>
      <c r="H635" s="75"/>
      <c r="I635" s="75"/>
      <c r="J635" s="75"/>
      <c r="K635" s="75"/>
      <c r="L635" s="75"/>
      <c r="M635" s="75"/>
      <c r="N635" s="75"/>
      <c r="O635" s="75"/>
      <c r="P635" s="75"/>
      <c r="Q635" s="75"/>
      <c r="R635" s="75"/>
      <c r="S635" s="75"/>
      <c r="T635" s="75"/>
      <c r="U635" s="75"/>
      <c r="V635" s="75"/>
      <c r="W635" s="75"/>
      <c r="X635" s="75"/>
      <c r="Y635" s="75"/>
      <c r="Z635" s="75"/>
      <c r="AA635" s="75"/>
      <c r="AB635" s="76" t="s">
        <v>185</v>
      </c>
      <c r="AC635" s="76"/>
      <c r="AD635" s="76"/>
      <c r="AE635" s="76"/>
      <c r="AF635" s="76"/>
      <c r="AG635" s="76"/>
      <c r="AH635" s="76"/>
      <c r="AI635" s="76"/>
      <c r="AJ635" s="76"/>
      <c r="AK635" s="76"/>
      <c r="AL635" s="76"/>
      <c r="AM635" s="76"/>
      <c r="AN635" s="76"/>
      <c r="AO635" s="76"/>
      <c r="AP635" s="76"/>
      <c r="AQ635" s="76"/>
      <c r="AR635" s="76"/>
      <c r="AS635" s="76"/>
      <c r="AT635" s="76"/>
      <c r="AU635" s="76"/>
      <c r="AV635" s="76"/>
      <c r="AW635" s="76"/>
      <c r="AX635" s="76"/>
      <c r="AY635" s="76"/>
      <c r="AZ635" s="76"/>
      <c r="BA635" s="76"/>
      <c r="BB635" s="76"/>
      <c r="BC635" s="76"/>
    </row>
    <row r="636" customFormat="false" ht="7.5" hidden="false" customHeight="true" outlineLevel="0" collapsed="false"/>
    <row r="637" customFormat="false" ht="24" hidden="false" customHeight="true" outlineLevel="0" collapsed="false">
      <c r="B637" s="86" t="s">
        <v>115</v>
      </c>
      <c r="C637" s="86"/>
      <c r="D637" s="86"/>
      <c r="E637" s="86"/>
      <c r="F637" s="86"/>
      <c r="H637" s="87" t="s">
        <v>116</v>
      </c>
      <c r="I637" s="87"/>
      <c r="J637" s="87"/>
      <c r="K637" s="87"/>
      <c r="L637" s="87"/>
      <c r="M637" s="87"/>
      <c r="N637" s="87"/>
      <c r="O637" s="87"/>
      <c r="P637" s="87"/>
      <c r="AA637" s="88" t="s">
        <v>136</v>
      </c>
      <c r="AB637" s="88"/>
      <c r="AC637" s="88"/>
      <c r="AD637" s="88"/>
      <c r="AE637" s="88"/>
      <c r="AF637" s="89" t="str">
        <f aca="false">Dashboard!$C$6</f>
        <v>Bindhya TB</v>
      </c>
      <c r="AG637" s="89"/>
      <c r="AH637" s="89"/>
      <c r="AI637" s="89"/>
      <c r="AJ637" s="89"/>
      <c r="AK637" s="89"/>
      <c r="AL637" s="89"/>
      <c r="AM637" s="89"/>
      <c r="AN637" s="89"/>
      <c r="AO637" s="89"/>
      <c r="AP637" s="89"/>
      <c r="AR637" s="88" t="s">
        <v>137</v>
      </c>
      <c r="AS637" s="88"/>
      <c r="AT637" s="89" t="str">
        <f aca="false">TEXT(Cal!H5,"dd mmm")&amp;" to "&amp;TEXT(Cal!I5,"dd mmm yy")</f>
        <v>19 Oct to 24 Oct 26</v>
      </c>
      <c r="AU637" s="89"/>
      <c r="AV637" s="89"/>
      <c r="AW637" s="89"/>
      <c r="AX637" s="89"/>
      <c r="AY637" s="89"/>
      <c r="AZ637" s="89"/>
      <c r="BA637" s="89"/>
      <c r="BB637" s="89"/>
      <c r="BC637" s="89"/>
    </row>
    <row r="638" customFormat="false" ht="3" hidden="false" customHeight="true" outlineLevel="0" collapsed="false"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</row>
    <row r="639" customFormat="false" ht="9.75" hidden="false" customHeight="true" outlineLevel="0" collapsed="false"/>
    <row r="640" customFormat="false" ht="21.75" hidden="false" customHeight="true" outlineLevel="0" collapsed="false">
      <c r="B640" s="6"/>
      <c r="C640" s="19" t="s">
        <v>186</v>
      </c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59" t="s">
        <v>187</v>
      </c>
      <c r="AM640" s="59"/>
      <c r="AN640" s="59"/>
      <c r="AO640" s="59"/>
      <c r="AP640" s="59"/>
      <c r="AQ640" s="59"/>
      <c r="AR640" s="59"/>
      <c r="AS640" s="59"/>
      <c r="AT640" s="59"/>
      <c r="AU640" s="59"/>
      <c r="AV640" s="59"/>
      <c r="AW640" s="59"/>
      <c r="AX640" s="59"/>
      <c r="AY640" s="59"/>
      <c r="AZ640" s="59"/>
      <c r="BA640" s="59"/>
      <c r="BB640" s="59"/>
      <c r="BC640" s="59"/>
    </row>
    <row r="641" customFormat="false" ht="27.75" hidden="false" customHeight="true" outlineLevel="0" collapsed="false">
      <c r="B641" s="79" t="s">
        <v>124</v>
      </c>
      <c r="C641" s="79"/>
      <c r="D641" s="80" t="s">
        <v>127</v>
      </c>
      <c r="E641" s="80"/>
      <c r="F641" s="80"/>
      <c r="G641" s="80"/>
      <c r="H641" s="80"/>
      <c r="I641" s="80"/>
      <c r="J641" s="80"/>
      <c r="K641" s="80"/>
      <c r="L641" s="80"/>
      <c r="M641" s="80"/>
      <c r="N641" s="80" t="s">
        <v>126</v>
      </c>
      <c r="O641" s="80"/>
      <c r="P641" s="80"/>
      <c r="Q641" s="80"/>
      <c r="R641" s="80"/>
      <c r="S641" s="80"/>
      <c r="T641" s="80"/>
      <c r="U641" s="80"/>
      <c r="V641" s="80" t="s">
        <v>188</v>
      </c>
      <c r="W641" s="80"/>
      <c r="X641" s="80"/>
      <c r="Y641" s="80"/>
      <c r="Z641" s="80"/>
      <c r="AA641" s="80"/>
      <c r="AB641" s="80"/>
      <c r="AC641" s="80"/>
      <c r="AD641" s="80"/>
      <c r="AE641" s="80"/>
      <c r="AF641" s="80"/>
      <c r="AG641" s="80"/>
      <c r="AH641" s="80"/>
      <c r="AI641" s="80"/>
      <c r="AJ641" s="80"/>
      <c r="AK641" s="80"/>
      <c r="AL641" s="80"/>
      <c r="AM641" s="80"/>
      <c r="AN641" s="80"/>
      <c r="AO641" s="80"/>
      <c r="AP641" s="80"/>
      <c r="AQ641" s="80"/>
      <c r="AR641" s="80"/>
      <c r="AS641" s="80"/>
      <c r="AT641" s="80"/>
      <c r="AU641" s="80"/>
      <c r="AV641" s="80" t="s">
        <v>189</v>
      </c>
      <c r="AW641" s="80"/>
      <c r="AX641" s="80"/>
      <c r="AY641" s="80"/>
      <c r="AZ641" s="80"/>
      <c r="BA641" s="80"/>
      <c r="BB641" s="80"/>
      <c r="BC641" s="80"/>
    </row>
    <row r="642" customFormat="false" ht="27.75" hidden="false" customHeight="true" outlineLevel="0" collapsed="false">
      <c r="B642" s="81" t="n">
        <v>1</v>
      </c>
      <c r="C642" s="81"/>
      <c r="D642" s="83"/>
      <c r="E642" s="83"/>
      <c r="F642" s="83"/>
      <c r="G642" s="83"/>
      <c r="H642" s="83"/>
      <c r="I642" s="83"/>
      <c r="J642" s="83"/>
      <c r="K642" s="83"/>
      <c r="L642" s="83"/>
      <c r="M642" s="83"/>
      <c r="N642" s="83"/>
      <c r="O642" s="83"/>
      <c r="P642" s="83"/>
      <c r="Q642" s="83"/>
      <c r="R642" s="83"/>
      <c r="S642" s="83"/>
      <c r="T642" s="83"/>
      <c r="U642" s="83"/>
      <c r="V642" s="83"/>
      <c r="W642" s="83"/>
      <c r="X642" s="83"/>
      <c r="Y642" s="83"/>
      <c r="Z642" s="83"/>
      <c r="AA642" s="83"/>
      <c r="AB642" s="83"/>
      <c r="AC642" s="83"/>
      <c r="AD642" s="83"/>
      <c r="AE642" s="83"/>
      <c r="AF642" s="83"/>
      <c r="AG642" s="83"/>
      <c r="AH642" s="83"/>
      <c r="AI642" s="83"/>
      <c r="AJ642" s="83"/>
      <c r="AK642" s="83"/>
      <c r="AL642" s="83"/>
      <c r="AM642" s="83"/>
      <c r="AN642" s="83"/>
      <c r="AO642" s="83"/>
      <c r="AP642" s="83"/>
      <c r="AQ642" s="83"/>
      <c r="AR642" s="83"/>
      <c r="AS642" s="83"/>
      <c r="AT642" s="83"/>
      <c r="AU642" s="83"/>
      <c r="AV642" s="82"/>
      <c r="AW642" s="82"/>
      <c r="AX642" s="82"/>
      <c r="AY642" s="82"/>
      <c r="AZ642" s="82"/>
      <c r="BA642" s="82"/>
      <c r="BB642" s="82"/>
      <c r="BC642" s="82"/>
    </row>
    <row r="643" customFormat="false" ht="27.75" hidden="false" customHeight="true" outlineLevel="0" collapsed="false">
      <c r="B643" s="81" t="n">
        <v>2</v>
      </c>
      <c r="C643" s="81"/>
      <c r="D643" s="83"/>
      <c r="E643" s="83"/>
      <c r="F643" s="83"/>
      <c r="G643" s="83"/>
      <c r="H643" s="83"/>
      <c r="I643" s="83"/>
      <c r="J643" s="83"/>
      <c r="K643" s="83"/>
      <c r="L643" s="83"/>
      <c r="M643" s="83"/>
      <c r="N643" s="83"/>
      <c r="O643" s="83"/>
      <c r="P643" s="83"/>
      <c r="Q643" s="83"/>
      <c r="R643" s="83"/>
      <c r="S643" s="83"/>
      <c r="T643" s="83"/>
      <c r="U643" s="83"/>
      <c r="V643" s="83"/>
      <c r="W643" s="83"/>
      <c r="X643" s="83"/>
      <c r="Y643" s="83"/>
      <c r="Z643" s="83"/>
      <c r="AA643" s="83"/>
      <c r="AB643" s="83"/>
      <c r="AC643" s="83"/>
      <c r="AD643" s="83"/>
      <c r="AE643" s="83"/>
      <c r="AF643" s="83"/>
      <c r="AG643" s="83"/>
      <c r="AH643" s="83"/>
      <c r="AI643" s="83"/>
      <c r="AJ643" s="83"/>
      <c r="AK643" s="83"/>
      <c r="AL643" s="83"/>
      <c r="AM643" s="83"/>
      <c r="AN643" s="83"/>
      <c r="AO643" s="83"/>
      <c r="AP643" s="83"/>
      <c r="AQ643" s="83"/>
      <c r="AR643" s="83"/>
      <c r="AS643" s="83"/>
      <c r="AT643" s="83"/>
      <c r="AU643" s="83"/>
      <c r="AV643" s="82"/>
      <c r="AW643" s="82"/>
      <c r="AX643" s="82"/>
      <c r="AY643" s="82"/>
      <c r="AZ643" s="82"/>
      <c r="BA643" s="82"/>
      <c r="BB643" s="82"/>
      <c r="BC643" s="82"/>
    </row>
    <row r="644" customFormat="false" ht="27.75" hidden="false" customHeight="true" outlineLevel="0" collapsed="false">
      <c r="B644" s="81" t="n">
        <v>3</v>
      </c>
      <c r="C644" s="81"/>
      <c r="D644" s="83"/>
      <c r="E644" s="83"/>
      <c r="F644" s="83"/>
      <c r="G644" s="83"/>
      <c r="H644" s="83"/>
      <c r="I644" s="83"/>
      <c r="J644" s="83"/>
      <c r="K644" s="83"/>
      <c r="L644" s="83"/>
      <c r="M644" s="83"/>
      <c r="N644" s="83"/>
      <c r="O644" s="83"/>
      <c r="P644" s="83"/>
      <c r="Q644" s="83"/>
      <c r="R644" s="83"/>
      <c r="S644" s="83"/>
      <c r="T644" s="83"/>
      <c r="U644" s="83"/>
      <c r="V644" s="83"/>
      <c r="W644" s="83"/>
      <c r="X644" s="83"/>
      <c r="Y644" s="83"/>
      <c r="Z644" s="83"/>
      <c r="AA644" s="83"/>
      <c r="AB644" s="83"/>
      <c r="AC644" s="83"/>
      <c r="AD644" s="83"/>
      <c r="AE644" s="83"/>
      <c r="AF644" s="83"/>
      <c r="AG644" s="83"/>
      <c r="AH644" s="83"/>
      <c r="AI644" s="83"/>
      <c r="AJ644" s="83"/>
      <c r="AK644" s="83"/>
      <c r="AL644" s="83"/>
      <c r="AM644" s="83"/>
      <c r="AN644" s="83"/>
      <c r="AO644" s="83"/>
      <c r="AP644" s="83"/>
      <c r="AQ644" s="83"/>
      <c r="AR644" s="83"/>
      <c r="AS644" s="83"/>
      <c r="AT644" s="83"/>
      <c r="AU644" s="83"/>
      <c r="AV644" s="82"/>
      <c r="AW644" s="82"/>
      <c r="AX644" s="82"/>
      <c r="AY644" s="82"/>
      <c r="AZ644" s="82"/>
      <c r="BA644" s="82"/>
      <c r="BB644" s="82"/>
      <c r="BC644" s="82"/>
    </row>
    <row r="645" customFormat="false" ht="27.75" hidden="false" customHeight="true" outlineLevel="0" collapsed="false">
      <c r="B645" s="81" t="n">
        <v>4</v>
      </c>
      <c r="C645" s="81"/>
      <c r="D645" s="83"/>
      <c r="E645" s="83"/>
      <c r="F645" s="83"/>
      <c r="G645" s="83"/>
      <c r="H645" s="83"/>
      <c r="I645" s="83"/>
      <c r="J645" s="83"/>
      <c r="K645" s="83"/>
      <c r="L645" s="83"/>
      <c r="M645" s="83"/>
      <c r="N645" s="83"/>
      <c r="O645" s="83"/>
      <c r="P645" s="83"/>
      <c r="Q645" s="83"/>
      <c r="R645" s="83"/>
      <c r="S645" s="83"/>
      <c r="T645" s="83"/>
      <c r="U645" s="83"/>
      <c r="V645" s="83"/>
      <c r="W645" s="83"/>
      <c r="X645" s="83"/>
      <c r="Y645" s="83"/>
      <c r="Z645" s="83"/>
      <c r="AA645" s="83"/>
      <c r="AB645" s="83"/>
      <c r="AC645" s="83"/>
      <c r="AD645" s="83"/>
      <c r="AE645" s="83"/>
      <c r="AF645" s="83"/>
      <c r="AG645" s="83"/>
      <c r="AH645" s="83"/>
      <c r="AI645" s="83"/>
      <c r="AJ645" s="83"/>
      <c r="AK645" s="83"/>
      <c r="AL645" s="83"/>
      <c r="AM645" s="83"/>
      <c r="AN645" s="83"/>
      <c r="AO645" s="83"/>
      <c r="AP645" s="83"/>
      <c r="AQ645" s="83"/>
      <c r="AR645" s="83"/>
      <c r="AS645" s="83"/>
      <c r="AT645" s="83"/>
      <c r="AU645" s="83"/>
      <c r="AV645" s="82"/>
      <c r="AW645" s="82"/>
      <c r="AX645" s="82"/>
      <c r="AY645" s="82"/>
      <c r="AZ645" s="82"/>
      <c r="BA645" s="82"/>
      <c r="BB645" s="82"/>
      <c r="BC645" s="82"/>
    </row>
    <row r="646" customFormat="false" ht="27.75" hidden="false" customHeight="true" outlineLevel="0" collapsed="false">
      <c r="B646" s="81" t="n">
        <v>5</v>
      </c>
      <c r="C646" s="81"/>
      <c r="D646" s="83"/>
      <c r="E646" s="83"/>
      <c r="F646" s="83"/>
      <c r="G646" s="83"/>
      <c r="H646" s="83"/>
      <c r="I646" s="83"/>
      <c r="J646" s="83"/>
      <c r="K646" s="83"/>
      <c r="L646" s="83"/>
      <c r="M646" s="83"/>
      <c r="N646" s="83"/>
      <c r="O646" s="83"/>
      <c r="P646" s="83"/>
      <c r="Q646" s="83"/>
      <c r="R646" s="83"/>
      <c r="S646" s="83"/>
      <c r="T646" s="83"/>
      <c r="U646" s="83"/>
      <c r="V646" s="83"/>
      <c r="W646" s="83"/>
      <c r="X646" s="83"/>
      <c r="Y646" s="83"/>
      <c r="Z646" s="83"/>
      <c r="AA646" s="83"/>
      <c r="AB646" s="83"/>
      <c r="AC646" s="83"/>
      <c r="AD646" s="83"/>
      <c r="AE646" s="83"/>
      <c r="AF646" s="83"/>
      <c r="AG646" s="83"/>
      <c r="AH646" s="83"/>
      <c r="AI646" s="83"/>
      <c r="AJ646" s="83"/>
      <c r="AK646" s="83"/>
      <c r="AL646" s="83"/>
      <c r="AM646" s="83"/>
      <c r="AN646" s="83"/>
      <c r="AO646" s="83"/>
      <c r="AP646" s="83"/>
      <c r="AQ646" s="83"/>
      <c r="AR646" s="83"/>
      <c r="AS646" s="83"/>
      <c r="AT646" s="83"/>
      <c r="AU646" s="83"/>
      <c r="AV646" s="82"/>
      <c r="AW646" s="82"/>
      <c r="AX646" s="82"/>
      <c r="AY646" s="82"/>
      <c r="AZ646" s="82"/>
      <c r="BA646" s="82"/>
      <c r="BB646" s="82"/>
      <c r="BC646" s="82"/>
    </row>
    <row r="647" customFormat="false" ht="27.75" hidden="false" customHeight="true" outlineLevel="0" collapsed="false">
      <c r="B647" s="81" t="n">
        <v>6</v>
      </c>
      <c r="C647" s="81"/>
      <c r="D647" s="83"/>
      <c r="E647" s="83"/>
      <c r="F647" s="83"/>
      <c r="G647" s="83"/>
      <c r="H647" s="83"/>
      <c r="I647" s="83"/>
      <c r="J647" s="83"/>
      <c r="K647" s="83"/>
      <c r="L647" s="83"/>
      <c r="M647" s="83"/>
      <c r="N647" s="83"/>
      <c r="O647" s="83"/>
      <c r="P647" s="83"/>
      <c r="Q647" s="83"/>
      <c r="R647" s="83"/>
      <c r="S647" s="83"/>
      <c r="T647" s="83"/>
      <c r="U647" s="83"/>
      <c r="V647" s="83"/>
      <c r="W647" s="83"/>
      <c r="X647" s="83"/>
      <c r="Y647" s="83"/>
      <c r="Z647" s="83"/>
      <c r="AA647" s="83"/>
      <c r="AB647" s="83"/>
      <c r="AC647" s="83"/>
      <c r="AD647" s="83"/>
      <c r="AE647" s="83"/>
      <c r="AF647" s="83"/>
      <c r="AG647" s="83"/>
      <c r="AH647" s="83"/>
      <c r="AI647" s="83"/>
      <c r="AJ647" s="83"/>
      <c r="AK647" s="83"/>
      <c r="AL647" s="83"/>
      <c r="AM647" s="83"/>
      <c r="AN647" s="83"/>
      <c r="AO647" s="83"/>
      <c r="AP647" s="83"/>
      <c r="AQ647" s="83"/>
      <c r="AR647" s="83"/>
      <c r="AS647" s="83"/>
      <c r="AT647" s="83"/>
      <c r="AU647" s="83"/>
      <c r="AV647" s="82"/>
      <c r="AW647" s="82"/>
      <c r="AX647" s="82"/>
      <c r="AY647" s="82"/>
      <c r="AZ647" s="82"/>
      <c r="BA647" s="82"/>
      <c r="BB647" s="82"/>
      <c r="BC647" s="82"/>
    </row>
    <row r="648" customFormat="false" ht="9.75" hidden="false" customHeight="true" outlineLevel="0" collapsed="false"/>
    <row r="649" customFormat="false" ht="21.75" hidden="false" customHeight="true" outlineLevel="0" collapsed="false">
      <c r="B649" s="6"/>
      <c r="C649" s="19" t="s">
        <v>190</v>
      </c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59" t="s">
        <v>191</v>
      </c>
      <c r="AM649" s="59"/>
      <c r="AN649" s="59"/>
      <c r="AO649" s="59"/>
      <c r="AP649" s="59"/>
      <c r="AQ649" s="59"/>
      <c r="AR649" s="59"/>
      <c r="AS649" s="59"/>
      <c r="AT649" s="59"/>
      <c r="AU649" s="59"/>
      <c r="AV649" s="59"/>
      <c r="AW649" s="59"/>
      <c r="AX649" s="59"/>
      <c r="AY649" s="59"/>
      <c r="AZ649" s="59"/>
      <c r="BA649" s="59"/>
      <c r="BB649" s="59"/>
      <c r="BC649" s="59"/>
    </row>
    <row r="650" customFormat="false" ht="27.75" hidden="false" customHeight="true" outlineLevel="0" collapsed="false">
      <c r="B650" s="79" t="s">
        <v>124</v>
      </c>
      <c r="C650" s="79"/>
      <c r="D650" s="80" t="s">
        <v>126</v>
      </c>
      <c r="E650" s="80"/>
      <c r="F650" s="80"/>
      <c r="G650" s="80"/>
      <c r="H650" s="80"/>
      <c r="I650" s="80"/>
      <c r="J650" s="80"/>
      <c r="K650" s="80"/>
      <c r="L650" s="80"/>
      <c r="M650" s="80" t="s">
        <v>149</v>
      </c>
      <c r="N650" s="80"/>
      <c r="O650" s="80"/>
      <c r="P650" s="80"/>
      <c r="Q650" s="80"/>
      <c r="R650" s="80"/>
      <c r="S650" s="80"/>
      <c r="T650" s="80"/>
      <c r="U650" s="80"/>
      <c r="V650" s="80"/>
      <c r="W650" s="80"/>
      <c r="X650" s="80"/>
      <c r="Y650" s="80" t="s">
        <v>192</v>
      </c>
      <c r="Z650" s="80"/>
      <c r="AA650" s="80"/>
      <c r="AB650" s="80"/>
      <c r="AC650" s="80"/>
      <c r="AD650" s="80"/>
      <c r="AE650" s="80"/>
      <c r="AF650" s="80"/>
      <c r="AG650" s="80"/>
      <c r="AH650" s="80"/>
      <c r="AI650" s="80"/>
      <c r="AJ650" s="80"/>
      <c r="AK650" s="80"/>
      <c r="AL650" s="80"/>
      <c r="AM650" s="80"/>
      <c r="AN650" s="80"/>
      <c r="AO650" s="80"/>
      <c r="AP650" s="80" t="s">
        <v>193</v>
      </c>
      <c r="AQ650" s="80"/>
      <c r="AR650" s="80"/>
      <c r="AS650" s="80"/>
      <c r="AT650" s="80"/>
      <c r="AU650" s="80"/>
      <c r="AV650" s="80"/>
      <c r="AW650" s="80"/>
      <c r="AX650" s="80"/>
      <c r="AY650" s="80"/>
      <c r="AZ650" s="80"/>
      <c r="BA650" s="80"/>
      <c r="BB650" s="80"/>
      <c r="BC650" s="80"/>
    </row>
    <row r="651" customFormat="false" ht="27.75" hidden="false" customHeight="true" outlineLevel="0" collapsed="false">
      <c r="B651" s="81" t="n">
        <v>1</v>
      </c>
      <c r="C651" s="81"/>
      <c r="D651" s="83"/>
      <c r="E651" s="83"/>
      <c r="F651" s="83"/>
      <c r="G651" s="83"/>
      <c r="H651" s="83"/>
      <c r="I651" s="83"/>
      <c r="J651" s="83"/>
      <c r="K651" s="83"/>
      <c r="L651" s="83"/>
      <c r="M651" s="83"/>
      <c r="N651" s="83"/>
      <c r="O651" s="83"/>
      <c r="P651" s="83"/>
      <c r="Q651" s="83"/>
      <c r="R651" s="83"/>
      <c r="S651" s="83"/>
      <c r="T651" s="83"/>
      <c r="U651" s="83"/>
      <c r="V651" s="83"/>
      <c r="W651" s="83"/>
      <c r="X651" s="83"/>
      <c r="Y651" s="83"/>
      <c r="Z651" s="83"/>
      <c r="AA651" s="83"/>
      <c r="AB651" s="83"/>
      <c r="AC651" s="83"/>
      <c r="AD651" s="83"/>
      <c r="AE651" s="83"/>
      <c r="AF651" s="83"/>
      <c r="AG651" s="83"/>
      <c r="AH651" s="83"/>
      <c r="AI651" s="83"/>
      <c r="AJ651" s="83"/>
      <c r="AK651" s="83"/>
      <c r="AL651" s="83"/>
      <c r="AM651" s="83"/>
      <c r="AN651" s="83"/>
      <c r="AO651" s="83"/>
      <c r="AP651" s="83"/>
      <c r="AQ651" s="83"/>
      <c r="AR651" s="83"/>
      <c r="AS651" s="83"/>
      <c r="AT651" s="83"/>
      <c r="AU651" s="83"/>
      <c r="AV651" s="83"/>
      <c r="AW651" s="83"/>
      <c r="AX651" s="83"/>
      <c r="AY651" s="83"/>
      <c r="AZ651" s="83"/>
      <c r="BA651" s="83"/>
      <c r="BB651" s="83"/>
      <c r="BC651" s="83"/>
    </row>
    <row r="652" customFormat="false" ht="27.75" hidden="false" customHeight="true" outlineLevel="0" collapsed="false">
      <c r="B652" s="81" t="n">
        <v>2</v>
      </c>
      <c r="C652" s="81"/>
      <c r="D652" s="83"/>
      <c r="E652" s="83"/>
      <c r="F652" s="83"/>
      <c r="G652" s="83"/>
      <c r="H652" s="83"/>
      <c r="I652" s="83"/>
      <c r="J652" s="83"/>
      <c r="K652" s="83"/>
      <c r="L652" s="83"/>
      <c r="M652" s="83"/>
      <c r="N652" s="83"/>
      <c r="O652" s="83"/>
      <c r="P652" s="83"/>
      <c r="Q652" s="83"/>
      <c r="R652" s="83"/>
      <c r="S652" s="83"/>
      <c r="T652" s="83"/>
      <c r="U652" s="83"/>
      <c r="V652" s="83"/>
      <c r="W652" s="83"/>
      <c r="X652" s="83"/>
      <c r="Y652" s="83"/>
      <c r="Z652" s="83"/>
      <c r="AA652" s="83"/>
      <c r="AB652" s="83"/>
      <c r="AC652" s="83"/>
      <c r="AD652" s="83"/>
      <c r="AE652" s="83"/>
      <c r="AF652" s="83"/>
      <c r="AG652" s="83"/>
      <c r="AH652" s="83"/>
      <c r="AI652" s="83"/>
      <c r="AJ652" s="83"/>
      <c r="AK652" s="83"/>
      <c r="AL652" s="83"/>
      <c r="AM652" s="83"/>
      <c r="AN652" s="83"/>
      <c r="AO652" s="83"/>
      <c r="AP652" s="83"/>
      <c r="AQ652" s="83"/>
      <c r="AR652" s="83"/>
      <c r="AS652" s="83"/>
      <c r="AT652" s="83"/>
      <c r="AU652" s="83"/>
      <c r="AV652" s="83"/>
      <c r="AW652" s="83"/>
      <c r="AX652" s="83"/>
      <c r="AY652" s="83"/>
      <c r="AZ652" s="83"/>
      <c r="BA652" s="83"/>
      <c r="BB652" s="83"/>
      <c r="BC652" s="83"/>
    </row>
    <row r="653" customFormat="false" ht="27.75" hidden="false" customHeight="true" outlineLevel="0" collapsed="false">
      <c r="B653" s="81" t="n">
        <v>3</v>
      </c>
      <c r="C653" s="81"/>
      <c r="D653" s="83"/>
      <c r="E653" s="83"/>
      <c r="F653" s="83"/>
      <c r="G653" s="83"/>
      <c r="H653" s="83"/>
      <c r="I653" s="83"/>
      <c r="J653" s="83"/>
      <c r="K653" s="83"/>
      <c r="L653" s="83"/>
      <c r="M653" s="83"/>
      <c r="N653" s="83"/>
      <c r="O653" s="83"/>
      <c r="P653" s="83"/>
      <c r="Q653" s="83"/>
      <c r="R653" s="83"/>
      <c r="S653" s="83"/>
      <c r="T653" s="83"/>
      <c r="U653" s="83"/>
      <c r="V653" s="83"/>
      <c r="W653" s="83"/>
      <c r="X653" s="83"/>
      <c r="Y653" s="83"/>
      <c r="Z653" s="83"/>
      <c r="AA653" s="83"/>
      <c r="AB653" s="83"/>
      <c r="AC653" s="83"/>
      <c r="AD653" s="83"/>
      <c r="AE653" s="83"/>
      <c r="AF653" s="83"/>
      <c r="AG653" s="83"/>
      <c r="AH653" s="83"/>
      <c r="AI653" s="83"/>
      <c r="AJ653" s="83"/>
      <c r="AK653" s="83"/>
      <c r="AL653" s="83"/>
      <c r="AM653" s="83"/>
      <c r="AN653" s="83"/>
      <c r="AO653" s="83"/>
      <c r="AP653" s="83"/>
      <c r="AQ653" s="83"/>
      <c r="AR653" s="83"/>
      <c r="AS653" s="83"/>
      <c r="AT653" s="83"/>
      <c r="AU653" s="83"/>
      <c r="AV653" s="83"/>
      <c r="AW653" s="83"/>
      <c r="AX653" s="83"/>
      <c r="AY653" s="83"/>
      <c r="AZ653" s="83"/>
      <c r="BA653" s="83"/>
      <c r="BB653" s="83"/>
      <c r="BC653" s="83"/>
    </row>
    <row r="654" customFormat="false" ht="27.75" hidden="false" customHeight="true" outlineLevel="0" collapsed="false">
      <c r="B654" s="81" t="n">
        <v>4</v>
      </c>
      <c r="C654" s="81"/>
      <c r="D654" s="83"/>
      <c r="E654" s="83"/>
      <c r="F654" s="83"/>
      <c r="G654" s="83"/>
      <c r="H654" s="83"/>
      <c r="I654" s="83"/>
      <c r="J654" s="83"/>
      <c r="K654" s="83"/>
      <c r="L654" s="83"/>
      <c r="M654" s="83"/>
      <c r="N654" s="83"/>
      <c r="O654" s="83"/>
      <c r="P654" s="83"/>
      <c r="Q654" s="83"/>
      <c r="R654" s="83"/>
      <c r="S654" s="83"/>
      <c r="T654" s="83"/>
      <c r="U654" s="83"/>
      <c r="V654" s="83"/>
      <c r="W654" s="83"/>
      <c r="X654" s="83"/>
      <c r="Y654" s="83"/>
      <c r="Z654" s="83"/>
      <c r="AA654" s="83"/>
      <c r="AB654" s="83"/>
      <c r="AC654" s="83"/>
      <c r="AD654" s="83"/>
      <c r="AE654" s="83"/>
      <c r="AF654" s="83"/>
      <c r="AG654" s="83"/>
      <c r="AH654" s="83"/>
      <c r="AI654" s="83"/>
      <c r="AJ654" s="83"/>
      <c r="AK654" s="83"/>
      <c r="AL654" s="83"/>
      <c r="AM654" s="83"/>
      <c r="AN654" s="83"/>
      <c r="AO654" s="83"/>
      <c r="AP654" s="83"/>
      <c r="AQ654" s="83"/>
      <c r="AR654" s="83"/>
      <c r="AS654" s="83"/>
      <c r="AT654" s="83"/>
      <c r="AU654" s="83"/>
      <c r="AV654" s="83"/>
      <c r="AW654" s="83"/>
      <c r="AX654" s="83"/>
      <c r="AY654" s="83"/>
      <c r="AZ654" s="83"/>
      <c r="BA654" s="83"/>
      <c r="BB654" s="83"/>
      <c r="BC654" s="83"/>
    </row>
    <row r="655" customFormat="false" ht="27.75" hidden="false" customHeight="true" outlineLevel="0" collapsed="false">
      <c r="B655" s="81" t="n">
        <v>5</v>
      </c>
      <c r="C655" s="81"/>
      <c r="D655" s="83"/>
      <c r="E655" s="83"/>
      <c r="F655" s="83"/>
      <c r="G655" s="83"/>
      <c r="H655" s="83"/>
      <c r="I655" s="83"/>
      <c r="J655" s="83"/>
      <c r="K655" s="83"/>
      <c r="L655" s="83"/>
      <c r="M655" s="83"/>
      <c r="N655" s="83"/>
      <c r="O655" s="83"/>
      <c r="P655" s="83"/>
      <c r="Q655" s="83"/>
      <c r="R655" s="83"/>
      <c r="S655" s="83"/>
      <c r="T655" s="83"/>
      <c r="U655" s="83"/>
      <c r="V655" s="83"/>
      <c r="W655" s="83"/>
      <c r="X655" s="83"/>
      <c r="Y655" s="83"/>
      <c r="Z655" s="83"/>
      <c r="AA655" s="83"/>
      <c r="AB655" s="83"/>
      <c r="AC655" s="83"/>
      <c r="AD655" s="83"/>
      <c r="AE655" s="83"/>
      <c r="AF655" s="83"/>
      <c r="AG655" s="83"/>
      <c r="AH655" s="83"/>
      <c r="AI655" s="83"/>
      <c r="AJ655" s="83"/>
      <c r="AK655" s="83"/>
      <c r="AL655" s="83"/>
      <c r="AM655" s="83"/>
      <c r="AN655" s="83"/>
      <c r="AO655" s="83"/>
      <c r="AP655" s="83"/>
      <c r="AQ655" s="83"/>
      <c r="AR655" s="83"/>
      <c r="AS655" s="83"/>
      <c r="AT655" s="83"/>
      <c r="AU655" s="83"/>
      <c r="AV655" s="83"/>
      <c r="AW655" s="83"/>
      <c r="AX655" s="83"/>
      <c r="AY655" s="83"/>
      <c r="AZ655" s="83"/>
      <c r="BA655" s="83"/>
      <c r="BB655" s="83"/>
      <c r="BC655" s="83"/>
    </row>
    <row r="656" customFormat="false" ht="103.5" hidden="false" customHeight="true" outlineLevel="0" collapsed="false"/>
    <row r="657" customFormat="false" ht="18" hidden="false" customHeight="true" outlineLevel="0" collapsed="false">
      <c r="B657" s="75" t="s">
        <v>134</v>
      </c>
      <c r="C657" s="75"/>
      <c r="D657" s="75"/>
      <c r="E657" s="75"/>
      <c r="F657" s="75"/>
      <c r="G657" s="75"/>
      <c r="H657" s="75"/>
      <c r="I657" s="75"/>
      <c r="J657" s="75"/>
      <c r="K657" s="75"/>
      <c r="L657" s="75"/>
      <c r="M657" s="75"/>
      <c r="N657" s="75"/>
      <c r="O657" s="75"/>
      <c r="P657" s="75"/>
      <c r="Q657" s="75"/>
      <c r="R657" s="75"/>
      <c r="S657" s="75"/>
      <c r="T657" s="75"/>
      <c r="U657" s="75"/>
      <c r="V657" s="75"/>
      <c r="W657" s="75"/>
      <c r="X657" s="75"/>
      <c r="Y657" s="75"/>
      <c r="Z657" s="75"/>
      <c r="AA657" s="75"/>
      <c r="AB657" s="76" t="s">
        <v>194</v>
      </c>
      <c r="AC657" s="76"/>
      <c r="AD657" s="76"/>
      <c r="AE657" s="76"/>
      <c r="AF657" s="76"/>
      <c r="AG657" s="76"/>
      <c r="AH657" s="76"/>
      <c r="AI657" s="76"/>
      <c r="AJ657" s="76"/>
      <c r="AK657" s="76"/>
      <c r="AL657" s="76"/>
      <c r="AM657" s="76"/>
      <c r="AN657" s="76"/>
      <c r="AO657" s="76"/>
      <c r="AP657" s="76"/>
      <c r="AQ657" s="76"/>
      <c r="AR657" s="76"/>
      <c r="AS657" s="76"/>
      <c r="AT657" s="76"/>
      <c r="AU657" s="76"/>
      <c r="AV657" s="76"/>
      <c r="AW657" s="76"/>
      <c r="AX657" s="76"/>
      <c r="AY657" s="76"/>
      <c r="AZ657" s="76"/>
      <c r="BA657" s="76"/>
      <c r="BB657" s="76"/>
      <c r="BC657" s="76"/>
    </row>
    <row r="658" customFormat="false" ht="7.5" hidden="false" customHeight="true" outlineLevel="0" collapsed="false"/>
    <row r="659" customFormat="false" ht="24" hidden="false" customHeight="true" outlineLevel="0" collapsed="false">
      <c r="B659" s="86" t="s">
        <v>115</v>
      </c>
      <c r="C659" s="86"/>
      <c r="D659" s="86"/>
      <c r="E659" s="86"/>
      <c r="F659" s="86"/>
      <c r="H659" s="87" t="s">
        <v>116</v>
      </c>
      <c r="I659" s="87"/>
      <c r="J659" s="87"/>
      <c r="K659" s="87"/>
      <c r="L659" s="87"/>
      <c r="M659" s="87"/>
      <c r="N659" s="87"/>
      <c r="O659" s="87"/>
      <c r="P659" s="87"/>
      <c r="AA659" s="88" t="s">
        <v>136</v>
      </c>
      <c r="AB659" s="88"/>
      <c r="AC659" s="88"/>
      <c r="AD659" s="88"/>
      <c r="AE659" s="88"/>
      <c r="AF659" s="89" t="str">
        <f aca="false">Dashboard!$C$6</f>
        <v>Bindhya TB</v>
      </c>
      <c r="AG659" s="89"/>
      <c r="AH659" s="89"/>
      <c r="AI659" s="89"/>
      <c r="AJ659" s="89"/>
      <c r="AK659" s="89"/>
      <c r="AL659" s="89"/>
      <c r="AM659" s="89"/>
      <c r="AN659" s="89"/>
      <c r="AO659" s="89"/>
      <c r="AP659" s="89"/>
      <c r="AR659" s="88" t="s">
        <v>137</v>
      </c>
      <c r="AS659" s="88"/>
      <c r="AT659" s="89" t="str">
        <f aca="false">TEXT(Cal!H5,"dd mmm")&amp;" to "&amp;TEXT(Cal!I5,"dd mmm yy")</f>
        <v>19 Oct to 24 Oct 26</v>
      </c>
      <c r="AU659" s="89"/>
      <c r="AV659" s="89"/>
      <c r="AW659" s="89"/>
      <c r="AX659" s="89"/>
      <c r="AY659" s="89"/>
      <c r="AZ659" s="89"/>
      <c r="BA659" s="89"/>
      <c r="BB659" s="89"/>
      <c r="BC659" s="89"/>
    </row>
    <row r="660" customFormat="false" ht="3" hidden="false" customHeight="true" outlineLevel="0" collapsed="false"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</row>
    <row r="661" customFormat="false" ht="9.75" hidden="false" customHeight="true" outlineLevel="0" collapsed="false"/>
    <row r="662" customFormat="false" ht="21.75" hidden="false" customHeight="true" outlineLevel="0" collapsed="false">
      <c r="B662" s="6"/>
      <c r="C662" s="19" t="s">
        <v>195</v>
      </c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59" t="s">
        <v>196</v>
      </c>
      <c r="AM662" s="59"/>
      <c r="AN662" s="59"/>
      <c r="AO662" s="59"/>
      <c r="AP662" s="59"/>
      <c r="AQ662" s="59"/>
      <c r="AR662" s="59"/>
      <c r="AS662" s="59"/>
      <c r="AT662" s="59"/>
      <c r="AU662" s="59"/>
      <c r="AV662" s="59"/>
      <c r="AW662" s="59"/>
      <c r="AX662" s="59"/>
      <c r="AY662" s="59"/>
      <c r="AZ662" s="59"/>
      <c r="BA662" s="59"/>
      <c r="BB662" s="59"/>
      <c r="BC662" s="59"/>
    </row>
    <row r="663" customFormat="false" ht="27.75" hidden="false" customHeight="true" outlineLevel="0" collapsed="false">
      <c r="B663" s="79" t="s">
        <v>124</v>
      </c>
      <c r="C663" s="79"/>
      <c r="D663" s="80" t="s">
        <v>140</v>
      </c>
      <c r="E663" s="80"/>
      <c r="F663" s="80"/>
      <c r="G663" s="80"/>
      <c r="H663" s="80" t="s">
        <v>141</v>
      </c>
      <c r="I663" s="80"/>
      <c r="J663" s="80"/>
      <c r="K663" s="80"/>
      <c r="L663" s="80"/>
      <c r="M663" s="80"/>
      <c r="N663" s="80"/>
      <c r="O663" s="80"/>
      <c r="P663" s="80"/>
      <c r="Q663" s="80" t="s">
        <v>197</v>
      </c>
      <c r="R663" s="80"/>
      <c r="S663" s="80"/>
      <c r="T663" s="80"/>
      <c r="U663" s="80"/>
      <c r="V663" s="80"/>
      <c r="W663" s="80" t="s">
        <v>142</v>
      </c>
      <c r="X663" s="80"/>
      <c r="Y663" s="80"/>
      <c r="Z663" s="80"/>
      <c r="AA663" s="80"/>
      <c r="AB663" s="80"/>
      <c r="AC663" s="80"/>
      <c r="AD663" s="80"/>
      <c r="AE663" s="80"/>
      <c r="AF663" s="80"/>
      <c r="AG663" s="80"/>
      <c r="AH663" s="80"/>
      <c r="AI663" s="80"/>
      <c r="AJ663" s="80"/>
      <c r="AK663" s="80"/>
      <c r="AL663" s="80"/>
      <c r="AM663" s="80"/>
      <c r="AN663" s="80"/>
      <c r="AO663" s="80"/>
      <c r="AP663" s="80"/>
      <c r="AQ663" s="80"/>
      <c r="AR663" s="80"/>
      <c r="AS663" s="80"/>
      <c r="AT663" s="80"/>
      <c r="AU663" s="80"/>
      <c r="AV663" s="80"/>
      <c r="AW663" s="80"/>
      <c r="AX663" s="80"/>
      <c r="AY663" s="80"/>
      <c r="AZ663" s="80"/>
      <c r="BA663" s="80"/>
      <c r="BB663" s="80"/>
      <c r="BC663" s="80"/>
    </row>
    <row r="664" customFormat="false" ht="33.75" hidden="false" customHeight="true" outlineLevel="0" collapsed="false">
      <c r="B664" s="81" t="n">
        <v>1</v>
      </c>
      <c r="C664" s="81"/>
      <c r="D664" s="82"/>
      <c r="E664" s="82"/>
      <c r="F664" s="82"/>
      <c r="G664" s="82"/>
      <c r="H664" s="83"/>
      <c r="I664" s="83"/>
      <c r="J664" s="83"/>
      <c r="K664" s="83"/>
      <c r="L664" s="83"/>
      <c r="M664" s="83"/>
      <c r="N664" s="83"/>
      <c r="O664" s="83"/>
      <c r="P664" s="83"/>
      <c r="Q664" s="83"/>
      <c r="R664" s="83"/>
      <c r="S664" s="83"/>
      <c r="T664" s="83"/>
      <c r="U664" s="83"/>
      <c r="V664" s="83"/>
      <c r="W664" s="83"/>
      <c r="X664" s="83"/>
      <c r="Y664" s="83"/>
      <c r="Z664" s="83"/>
      <c r="AA664" s="83"/>
      <c r="AB664" s="83"/>
      <c r="AC664" s="83"/>
      <c r="AD664" s="83"/>
      <c r="AE664" s="83"/>
      <c r="AF664" s="83"/>
      <c r="AG664" s="83"/>
      <c r="AH664" s="83"/>
      <c r="AI664" s="83"/>
      <c r="AJ664" s="83"/>
      <c r="AK664" s="83"/>
      <c r="AL664" s="83"/>
      <c r="AM664" s="83"/>
      <c r="AN664" s="83"/>
      <c r="AO664" s="83"/>
      <c r="AP664" s="83"/>
      <c r="AQ664" s="83"/>
      <c r="AR664" s="83"/>
      <c r="AS664" s="83"/>
      <c r="AT664" s="83"/>
      <c r="AU664" s="83"/>
      <c r="AV664" s="83"/>
      <c r="AW664" s="83"/>
      <c r="AX664" s="83"/>
      <c r="AY664" s="83"/>
      <c r="AZ664" s="83"/>
      <c r="BA664" s="83"/>
      <c r="BB664" s="83"/>
      <c r="BC664" s="83"/>
    </row>
    <row r="665" customFormat="false" ht="33.75" hidden="false" customHeight="true" outlineLevel="0" collapsed="false">
      <c r="B665" s="81" t="n">
        <v>2</v>
      </c>
      <c r="C665" s="81"/>
      <c r="D665" s="82"/>
      <c r="E665" s="82"/>
      <c r="F665" s="82"/>
      <c r="G665" s="82"/>
      <c r="H665" s="83"/>
      <c r="I665" s="83"/>
      <c r="J665" s="83"/>
      <c r="K665" s="83"/>
      <c r="L665" s="83"/>
      <c r="M665" s="83"/>
      <c r="N665" s="83"/>
      <c r="O665" s="83"/>
      <c r="P665" s="83"/>
      <c r="Q665" s="83"/>
      <c r="R665" s="83"/>
      <c r="S665" s="83"/>
      <c r="T665" s="83"/>
      <c r="U665" s="83"/>
      <c r="V665" s="83"/>
      <c r="W665" s="83"/>
      <c r="X665" s="83"/>
      <c r="Y665" s="83"/>
      <c r="Z665" s="83"/>
      <c r="AA665" s="83"/>
      <c r="AB665" s="83"/>
      <c r="AC665" s="83"/>
      <c r="AD665" s="83"/>
      <c r="AE665" s="83"/>
      <c r="AF665" s="83"/>
      <c r="AG665" s="83"/>
      <c r="AH665" s="83"/>
      <c r="AI665" s="83"/>
      <c r="AJ665" s="83"/>
      <c r="AK665" s="83"/>
      <c r="AL665" s="83"/>
      <c r="AM665" s="83"/>
      <c r="AN665" s="83"/>
      <c r="AO665" s="83"/>
      <c r="AP665" s="83"/>
      <c r="AQ665" s="83"/>
      <c r="AR665" s="83"/>
      <c r="AS665" s="83"/>
      <c r="AT665" s="83"/>
      <c r="AU665" s="83"/>
      <c r="AV665" s="83"/>
      <c r="AW665" s="83"/>
      <c r="AX665" s="83"/>
      <c r="AY665" s="83"/>
      <c r="AZ665" s="83"/>
      <c r="BA665" s="83"/>
      <c r="BB665" s="83"/>
      <c r="BC665" s="83"/>
    </row>
    <row r="666" customFormat="false" ht="33.75" hidden="false" customHeight="true" outlineLevel="0" collapsed="false">
      <c r="B666" s="81" t="n">
        <v>3</v>
      </c>
      <c r="C666" s="81"/>
      <c r="D666" s="82"/>
      <c r="E666" s="82"/>
      <c r="F666" s="82"/>
      <c r="G666" s="82"/>
      <c r="H666" s="83"/>
      <c r="I666" s="83"/>
      <c r="J666" s="83"/>
      <c r="K666" s="83"/>
      <c r="L666" s="83"/>
      <c r="M666" s="83"/>
      <c r="N666" s="83"/>
      <c r="O666" s="83"/>
      <c r="P666" s="83"/>
      <c r="Q666" s="83"/>
      <c r="R666" s="83"/>
      <c r="S666" s="83"/>
      <c r="T666" s="83"/>
      <c r="U666" s="83"/>
      <c r="V666" s="83"/>
      <c r="W666" s="83"/>
      <c r="X666" s="83"/>
      <c r="Y666" s="83"/>
      <c r="Z666" s="83"/>
      <c r="AA666" s="83"/>
      <c r="AB666" s="83"/>
      <c r="AC666" s="83"/>
      <c r="AD666" s="83"/>
      <c r="AE666" s="83"/>
      <c r="AF666" s="83"/>
      <c r="AG666" s="83"/>
      <c r="AH666" s="83"/>
      <c r="AI666" s="83"/>
      <c r="AJ666" s="83"/>
      <c r="AK666" s="83"/>
      <c r="AL666" s="83"/>
      <c r="AM666" s="83"/>
      <c r="AN666" s="83"/>
      <c r="AO666" s="83"/>
      <c r="AP666" s="83"/>
      <c r="AQ666" s="83"/>
      <c r="AR666" s="83"/>
      <c r="AS666" s="83"/>
      <c r="AT666" s="83"/>
      <c r="AU666" s="83"/>
      <c r="AV666" s="83"/>
      <c r="AW666" s="83"/>
      <c r="AX666" s="83"/>
      <c r="AY666" s="83"/>
      <c r="AZ666" s="83"/>
      <c r="BA666" s="83"/>
      <c r="BB666" s="83"/>
      <c r="BC666" s="83"/>
    </row>
    <row r="667" customFormat="false" ht="33.75" hidden="false" customHeight="true" outlineLevel="0" collapsed="false">
      <c r="B667" s="81" t="n">
        <v>4</v>
      </c>
      <c r="C667" s="81"/>
      <c r="D667" s="82"/>
      <c r="E667" s="82"/>
      <c r="F667" s="82"/>
      <c r="G667" s="82"/>
      <c r="H667" s="83"/>
      <c r="I667" s="83"/>
      <c r="J667" s="83"/>
      <c r="K667" s="83"/>
      <c r="L667" s="83"/>
      <c r="M667" s="83"/>
      <c r="N667" s="83"/>
      <c r="O667" s="83"/>
      <c r="P667" s="83"/>
      <c r="Q667" s="83"/>
      <c r="R667" s="83"/>
      <c r="S667" s="83"/>
      <c r="T667" s="83"/>
      <c r="U667" s="83"/>
      <c r="V667" s="83"/>
      <c r="W667" s="83"/>
      <c r="X667" s="83"/>
      <c r="Y667" s="83"/>
      <c r="Z667" s="83"/>
      <c r="AA667" s="83"/>
      <c r="AB667" s="83"/>
      <c r="AC667" s="83"/>
      <c r="AD667" s="83"/>
      <c r="AE667" s="83"/>
      <c r="AF667" s="83"/>
      <c r="AG667" s="83"/>
      <c r="AH667" s="83"/>
      <c r="AI667" s="83"/>
      <c r="AJ667" s="83"/>
      <c r="AK667" s="83"/>
      <c r="AL667" s="83"/>
      <c r="AM667" s="83"/>
      <c r="AN667" s="83"/>
      <c r="AO667" s="83"/>
      <c r="AP667" s="83"/>
      <c r="AQ667" s="83"/>
      <c r="AR667" s="83"/>
      <c r="AS667" s="83"/>
      <c r="AT667" s="83"/>
      <c r="AU667" s="83"/>
      <c r="AV667" s="83"/>
      <c r="AW667" s="83"/>
      <c r="AX667" s="83"/>
      <c r="AY667" s="83"/>
      <c r="AZ667" s="83"/>
      <c r="BA667" s="83"/>
      <c r="BB667" s="83"/>
      <c r="BC667" s="83"/>
    </row>
    <row r="668" customFormat="false" ht="24" hidden="false" customHeight="true" outlineLevel="0" collapsed="false">
      <c r="B668" s="84" t="s">
        <v>132</v>
      </c>
      <c r="C668" s="84"/>
      <c r="E668" s="85" t="s">
        <v>198</v>
      </c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  <c r="AE668" s="85"/>
      <c r="AF668" s="85"/>
      <c r="AG668" s="85"/>
      <c r="AH668" s="85"/>
      <c r="AI668" s="85"/>
      <c r="AJ668" s="85"/>
      <c r="AK668" s="85"/>
      <c r="AL668" s="85"/>
      <c r="AM668" s="85"/>
      <c r="AN668" s="85"/>
      <c r="AO668" s="85"/>
      <c r="AP668" s="85"/>
      <c r="AQ668" s="85"/>
      <c r="AR668" s="85"/>
      <c r="AS668" s="85"/>
      <c r="AT668" s="85"/>
      <c r="AU668" s="85"/>
      <c r="AV668" s="85"/>
      <c r="AW668" s="85"/>
      <c r="AX668" s="85"/>
      <c r="AY668" s="85"/>
      <c r="AZ668" s="85"/>
      <c r="BA668" s="85"/>
      <c r="BB668" s="85"/>
      <c r="BC668" s="85"/>
    </row>
    <row r="669" customFormat="false" ht="9.75" hidden="false" customHeight="true" outlineLevel="0" collapsed="false"/>
    <row r="670" customFormat="false" ht="21.75" hidden="false" customHeight="true" outlineLevel="0" collapsed="false">
      <c r="B670" s="6"/>
      <c r="C670" s="19" t="s">
        <v>199</v>
      </c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59" t="s">
        <v>200</v>
      </c>
      <c r="AG670" s="59"/>
      <c r="AH670" s="59"/>
      <c r="AI670" s="59"/>
      <c r="AJ670" s="59"/>
      <c r="AK670" s="59"/>
      <c r="AL670" s="59"/>
      <c r="AM670" s="59"/>
      <c r="AN670" s="59"/>
      <c r="AO670" s="59"/>
      <c r="AP670" s="59"/>
      <c r="AQ670" s="59"/>
      <c r="AR670" s="59"/>
      <c r="AS670" s="59"/>
      <c r="AT670" s="59"/>
      <c r="AU670" s="59"/>
      <c r="AV670" s="59"/>
      <c r="AW670" s="59"/>
      <c r="AX670" s="59"/>
      <c r="AY670" s="59"/>
      <c r="AZ670" s="59"/>
      <c r="BA670" s="59"/>
      <c r="BB670" s="59"/>
      <c r="BC670" s="59"/>
    </row>
    <row r="671" customFormat="false" ht="19.5" hidden="false" customHeight="true" outlineLevel="0" collapsed="false">
      <c r="B671" s="60"/>
      <c r="C671" s="91" t="s">
        <v>89</v>
      </c>
      <c r="D671" s="91"/>
      <c r="E671" s="91"/>
      <c r="F671" s="91"/>
      <c r="G671" s="91"/>
      <c r="H671" s="91"/>
      <c r="I671" s="91"/>
      <c r="J671" s="91"/>
      <c r="K671" s="91"/>
      <c r="L671" s="91"/>
      <c r="M671" s="91"/>
      <c r="N671" s="92"/>
      <c r="P671" s="60"/>
      <c r="Q671" s="91" t="s">
        <v>201</v>
      </c>
      <c r="R671" s="91"/>
      <c r="S671" s="91"/>
      <c r="T671" s="91"/>
      <c r="U671" s="91"/>
      <c r="V671" s="91"/>
      <c r="W671" s="91"/>
      <c r="X671" s="91"/>
      <c r="Y671" s="91"/>
      <c r="Z671" s="91"/>
      <c r="AA671" s="91"/>
      <c r="AB671" s="92"/>
      <c r="AD671" s="60"/>
      <c r="AE671" s="91" t="s">
        <v>100</v>
      </c>
      <c r="AF671" s="91"/>
      <c r="AG671" s="91"/>
      <c r="AH671" s="91"/>
      <c r="AI671" s="91"/>
      <c r="AJ671" s="91"/>
      <c r="AK671" s="91"/>
      <c r="AL671" s="91"/>
      <c r="AM671" s="91"/>
      <c r="AN671" s="91"/>
      <c r="AO671" s="91"/>
      <c r="AP671" s="92"/>
      <c r="AR671" s="60"/>
      <c r="AS671" s="91" t="s">
        <v>101</v>
      </c>
      <c r="AT671" s="91"/>
      <c r="AU671" s="91"/>
      <c r="AV671" s="91"/>
      <c r="AW671" s="91"/>
      <c r="AX671" s="91"/>
      <c r="AY671" s="91"/>
      <c r="AZ671" s="91"/>
      <c r="BA671" s="91"/>
      <c r="BB671" s="91"/>
      <c r="BC671" s="92"/>
    </row>
    <row r="672" customFormat="false" ht="12" hidden="false" customHeight="true" outlineLevel="0" collapsed="false">
      <c r="B672" s="63"/>
      <c r="C672" s="93" t="s">
        <v>202</v>
      </c>
      <c r="D672" s="93"/>
      <c r="E672" s="93"/>
      <c r="F672" s="93"/>
      <c r="G672" s="93"/>
      <c r="H672" s="93"/>
      <c r="I672" s="93"/>
      <c r="J672" s="93"/>
      <c r="K672" s="93"/>
      <c r="L672" s="93"/>
      <c r="M672" s="93"/>
      <c r="N672" s="65"/>
      <c r="P672" s="63"/>
      <c r="Q672" s="93" t="s">
        <v>202</v>
      </c>
      <c r="R672" s="93"/>
      <c r="S672" s="93"/>
      <c r="T672" s="93"/>
      <c r="U672" s="93"/>
      <c r="V672" s="93"/>
      <c r="W672" s="93"/>
      <c r="X672" s="93"/>
      <c r="Y672" s="93"/>
      <c r="Z672" s="93"/>
      <c r="AA672" s="93"/>
      <c r="AB672" s="65"/>
      <c r="AD672" s="63"/>
      <c r="AE672" s="93" t="s">
        <v>202</v>
      </c>
      <c r="AF672" s="93"/>
      <c r="AG672" s="93"/>
      <c r="AH672" s="93"/>
      <c r="AI672" s="93"/>
      <c r="AJ672" s="93"/>
      <c r="AK672" s="93"/>
      <c r="AL672" s="93"/>
      <c r="AM672" s="93"/>
      <c r="AN672" s="93"/>
      <c r="AO672" s="93"/>
      <c r="AP672" s="65"/>
      <c r="AR672" s="63"/>
      <c r="AS672" s="93" t="s">
        <v>202</v>
      </c>
      <c r="AT672" s="93"/>
      <c r="AU672" s="93"/>
      <c r="AV672" s="93"/>
      <c r="AW672" s="93"/>
      <c r="AX672" s="94"/>
      <c r="AY672" s="93" t="s">
        <v>203</v>
      </c>
      <c r="AZ672" s="93"/>
      <c r="BA672" s="93"/>
      <c r="BB672" s="93"/>
      <c r="BC672" s="65"/>
    </row>
    <row r="673" customFormat="false" ht="25.5" hidden="false" customHeight="true" outlineLevel="0" collapsed="false">
      <c r="B673" s="63"/>
      <c r="C673" s="95" t="n">
        <f aca="false">SUMIFS(Data!$D$2:$D$32,Data!$A$2:$A$32,"&gt;="&amp;Cal!$H$5,Data!$A$2:$A$32,"&lt;="&amp;Cal!$I$5)</f>
        <v>0</v>
      </c>
      <c r="D673" s="95"/>
      <c r="E673" s="95"/>
      <c r="F673" s="95"/>
      <c r="G673" s="95"/>
      <c r="H673" s="95"/>
      <c r="I673" s="95"/>
      <c r="J673" s="95"/>
      <c r="K673" s="95"/>
      <c r="L673" s="95"/>
      <c r="M673" s="95"/>
      <c r="N673" s="65"/>
      <c r="P673" s="63"/>
      <c r="Q673" s="95" t="n">
        <f aca="false">SUMIFS(Data!$E$2:$E$32,Data!$A$2:$A$32,"&gt;="&amp;Cal!$H$5,Data!$A$2:$A$32,"&lt;="&amp;Cal!$I$5)</f>
        <v>0</v>
      </c>
      <c r="R673" s="95"/>
      <c r="S673" s="95"/>
      <c r="T673" s="95"/>
      <c r="U673" s="95"/>
      <c r="V673" s="95"/>
      <c r="W673" s="95"/>
      <c r="X673" s="95"/>
      <c r="Y673" s="95"/>
      <c r="Z673" s="95"/>
      <c r="AA673" s="95"/>
      <c r="AB673" s="65"/>
      <c r="AD673" s="63"/>
      <c r="AE673" s="95" t="n">
        <f aca="false">SUMIFS(Data!$I$2:$I$32,Data!$A$2:$A$32,"&gt;="&amp;Cal!$H$5,Data!$A$2:$A$32,"&lt;="&amp;Cal!$I$5)</f>
        <v>0</v>
      </c>
      <c r="AF673" s="95"/>
      <c r="AG673" s="95"/>
      <c r="AH673" s="95"/>
      <c r="AI673" s="95"/>
      <c r="AJ673" s="95"/>
      <c r="AK673" s="95"/>
      <c r="AL673" s="95"/>
      <c r="AM673" s="95"/>
      <c r="AN673" s="95"/>
      <c r="AO673" s="95"/>
      <c r="AP673" s="65"/>
      <c r="AR673" s="63"/>
      <c r="AS673" s="95" t="n">
        <f aca="false">SUMIFS(Data!$J$2:$J$32,Data!$A$2:$A$32,"&gt;="&amp;Cal!$H$5,Data!$A$2:$A$32,"&lt;="&amp;Cal!$I$5)</f>
        <v>0</v>
      </c>
      <c r="AT673" s="95"/>
      <c r="AU673" s="95"/>
      <c r="AV673" s="95"/>
      <c r="AW673" s="95"/>
      <c r="AX673" s="94"/>
      <c r="AY673" s="96" t="n">
        <f aca="false">SUM(W579:W583)</f>
        <v>0</v>
      </c>
      <c r="AZ673" s="96"/>
      <c r="BA673" s="96"/>
      <c r="BB673" s="96"/>
      <c r="BC673" s="65"/>
    </row>
    <row r="674" customFormat="false" ht="6" hidden="false" customHeight="true" outlineLevel="0" collapsed="false">
      <c r="B674" s="67"/>
      <c r="C674" s="68"/>
      <c r="D674" s="68"/>
      <c r="E674" s="68"/>
      <c r="F674" s="68"/>
      <c r="G674" s="68"/>
      <c r="H674" s="68"/>
      <c r="I674" s="68"/>
      <c r="J674" s="68"/>
      <c r="K674" s="68"/>
      <c r="L674" s="68"/>
      <c r="M674" s="68"/>
      <c r="N674" s="69"/>
      <c r="P674" s="67"/>
      <c r="Q674" s="68"/>
      <c r="R674" s="68"/>
      <c r="S674" s="68"/>
      <c r="T674" s="68"/>
      <c r="U674" s="68"/>
      <c r="V674" s="68"/>
      <c r="W674" s="68"/>
      <c r="X674" s="68"/>
      <c r="Y674" s="68"/>
      <c r="Z674" s="68"/>
      <c r="AA674" s="68"/>
      <c r="AB674" s="69"/>
      <c r="AD674" s="67"/>
      <c r="AE674" s="68"/>
      <c r="AF674" s="68"/>
      <c r="AG674" s="68"/>
      <c r="AH674" s="68"/>
      <c r="AI674" s="68"/>
      <c r="AJ674" s="68"/>
      <c r="AK674" s="68"/>
      <c r="AL674" s="68"/>
      <c r="AM674" s="68"/>
      <c r="AN674" s="68"/>
      <c r="AO674" s="68"/>
      <c r="AP674" s="69"/>
      <c r="AR674" s="67"/>
      <c r="AS674" s="68"/>
      <c r="AT674" s="68"/>
      <c r="AU674" s="68"/>
      <c r="AV674" s="68"/>
      <c r="AW674" s="68"/>
      <c r="AX674" s="68"/>
      <c r="AY674" s="68"/>
      <c r="AZ674" s="68"/>
      <c r="BA674" s="68"/>
      <c r="BB674" s="68"/>
      <c r="BC674" s="69"/>
    </row>
    <row r="675" customFormat="false" ht="7.5" hidden="false" customHeight="true" outlineLevel="0" collapsed="false"/>
    <row r="676" customFormat="false" ht="19.5" hidden="false" customHeight="true" outlineLevel="0" collapsed="false">
      <c r="B676" s="60"/>
      <c r="C676" s="91" t="s">
        <v>102</v>
      </c>
      <c r="D676" s="91"/>
      <c r="E676" s="91"/>
      <c r="F676" s="91"/>
      <c r="G676" s="91"/>
      <c r="H676" s="91"/>
      <c r="I676" s="91"/>
      <c r="J676" s="91"/>
      <c r="K676" s="91"/>
      <c r="L676" s="91"/>
      <c r="M676" s="91"/>
      <c r="N676" s="92"/>
      <c r="P676" s="60"/>
      <c r="Q676" s="91" t="s">
        <v>103</v>
      </c>
      <c r="R676" s="91"/>
      <c r="S676" s="91"/>
      <c r="T676" s="91"/>
      <c r="U676" s="91"/>
      <c r="V676" s="91"/>
      <c r="W676" s="91"/>
      <c r="X676" s="91"/>
      <c r="Y676" s="91"/>
      <c r="Z676" s="91"/>
      <c r="AA676" s="91"/>
      <c r="AB676" s="92"/>
      <c r="AD676" s="60"/>
      <c r="AE676" s="91" t="s">
        <v>104</v>
      </c>
      <c r="AF676" s="91"/>
      <c r="AG676" s="91"/>
      <c r="AH676" s="91"/>
      <c r="AI676" s="91"/>
      <c r="AJ676" s="91"/>
      <c r="AK676" s="91"/>
      <c r="AL676" s="91"/>
      <c r="AM676" s="91"/>
      <c r="AN676" s="91"/>
      <c r="AO676" s="91"/>
      <c r="AP676" s="92"/>
      <c r="AR676" s="60"/>
      <c r="AS676" s="91" t="s">
        <v>204</v>
      </c>
      <c r="AT676" s="91"/>
      <c r="AU676" s="91"/>
      <c r="AV676" s="91"/>
      <c r="AW676" s="91"/>
      <c r="AX676" s="91"/>
      <c r="AY676" s="91"/>
      <c r="AZ676" s="91"/>
      <c r="BA676" s="91"/>
      <c r="BB676" s="91"/>
      <c r="BC676" s="92"/>
    </row>
    <row r="677" customFormat="false" ht="12" hidden="false" customHeight="true" outlineLevel="0" collapsed="false">
      <c r="B677" s="63"/>
      <c r="C677" s="93" t="s">
        <v>202</v>
      </c>
      <c r="D677" s="93"/>
      <c r="E677" s="93"/>
      <c r="F677" s="93"/>
      <c r="G677" s="93"/>
      <c r="H677" s="94"/>
      <c r="I677" s="93" t="s">
        <v>205</v>
      </c>
      <c r="J677" s="93"/>
      <c r="K677" s="93"/>
      <c r="L677" s="93"/>
      <c r="M677" s="93"/>
      <c r="N677" s="65"/>
      <c r="P677" s="63"/>
      <c r="Q677" s="93" t="s">
        <v>202</v>
      </c>
      <c r="R677" s="93"/>
      <c r="S677" s="93"/>
      <c r="T677" s="93"/>
      <c r="U677" s="93"/>
      <c r="V677" s="94"/>
      <c r="W677" s="93" t="s">
        <v>206</v>
      </c>
      <c r="X677" s="93"/>
      <c r="Y677" s="93"/>
      <c r="Z677" s="93"/>
      <c r="AA677" s="93"/>
      <c r="AB677" s="65"/>
      <c r="AD677" s="63"/>
      <c r="AE677" s="93" t="s">
        <v>202</v>
      </c>
      <c r="AF677" s="93"/>
      <c r="AG677" s="93"/>
      <c r="AH677" s="93"/>
      <c r="AI677" s="93"/>
      <c r="AJ677" s="94"/>
      <c r="AK677" s="93" t="s">
        <v>205</v>
      </c>
      <c r="AL677" s="93"/>
      <c r="AM677" s="93"/>
      <c r="AN677" s="93"/>
      <c r="AO677" s="93"/>
      <c r="AP677" s="65"/>
      <c r="AR677" s="63"/>
      <c r="AS677" s="93" t="s">
        <v>202</v>
      </c>
      <c r="AT677" s="93"/>
      <c r="AU677" s="93"/>
      <c r="AV677" s="93"/>
      <c r="AW677" s="93"/>
      <c r="AX677" s="93"/>
      <c r="AY677" s="93"/>
      <c r="AZ677" s="93"/>
      <c r="BA677" s="93"/>
      <c r="BB677" s="93"/>
      <c r="BC677" s="65"/>
    </row>
    <row r="678" customFormat="false" ht="25.5" hidden="false" customHeight="true" outlineLevel="0" collapsed="false">
      <c r="B678" s="63"/>
      <c r="C678" s="95" t="n">
        <f aca="false">SUMIFS(Data!$K$2:$K$32,Data!$A$2:$A$32,"&gt;="&amp;Cal!$H$5,Data!$A$2:$A$32,"&lt;="&amp;Cal!$I$5)</f>
        <v>0</v>
      </c>
      <c r="D678" s="95"/>
      <c r="E678" s="95"/>
      <c r="F678" s="95"/>
      <c r="G678" s="95"/>
      <c r="H678" s="94"/>
      <c r="I678" s="95" t="n">
        <f aca="false">COUNTIF(AW593:AW597,"O")</f>
        <v>0</v>
      </c>
      <c r="J678" s="95"/>
      <c r="K678" s="95"/>
      <c r="L678" s="95"/>
      <c r="M678" s="95"/>
      <c r="N678" s="65"/>
      <c r="P678" s="63"/>
      <c r="Q678" s="95" t="n">
        <f aca="false">SUMIFS(Data!$L$2:$L$32,Data!$A$2:$A$32,"&gt;="&amp;Cal!$H$5,Data!$A$2:$A$32,"&lt;="&amp;Cal!$I$5)</f>
        <v>0</v>
      </c>
      <c r="R678" s="95"/>
      <c r="S678" s="95"/>
      <c r="T678" s="95"/>
      <c r="U678" s="95"/>
      <c r="V678" s="94"/>
      <c r="W678" s="95" t="n">
        <f aca="false">COUNTIF(AC602:AC606,"&gt;0")</f>
        <v>0</v>
      </c>
      <c r="X678" s="95"/>
      <c r="Y678" s="95"/>
      <c r="Z678" s="95"/>
      <c r="AA678" s="95"/>
      <c r="AB678" s="65"/>
      <c r="AD678" s="63"/>
      <c r="AE678" s="95" t="n">
        <f aca="false">SUMIFS(Data!$M$2:$M$32,Data!$A$2:$A$32,"&gt;="&amp;Cal!$H$5,Data!$A$2:$A$32,"&lt;="&amp;Cal!$I$5)</f>
        <v>0</v>
      </c>
      <c r="AF678" s="95"/>
      <c r="AG678" s="95"/>
      <c r="AH678" s="95"/>
      <c r="AI678" s="95"/>
      <c r="AJ678" s="94"/>
      <c r="AK678" s="95" t="n">
        <f aca="false">COUNTIF(AV616:AV621,"O")</f>
        <v>0</v>
      </c>
      <c r="AL678" s="95"/>
      <c r="AM678" s="95"/>
      <c r="AN678" s="95"/>
      <c r="AO678" s="95"/>
      <c r="AP678" s="65"/>
      <c r="AR678" s="63"/>
      <c r="AS678" s="95" t="n">
        <f aca="false">SUMIFS(Data!$H$2:$H$32,Data!$A$2:$A$32,"&gt;="&amp;Cal!$H$5,Data!$A$2:$A$32,"&lt;="&amp;Cal!$I$5)</f>
        <v>0</v>
      </c>
      <c r="AT678" s="95"/>
      <c r="AU678" s="95"/>
      <c r="AV678" s="95"/>
      <c r="AW678" s="95"/>
      <c r="AX678" s="95"/>
      <c r="AY678" s="95"/>
      <c r="AZ678" s="95"/>
      <c r="BA678" s="95"/>
      <c r="BB678" s="95"/>
      <c r="BC678" s="65"/>
    </row>
    <row r="679" customFormat="false" ht="6" hidden="false" customHeight="true" outlineLevel="0" collapsed="false">
      <c r="B679" s="67"/>
      <c r="C679" s="68"/>
      <c r="D679" s="68"/>
      <c r="E679" s="68"/>
      <c r="F679" s="68"/>
      <c r="G679" s="68"/>
      <c r="H679" s="68"/>
      <c r="I679" s="68"/>
      <c r="J679" s="68"/>
      <c r="K679" s="68"/>
      <c r="L679" s="68"/>
      <c r="M679" s="68"/>
      <c r="N679" s="69"/>
      <c r="P679" s="67"/>
      <c r="Q679" s="68"/>
      <c r="R679" s="68"/>
      <c r="S679" s="68"/>
      <c r="T679" s="68"/>
      <c r="U679" s="68"/>
      <c r="V679" s="68"/>
      <c r="W679" s="68"/>
      <c r="X679" s="68"/>
      <c r="Y679" s="68"/>
      <c r="Z679" s="68"/>
      <c r="AA679" s="68"/>
      <c r="AB679" s="69"/>
      <c r="AD679" s="67"/>
      <c r="AE679" s="68"/>
      <c r="AF679" s="68"/>
      <c r="AG679" s="68"/>
      <c r="AH679" s="68"/>
      <c r="AI679" s="68"/>
      <c r="AJ679" s="68"/>
      <c r="AK679" s="68"/>
      <c r="AL679" s="68"/>
      <c r="AM679" s="68"/>
      <c r="AN679" s="68"/>
      <c r="AO679" s="68"/>
      <c r="AP679" s="69"/>
      <c r="AR679" s="67"/>
      <c r="AS679" s="68"/>
      <c r="AT679" s="68"/>
      <c r="AU679" s="68"/>
      <c r="AV679" s="68"/>
      <c r="AW679" s="68"/>
      <c r="AX679" s="68"/>
      <c r="AY679" s="68"/>
      <c r="AZ679" s="68"/>
      <c r="BA679" s="68"/>
      <c r="BB679" s="68"/>
      <c r="BC679" s="69"/>
    </row>
    <row r="680" customFormat="false" ht="7.5" hidden="false" customHeight="true" outlineLevel="0" collapsed="false"/>
    <row r="681" customFormat="false" ht="108" hidden="false" customHeight="true" outlineLevel="0" collapsed="false"/>
    <row r="682" customFormat="false" ht="6" hidden="false" customHeight="true" outlineLevel="0" collapsed="false"/>
    <row r="683" customFormat="false" ht="19.5" hidden="false" customHeight="true" outlineLevel="0" collapsed="false">
      <c r="B683" s="73" t="s">
        <v>107</v>
      </c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4" t="s">
        <v>108</v>
      </c>
      <c r="R683" s="74"/>
      <c r="S683" s="74"/>
      <c r="T683" s="74"/>
      <c r="U683" s="74"/>
      <c r="V683" s="74"/>
      <c r="W683" s="74"/>
      <c r="X683" s="74"/>
      <c r="Y683" s="74"/>
      <c r="Z683" s="74"/>
      <c r="AA683" s="74"/>
      <c r="AC683" s="73" t="s">
        <v>207</v>
      </c>
      <c r="AD683" s="73"/>
      <c r="AE683" s="73"/>
      <c r="AF683" s="73"/>
      <c r="AG683" s="73"/>
      <c r="AH683" s="73"/>
      <c r="AI683" s="73"/>
      <c r="AJ683" s="73"/>
      <c r="AK683" s="73"/>
      <c r="AL683" s="73"/>
      <c r="AM683" s="73"/>
      <c r="AN683" s="73"/>
      <c r="AO683" s="73"/>
      <c r="AP683" s="73"/>
      <c r="AQ683" s="73"/>
      <c r="AR683" s="73"/>
      <c r="AS683" s="74" t="s">
        <v>108</v>
      </c>
      <c r="AT683" s="74"/>
      <c r="AU683" s="74"/>
      <c r="AV683" s="74"/>
      <c r="AW683" s="74"/>
      <c r="AX683" s="74"/>
      <c r="AY683" s="74"/>
      <c r="AZ683" s="74"/>
      <c r="BA683" s="74"/>
      <c r="BB683" s="74"/>
      <c r="BC683" s="74"/>
    </row>
    <row r="684" customFormat="false" ht="18" hidden="false" customHeight="true" outlineLevel="0" collapsed="false">
      <c r="B684" s="75" t="s">
        <v>134</v>
      </c>
      <c r="C684" s="75"/>
      <c r="D684" s="75"/>
      <c r="E684" s="75"/>
      <c r="F684" s="75"/>
      <c r="G684" s="75"/>
      <c r="H684" s="75"/>
      <c r="I684" s="75"/>
      <c r="J684" s="75"/>
      <c r="K684" s="75"/>
      <c r="L684" s="75"/>
      <c r="M684" s="75"/>
      <c r="N684" s="75"/>
      <c r="O684" s="75"/>
      <c r="P684" s="75"/>
      <c r="Q684" s="75"/>
      <c r="R684" s="75"/>
      <c r="S684" s="75"/>
      <c r="T684" s="75"/>
      <c r="U684" s="75"/>
      <c r="V684" s="75"/>
      <c r="W684" s="75"/>
      <c r="X684" s="75"/>
      <c r="Y684" s="75"/>
      <c r="Z684" s="75"/>
      <c r="AA684" s="75"/>
      <c r="AB684" s="76" t="s">
        <v>208</v>
      </c>
      <c r="AC684" s="76"/>
      <c r="AD684" s="76"/>
      <c r="AE684" s="76"/>
      <c r="AF684" s="76"/>
      <c r="AG684" s="76"/>
      <c r="AH684" s="76"/>
      <c r="AI684" s="76"/>
      <c r="AJ684" s="76"/>
      <c r="AK684" s="76"/>
      <c r="AL684" s="76"/>
      <c r="AM684" s="76"/>
      <c r="AN684" s="76"/>
      <c r="AO684" s="76"/>
      <c r="AP684" s="76"/>
      <c r="AQ684" s="76"/>
      <c r="AR684" s="76"/>
      <c r="AS684" s="76"/>
      <c r="AT684" s="76"/>
      <c r="AU684" s="76"/>
      <c r="AV684" s="76"/>
      <c r="AW684" s="76"/>
      <c r="AX684" s="76"/>
      <c r="AY684" s="76"/>
      <c r="AZ684" s="76"/>
      <c r="BA684" s="76"/>
      <c r="BB684" s="76"/>
      <c r="BC684" s="76"/>
    </row>
    <row r="685" customFormat="false" ht="7.5" hidden="false" customHeight="true" outlineLevel="0" collapsed="false"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</row>
    <row r="686" customFormat="false" ht="19.5" hidden="false" customHeight="true" outlineLevel="0" collapsed="false">
      <c r="B686" s="1"/>
      <c r="C686" s="51" t="s">
        <v>114</v>
      </c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  <c r="AJ686" s="51"/>
      <c r="AK686" s="51"/>
      <c r="AL686" s="51"/>
      <c r="AM686" s="51"/>
      <c r="AN686" s="51"/>
      <c r="AO686" s="51"/>
      <c r="AP686" s="51"/>
      <c r="AQ686" s="51"/>
      <c r="AR686" s="1"/>
      <c r="AS686" s="1"/>
      <c r="AT686" s="1"/>
      <c r="AU686" s="52" t="s">
        <v>115</v>
      </c>
      <c r="AV686" s="52"/>
      <c r="AW686" s="52"/>
      <c r="AX686" s="52"/>
      <c r="AY686" s="52"/>
      <c r="AZ686" s="52"/>
      <c r="BA686" s="52"/>
      <c r="BB686" s="1"/>
      <c r="BC686" s="1"/>
    </row>
    <row r="687" customFormat="false" ht="30" hidden="false" customHeight="true" outlineLevel="0" collapsed="false">
      <c r="B687" s="1"/>
      <c r="C687" s="53" t="s">
        <v>116</v>
      </c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4" t="s">
        <v>117</v>
      </c>
      <c r="AS687" s="54"/>
      <c r="AT687" s="54"/>
      <c r="AU687" s="54"/>
      <c r="AV687" s="54"/>
      <c r="AW687" s="54"/>
      <c r="AX687" s="54"/>
      <c r="AY687" s="54"/>
      <c r="AZ687" s="54"/>
      <c r="BA687" s="54"/>
      <c r="BB687" s="1"/>
      <c r="BC687" s="1"/>
    </row>
    <row r="688" customFormat="false" ht="15.75" hidden="false" customHeight="true" outlineLevel="0" collapsed="false">
      <c r="B688" s="1"/>
      <c r="C688" s="55" t="s">
        <v>118</v>
      </c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</row>
    <row r="689" customFormat="false" ht="9.75" hidden="false" customHeight="true" outlineLevel="0" collapsed="false"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</row>
    <row r="690" customFormat="false" ht="3.75" hidden="false" customHeight="true" outlineLevel="0" collapsed="false"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  <c r="BC690" s="6"/>
    </row>
    <row r="691" customFormat="false" ht="7.5" hidden="false" customHeight="true" outlineLevel="0" collapsed="false"/>
    <row r="692" customFormat="false" ht="13.5" hidden="false" customHeight="true" outlineLevel="0" collapsed="false">
      <c r="B692" s="56" t="s">
        <v>83</v>
      </c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U692" s="56" t="s">
        <v>84</v>
      </c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G692" s="56" t="s">
        <v>119</v>
      </c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S692" s="56" t="s">
        <v>120</v>
      </c>
      <c r="AT692" s="56"/>
      <c r="AU692" s="56"/>
      <c r="AV692" s="56"/>
      <c r="AW692" s="56"/>
      <c r="AX692" s="56"/>
      <c r="AY692" s="56"/>
      <c r="AZ692" s="56"/>
      <c r="BA692" s="56"/>
      <c r="BB692" s="56"/>
      <c r="BC692" s="56"/>
    </row>
    <row r="693" customFormat="false" ht="21.75" hidden="false" customHeight="true" outlineLevel="0" collapsed="false">
      <c r="B693" s="57" t="str">
        <f aca="false">Dashboard!$C$6</f>
        <v>Bindhya TB</v>
      </c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U693" s="57" t="str">
        <f aca="false">Dashboard!$C$7</f>
        <v>Tourism &amp; Business</v>
      </c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G693" s="58" t="n">
        <f aca="false">Cal!H6</f>
        <v>46321</v>
      </c>
      <c r="AH693" s="58"/>
      <c r="AI693" s="58"/>
      <c r="AJ693" s="58"/>
      <c r="AK693" s="58"/>
      <c r="AL693" s="58"/>
      <c r="AM693" s="58"/>
      <c r="AN693" s="58"/>
      <c r="AO693" s="58"/>
      <c r="AP693" s="58"/>
      <c r="AQ693" s="58"/>
      <c r="AS693" s="58" t="n">
        <f aca="false">Cal!I6</f>
        <v>46326</v>
      </c>
      <c r="AT693" s="58"/>
      <c r="AU693" s="58"/>
      <c r="AV693" s="58"/>
      <c r="AW693" s="58"/>
      <c r="AX693" s="58"/>
      <c r="AY693" s="58"/>
      <c r="AZ693" s="58"/>
      <c r="BA693" s="58"/>
      <c r="BB693" s="58"/>
      <c r="BC693" s="58"/>
    </row>
    <row r="694" customFormat="false" ht="9.75" hidden="false" customHeight="true" outlineLevel="0" collapsed="false"/>
    <row r="695" customFormat="false" ht="18" hidden="false" customHeight="true" outlineLevel="0" collapsed="false">
      <c r="B695" s="6"/>
      <c r="C695" s="78" t="s">
        <v>121</v>
      </c>
      <c r="D695" s="78"/>
      <c r="E695" s="78"/>
      <c r="F695" s="78"/>
      <c r="G695" s="78"/>
      <c r="H695" s="78"/>
      <c r="I695" s="78"/>
      <c r="J695" s="78"/>
      <c r="K695" s="78"/>
      <c r="L695" s="78"/>
      <c r="M695" s="78"/>
      <c r="N695" s="78"/>
      <c r="O695" s="78"/>
      <c r="P695" s="78"/>
      <c r="Q695" s="78"/>
      <c r="R695" s="78"/>
      <c r="S695" s="78"/>
      <c r="T695" s="78"/>
      <c r="U695" s="78"/>
      <c r="V695" s="78"/>
      <c r="W695" s="78"/>
      <c r="X695" s="78"/>
      <c r="Y695" s="78"/>
      <c r="Z695" s="78"/>
      <c r="AA695" s="78"/>
      <c r="AB695" s="78"/>
      <c r="AC695" s="78"/>
      <c r="AD695" s="78"/>
      <c r="AE695" s="78"/>
      <c r="AF695" s="78"/>
      <c r="AG695" s="78"/>
      <c r="AH695" s="78"/>
      <c r="AI695" s="78"/>
      <c r="AJ695" s="78"/>
      <c r="AK695" s="78"/>
      <c r="AL695" s="78"/>
      <c r="AM695" s="78"/>
      <c r="AN695" s="78"/>
      <c r="AO695" s="78"/>
      <c r="AP695" s="78"/>
      <c r="AQ695" s="78"/>
      <c r="AR695" s="78"/>
      <c r="AS695" s="78"/>
      <c r="AT695" s="78"/>
      <c r="AU695" s="78"/>
      <c r="AV695" s="78"/>
      <c r="AW695" s="78"/>
      <c r="AX695" s="78"/>
      <c r="AY695" s="78"/>
      <c r="AZ695" s="78"/>
      <c r="BA695" s="78"/>
      <c r="BB695" s="78"/>
      <c r="BC695" s="78"/>
    </row>
    <row r="696" customFormat="false" ht="18" hidden="false" customHeight="true" outlineLevel="0" collapsed="false">
      <c r="B696" s="6"/>
      <c r="C696" s="78"/>
      <c r="D696" s="78"/>
      <c r="E696" s="78"/>
      <c r="F696" s="78"/>
      <c r="G696" s="78"/>
      <c r="H696" s="78"/>
      <c r="I696" s="78"/>
      <c r="J696" s="78"/>
      <c r="K696" s="78"/>
      <c r="L696" s="78"/>
      <c r="M696" s="78"/>
      <c r="N696" s="78"/>
      <c r="O696" s="78"/>
      <c r="P696" s="78"/>
      <c r="Q696" s="78"/>
      <c r="R696" s="78"/>
      <c r="S696" s="78"/>
      <c r="T696" s="78"/>
      <c r="U696" s="78"/>
      <c r="V696" s="78"/>
      <c r="W696" s="78"/>
      <c r="X696" s="78"/>
      <c r="Y696" s="78"/>
      <c r="Z696" s="78"/>
      <c r="AA696" s="78"/>
      <c r="AB696" s="78"/>
      <c r="AC696" s="78"/>
      <c r="AD696" s="78"/>
      <c r="AE696" s="78"/>
      <c r="AF696" s="78"/>
      <c r="AG696" s="78"/>
      <c r="AH696" s="78"/>
      <c r="AI696" s="78"/>
      <c r="AJ696" s="78"/>
      <c r="AK696" s="78"/>
      <c r="AL696" s="78"/>
      <c r="AM696" s="78"/>
      <c r="AN696" s="78"/>
      <c r="AO696" s="78"/>
      <c r="AP696" s="78"/>
      <c r="AQ696" s="78"/>
      <c r="AR696" s="78"/>
      <c r="AS696" s="78"/>
      <c r="AT696" s="78"/>
      <c r="AU696" s="78"/>
      <c r="AV696" s="78"/>
      <c r="AW696" s="78"/>
      <c r="AX696" s="78"/>
      <c r="AY696" s="78"/>
      <c r="AZ696" s="78"/>
      <c r="BA696" s="78"/>
      <c r="BB696" s="78"/>
      <c r="BC696" s="78"/>
    </row>
    <row r="697" customFormat="false" ht="9.75" hidden="false" customHeight="true" outlineLevel="0" collapsed="false"/>
    <row r="698" customFormat="false" ht="21.75" hidden="false" customHeight="true" outlineLevel="0" collapsed="false">
      <c r="B698" s="6"/>
      <c r="C698" s="19" t="s">
        <v>122</v>
      </c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59" t="s">
        <v>123</v>
      </c>
      <c r="AM698" s="59"/>
      <c r="AN698" s="59"/>
      <c r="AO698" s="59"/>
      <c r="AP698" s="59"/>
      <c r="AQ698" s="59"/>
      <c r="AR698" s="59"/>
      <c r="AS698" s="59"/>
      <c r="AT698" s="59"/>
      <c r="AU698" s="59"/>
      <c r="AV698" s="59"/>
      <c r="AW698" s="59"/>
      <c r="AX698" s="59"/>
      <c r="AY698" s="59"/>
      <c r="AZ698" s="59"/>
      <c r="BA698" s="59"/>
      <c r="BB698" s="59"/>
      <c r="BC698" s="59"/>
    </row>
    <row r="699" customFormat="false" ht="27.75" hidden="false" customHeight="true" outlineLevel="0" collapsed="false">
      <c r="B699" s="79" t="s">
        <v>124</v>
      </c>
      <c r="C699" s="79"/>
      <c r="D699" s="80" t="s">
        <v>125</v>
      </c>
      <c r="E699" s="80"/>
      <c r="F699" s="80"/>
      <c r="G699" s="80"/>
      <c r="H699" s="80" t="s">
        <v>126</v>
      </c>
      <c r="I699" s="80"/>
      <c r="J699" s="80"/>
      <c r="K699" s="80"/>
      <c r="L699" s="80"/>
      <c r="M699" s="80"/>
      <c r="N699" s="80"/>
      <c r="O699" s="80" t="s">
        <v>127</v>
      </c>
      <c r="P699" s="80"/>
      <c r="Q699" s="80"/>
      <c r="R699" s="80"/>
      <c r="S699" s="80"/>
      <c r="T699" s="80"/>
      <c r="U699" s="80"/>
      <c r="V699" s="80" t="s">
        <v>128</v>
      </c>
      <c r="W699" s="80"/>
      <c r="X699" s="80"/>
      <c r="Y699" s="80"/>
      <c r="Z699" s="80" t="s">
        <v>129</v>
      </c>
      <c r="AA699" s="80"/>
      <c r="AB699" s="80"/>
      <c r="AC699" s="80"/>
      <c r="AD699" s="80"/>
      <c r="AE699" s="80"/>
      <c r="AF699" s="80"/>
      <c r="AG699" s="80"/>
      <c r="AH699" s="80"/>
      <c r="AI699" s="80"/>
      <c r="AJ699" s="80"/>
      <c r="AK699" s="80"/>
      <c r="AL699" s="80"/>
      <c r="AM699" s="80"/>
      <c r="AN699" s="80"/>
      <c r="AO699" s="80"/>
      <c r="AP699" s="80"/>
      <c r="AQ699" s="80"/>
      <c r="AR699" s="80"/>
      <c r="AS699" s="80"/>
      <c r="AT699" s="80"/>
      <c r="AU699" s="80"/>
      <c r="AV699" s="80"/>
      <c r="AW699" s="80"/>
      <c r="AX699" s="80"/>
      <c r="AY699" s="80"/>
      <c r="AZ699" s="80"/>
      <c r="BA699" s="80"/>
      <c r="BB699" s="80"/>
      <c r="BC699" s="80"/>
    </row>
    <row r="700" customFormat="false" ht="24.75" hidden="false" customHeight="true" outlineLevel="0" collapsed="false">
      <c r="B700" s="81" t="n">
        <v>1</v>
      </c>
      <c r="C700" s="81"/>
      <c r="D700" s="82"/>
      <c r="E700" s="82"/>
      <c r="F700" s="82"/>
      <c r="G700" s="82"/>
      <c r="H700" s="83"/>
      <c r="I700" s="83"/>
      <c r="J700" s="83"/>
      <c r="K700" s="83"/>
      <c r="L700" s="83"/>
      <c r="M700" s="83"/>
      <c r="N700" s="83"/>
      <c r="O700" s="83"/>
      <c r="P700" s="83"/>
      <c r="Q700" s="83"/>
      <c r="R700" s="83"/>
      <c r="S700" s="83"/>
      <c r="T700" s="83"/>
      <c r="U700" s="83"/>
      <c r="V700" s="83"/>
      <c r="W700" s="83"/>
      <c r="X700" s="83"/>
      <c r="Y700" s="83"/>
      <c r="Z700" s="83"/>
      <c r="AA700" s="83"/>
      <c r="AB700" s="83"/>
      <c r="AC700" s="83"/>
      <c r="AD700" s="83"/>
      <c r="AE700" s="83"/>
      <c r="AF700" s="83"/>
      <c r="AG700" s="83"/>
      <c r="AH700" s="83"/>
      <c r="AI700" s="83"/>
      <c r="AJ700" s="83"/>
      <c r="AK700" s="83"/>
      <c r="AL700" s="83"/>
      <c r="AM700" s="83"/>
      <c r="AN700" s="83"/>
      <c r="AO700" s="83"/>
      <c r="AP700" s="83"/>
      <c r="AQ700" s="83"/>
      <c r="AR700" s="83"/>
      <c r="AS700" s="83"/>
      <c r="AT700" s="83"/>
      <c r="AU700" s="83"/>
      <c r="AV700" s="83"/>
      <c r="AW700" s="83"/>
      <c r="AX700" s="83"/>
      <c r="AY700" s="83"/>
      <c r="AZ700" s="83"/>
      <c r="BA700" s="83"/>
      <c r="BB700" s="83"/>
      <c r="BC700" s="83"/>
    </row>
    <row r="701" customFormat="false" ht="24.75" hidden="false" customHeight="true" outlineLevel="0" collapsed="false">
      <c r="B701" s="81" t="n">
        <v>2</v>
      </c>
      <c r="C701" s="81"/>
      <c r="D701" s="82"/>
      <c r="E701" s="82"/>
      <c r="F701" s="82"/>
      <c r="G701" s="82"/>
      <c r="H701" s="83"/>
      <c r="I701" s="83"/>
      <c r="J701" s="83"/>
      <c r="K701" s="83"/>
      <c r="L701" s="83"/>
      <c r="M701" s="83"/>
      <c r="N701" s="83"/>
      <c r="O701" s="83"/>
      <c r="P701" s="83"/>
      <c r="Q701" s="83"/>
      <c r="R701" s="83"/>
      <c r="S701" s="83"/>
      <c r="T701" s="83"/>
      <c r="U701" s="83"/>
      <c r="V701" s="83"/>
      <c r="W701" s="83"/>
      <c r="X701" s="83"/>
      <c r="Y701" s="83"/>
      <c r="Z701" s="83"/>
      <c r="AA701" s="83"/>
      <c r="AB701" s="83"/>
      <c r="AC701" s="83"/>
      <c r="AD701" s="83"/>
      <c r="AE701" s="83"/>
      <c r="AF701" s="83"/>
      <c r="AG701" s="83"/>
      <c r="AH701" s="83"/>
      <c r="AI701" s="83"/>
      <c r="AJ701" s="83"/>
      <c r="AK701" s="83"/>
      <c r="AL701" s="83"/>
      <c r="AM701" s="83"/>
      <c r="AN701" s="83"/>
      <c r="AO701" s="83"/>
      <c r="AP701" s="83"/>
      <c r="AQ701" s="83"/>
      <c r="AR701" s="83"/>
      <c r="AS701" s="83"/>
      <c r="AT701" s="83"/>
      <c r="AU701" s="83"/>
      <c r="AV701" s="83"/>
      <c r="AW701" s="83"/>
      <c r="AX701" s="83"/>
      <c r="AY701" s="83"/>
      <c r="AZ701" s="83"/>
      <c r="BA701" s="83"/>
      <c r="BB701" s="83"/>
      <c r="BC701" s="83"/>
    </row>
    <row r="702" customFormat="false" ht="24.75" hidden="false" customHeight="true" outlineLevel="0" collapsed="false">
      <c r="B702" s="81" t="n">
        <v>3</v>
      </c>
      <c r="C702" s="81"/>
      <c r="D702" s="82"/>
      <c r="E702" s="82"/>
      <c r="F702" s="82"/>
      <c r="G702" s="82"/>
      <c r="H702" s="83"/>
      <c r="I702" s="83"/>
      <c r="J702" s="83"/>
      <c r="K702" s="83"/>
      <c r="L702" s="83"/>
      <c r="M702" s="83"/>
      <c r="N702" s="83"/>
      <c r="O702" s="83"/>
      <c r="P702" s="83"/>
      <c r="Q702" s="83"/>
      <c r="R702" s="83"/>
      <c r="S702" s="83"/>
      <c r="T702" s="83"/>
      <c r="U702" s="83"/>
      <c r="V702" s="83"/>
      <c r="W702" s="83"/>
      <c r="X702" s="83"/>
      <c r="Y702" s="83"/>
      <c r="Z702" s="83"/>
      <c r="AA702" s="83"/>
      <c r="AB702" s="83"/>
      <c r="AC702" s="83"/>
      <c r="AD702" s="83"/>
      <c r="AE702" s="83"/>
      <c r="AF702" s="83"/>
      <c r="AG702" s="83"/>
      <c r="AH702" s="83"/>
      <c r="AI702" s="83"/>
      <c r="AJ702" s="83"/>
      <c r="AK702" s="83"/>
      <c r="AL702" s="83"/>
      <c r="AM702" s="83"/>
      <c r="AN702" s="83"/>
      <c r="AO702" s="83"/>
      <c r="AP702" s="83"/>
      <c r="AQ702" s="83"/>
      <c r="AR702" s="83"/>
      <c r="AS702" s="83"/>
      <c r="AT702" s="83"/>
      <c r="AU702" s="83"/>
      <c r="AV702" s="83"/>
      <c r="AW702" s="83"/>
      <c r="AX702" s="83"/>
      <c r="AY702" s="83"/>
      <c r="AZ702" s="83"/>
      <c r="BA702" s="83"/>
      <c r="BB702" s="83"/>
      <c r="BC702" s="83"/>
    </row>
    <row r="703" customFormat="false" ht="24.75" hidden="false" customHeight="true" outlineLevel="0" collapsed="false">
      <c r="B703" s="81" t="n">
        <v>4</v>
      </c>
      <c r="C703" s="81"/>
      <c r="D703" s="82"/>
      <c r="E703" s="82"/>
      <c r="F703" s="82"/>
      <c r="G703" s="82"/>
      <c r="H703" s="83"/>
      <c r="I703" s="83"/>
      <c r="J703" s="83"/>
      <c r="K703" s="83"/>
      <c r="L703" s="83"/>
      <c r="M703" s="83"/>
      <c r="N703" s="83"/>
      <c r="O703" s="83"/>
      <c r="P703" s="83"/>
      <c r="Q703" s="83"/>
      <c r="R703" s="83"/>
      <c r="S703" s="83"/>
      <c r="T703" s="83"/>
      <c r="U703" s="83"/>
      <c r="V703" s="83"/>
      <c r="W703" s="83"/>
      <c r="X703" s="83"/>
      <c r="Y703" s="83"/>
      <c r="Z703" s="83"/>
      <c r="AA703" s="83"/>
      <c r="AB703" s="83"/>
      <c r="AC703" s="83"/>
      <c r="AD703" s="83"/>
      <c r="AE703" s="83"/>
      <c r="AF703" s="83"/>
      <c r="AG703" s="83"/>
      <c r="AH703" s="83"/>
      <c r="AI703" s="83"/>
      <c r="AJ703" s="83"/>
      <c r="AK703" s="83"/>
      <c r="AL703" s="83"/>
      <c r="AM703" s="83"/>
      <c r="AN703" s="83"/>
      <c r="AO703" s="83"/>
      <c r="AP703" s="83"/>
      <c r="AQ703" s="83"/>
      <c r="AR703" s="83"/>
      <c r="AS703" s="83"/>
      <c r="AT703" s="83"/>
      <c r="AU703" s="83"/>
      <c r="AV703" s="83"/>
      <c r="AW703" s="83"/>
      <c r="AX703" s="83"/>
      <c r="AY703" s="83"/>
      <c r="AZ703" s="83"/>
      <c r="BA703" s="83"/>
      <c r="BB703" s="83"/>
      <c r="BC703" s="83"/>
    </row>
    <row r="704" customFormat="false" ht="24.75" hidden="false" customHeight="true" outlineLevel="0" collapsed="false">
      <c r="B704" s="81" t="n">
        <v>5</v>
      </c>
      <c r="C704" s="81"/>
      <c r="D704" s="82"/>
      <c r="E704" s="82"/>
      <c r="F704" s="82"/>
      <c r="G704" s="82"/>
      <c r="H704" s="83"/>
      <c r="I704" s="83"/>
      <c r="J704" s="83"/>
      <c r="K704" s="83"/>
      <c r="L704" s="83"/>
      <c r="M704" s="83"/>
      <c r="N704" s="83"/>
      <c r="O704" s="83"/>
      <c r="P704" s="83"/>
      <c r="Q704" s="83"/>
      <c r="R704" s="83"/>
      <c r="S704" s="83"/>
      <c r="T704" s="83"/>
      <c r="U704" s="83"/>
      <c r="V704" s="83"/>
      <c r="W704" s="83"/>
      <c r="X704" s="83"/>
      <c r="Y704" s="83"/>
      <c r="Z704" s="83"/>
      <c r="AA704" s="83"/>
      <c r="AB704" s="83"/>
      <c r="AC704" s="83"/>
      <c r="AD704" s="83"/>
      <c r="AE704" s="83"/>
      <c r="AF704" s="83"/>
      <c r="AG704" s="83"/>
      <c r="AH704" s="83"/>
      <c r="AI704" s="83"/>
      <c r="AJ704" s="83"/>
      <c r="AK704" s="83"/>
      <c r="AL704" s="83"/>
      <c r="AM704" s="83"/>
      <c r="AN704" s="83"/>
      <c r="AO704" s="83"/>
      <c r="AP704" s="83"/>
      <c r="AQ704" s="83"/>
      <c r="AR704" s="83"/>
      <c r="AS704" s="83"/>
      <c r="AT704" s="83"/>
      <c r="AU704" s="83"/>
      <c r="AV704" s="83"/>
      <c r="AW704" s="83"/>
      <c r="AX704" s="83"/>
      <c r="AY704" s="83"/>
      <c r="AZ704" s="83"/>
      <c r="BA704" s="83"/>
      <c r="BB704" s="83"/>
      <c r="BC704" s="83"/>
    </row>
    <row r="705" customFormat="false" ht="24.75" hidden="false" customHeight="true" outlineLevel="0" collapsed="false">
      <c r="B705" s="81" t="n">
        <v>6</v>
      </c>
      <c r="C705" s="81"/>
      <c r="D705" s="82"/>
      <c r="E705" s="82"/>
      <c r="F705" s="82"/>
      <c r="G705" s="82"/>
      <c r="H705" s="83"/>
      <c r="I705" s="83"/>
      <c r="J705" s="83"/>
      <c r="K705" s="83"/>
      <c r="L705" s="83"/>
      <c r="M705" s="83"/>
      <c r="N705" s="83"/>
      <c r="O705" s="83"/>
      <c r="P705" s="83"/>
      <c r="Q705" s="83"/>
      <c r="R705" s="83"/>
      <c r="S705" s="83"/>
      <c r="T705" s="83"/>
      <c r="U705" s="83"/>
      <c r="V705" s="83"/>
      <c r="W705" s="83"/>
      <c r="X705" s="83"/>
      <c r="Y705" s="83"/>
      <c r="Z705" s="83"/>
      <c r="AA705" s="83"/>
      <c r="AB705" s="83"/>
      <c r="AC705" s="83"/>
      <c r="AD705" s="83"/>
      <c r="AE705" s="83"/>
      <c r="AF705" s="83"/>
      <c r="AG705" s="83"/>
      <c r="AH705" s="83"/>
      <c r="AI705" s="83"/>
      <c r="AJ705" s="83"/>
      <c r="AK705" s="83"/>
      <c r="AL705" s="83"/>
      <c r="AM705" s="83"/>
      <c r="AN705" s="83"/>
      <c r="AO705" s="83"/>
      <c r="AP705" s="83"/>
      <c r="AQ705" s="83"/>
      <c r="AR705" s="83"/>
      <c r="AS705" s="83"/>
      <c r="AT705" s="83"/>
      <c r="AU705" s="83"/>
      <c r="AV705" s="83"/>
      <c r="AW705" s="83"/>
      <c r="AX705" s="83"/>
      <c r="AY705" s="83"/>
      <c r="AZ705" s="83"/>
      <c r="BA705" s="83"/>
      <c r="BB705" s="83"/>
      <c r="BC705" s="83"/>
    </row>
    <row r="706" customFormat="false" ht="24.75" hidden="false" customHeight="true" outlineLevel="0" collapsed="false">
      <c r="B706" s="81" t="n">
        <v>7</v>
      </c>
      <c r="C706" s="81"/>
      <c r="D706" s="82"/>
      <c r="E706" s="82"/>
      <c r="F706" s="82"/>
      <c r="G706" s="82"/>
      <c r="H706" s="83"/>
      <c r="I706" s="83"/>
      <c r="J706" s="83"/>
      <c r="K706" s="83"/>
      <c r="L706" s="83"/>
      <c r="M706" s="83"/>
      <c r="N706" s="83"/>
      <c r="O706" s="83"/>
      <c r="P706" s="83"/>
      <c r="Q706" s="83"/>
      <c r="R706" s="83"/>
      <c r="S706" s="83"/>
      <c r="T706" s="83"/>
      <c r="U706" s="83"/>
      <c r="V706" s="83"/>
      <c r="W706" s="83"/>
      <c r="X706" s="83"/>
      <c r="Y706" s="83"/>
      <c r="Z706" s="83"/>
      <c r="AA706" s="83"/>
      <c r="AB706" s="83"/>
      <c r="AC706" s="83"/>
      <c r="AD706" s="83"/>
      <c r="AE706" s="83"/>
      <c r="AF706" s="83"/>
      <c r="AG706" s="83"/>
      <c r="AH706" s="83"/>
      <c r="AI706" s="83"/>
      <c r="AJ706" s="83"/>
      <c r="AK706" s="83"/>
      <c r="AL706" s="83"/>
      <c r="AM706" s="83"/>
      <c r="AN706" s="83"/>
      <c r="AO706" s="83"/>
      <c r="AP706" s="83"/>
      <c r="AQ706" s="83"/>
      <c r="AR706" s="83"/>
      <c r="AS706" s="83"/>
      <c r="AT706" s="83"/>
      <c r="AU706" s="83"/>
      <c r="AV706" s="83"/>
      <c r="AW706" s="83"/>
      <c r="AX706" s="83"/>
      <c r="AY706" s="83"/>
      <c r="AZ706" s="83"/>
      <c r="BA706" s="83"/>
      <c r="BB706" s="83"/>
      <c r="BC706" s="83"/>
    </row>
    <row r="707" customFormat="false" ht="24.75" hidden="false" customHeight="true" outlineLevel="0" collapsed="false">
      <c r="B707" s="81" t="n">
        <v>8</v>
      </c>
      <c r="C707" s="81"/>
      <c r="D707" s="82"/>
      <c r="E707" s="82"/>
      <c r="F707" s="82"/>
      <c r="G707" s="82"/>
      <c r="H707" s="83"/>
      <c r="I707" s="83"/>
      <c r="J707" s="83"/>
      <c r="K707" s="83"/>
      <c r="L707" s="83"/>
      <c r="M707" s="83"/>
      <c r="N707" s="83"/>
      <c r="O707" s="83"/>
      <c r="P707" s="83"/>
      <c r="Q707" s="83"/>
      <c r="R707" s="83"/>
      <c r="S707" s="83"/>
      <c r="T707" s="83"/>
      <c r="U707" s="83"/>
      <c r="V707" s="83"/>
      <c r="W707" s="83"/>
      <c r="X707" s="83"/>
      <c r="Y707" s="83"/>
      <c r="Z707" s="83"/>
      <c r="AA707" s="83"/>
      <c r="AB707" s="83"/>
      <c r="AC707" s="83"/>
      <c r="AD707" s="83"/>
      <c r="AE707" s="83"/>
      <c r="AF707" s="83"/>
      <c r="AG707" s="83"/>
      <c r="AH707" s="83"/>
      <c r="AI707" s="83"/>
      <c r="AJ707" s="83"/>
      <c r="AK707" s="83"/>
      <c r="AL707" s="83"/>
      <c r="AM707" s="83"/>
      <c r="AN707" s="83"/>
      <c r="AO707" s="83"/>
      <c r="AP707" s="83"/>
      <c r="AQ707" s="83"/>
      <c r="AR707" s="83"/>
      <c r="AS707" s="83"/>
      <c r="AT707" s="83"/>
      <c r="AU707" s="83"/>
      <c r="AV707" s="83"/>
      <c r="AW707" s="83"/>
      <c r="AX707" s="83"/>
      <c r="AY707" s="83"/>
      <c r="AZ707" s="83"/>
      <c r="BA707" s="83"/>
      <c r="BB707" s="83"/>
      <c r="BC707" s="83"/>
    </row>
    <row r="708" customFormat="false" ht="24.75" hidden="false" customHeight="true" outlineLevel="0" collapsed="false">
      <c r="B708" s="81" t="n">
        <v>9</v>
      </c>
      <c r="C708" s="81"/>
      <c r="D708" s="82"/>
      <c r="E708" s="82"/>
      <c r="F708" s="82"/>
      <c r="G708" s="82"/>
      <c r="H708" s="83"/>
      <c r="I708" s="83"/>
      <c r="J708" s="83"/>
      <c r="K708" s="83"/>
      <c r="L708" s="83"/>
      <c r="M708" s="83"/>
      <c r="N708" s="83"/>
      <c r="O708" s="83"/>
      <c r="P708" s="83"/>
      <c r="Q708" s="83"/>
      <c r="R708" s="83"/>
      <c r="S708" s="83"/>
      <c r="T708" s="83"/>
      <c r="U708" s="83"/>
      <c r="V708" s="83"/>
      <c r="W708" s="83"/>
      <c r="X708" s="83"/>
      <c r="Y708" s="83"/>
      <c r="Z708" s="83"/>
      <c r="AA708" s="83"/>
      <c r="AB708" s="83"/>
      <c r="AC708" s="83"/>
      <c r="AD708" s="83"/>
      <c r="AE708" s="83"/>
      <c r="AF708" s="83"/>
      <c r="AG708" s="83"/>
      <c r="AH708" s="83"/>
      <c r="AI708" s="83"/>
      <c r="AJ708" s="83"/>
      <c r="AK708" s="83"/>
      <c r="AL708" s="83"/>
      <c r="AM708" s="83"/>
      <c r="AN708" s="83"/>
      <c r="AO708" s="83"/>
      <c r="AP708" s="83"/>
      <c r="AQ708" s="83"/>
      <c r="AR708" s="83"/>
      <c r="AS708" s="83"/>
      <c r="AT708" s="83"/>
      <c r="AU708" s="83"/>
      <c r="AV708" s="83"/>
      <c r="AW708" s="83"/>
      <c r="AX708" s="83"/>
      <c r="AY708" s="83"/>
      <c r="AZ708" s="83"/>
      <c r="BA708" s="83"/>
      <c r="BB708" s="83"/>
      <c r="BC708" s="83"/>
    </row>
    <row r="709" customFormat="false" ht="24.75" hidden="false" customHeight="true" outlineLevel="0" collapsed="false">
      <c r="B709" s="81" t="n">
        <v>10</v>
      </c>
      <c r="C709" s="81"/>
      <c r="D709" s="82"/>
      <c r="E709" s="82"/>
      <c r="F709" s="82"/>
      <c r="G709" s="82"/>
      <c r="H709" s="83"/>
      <c r="I709" s="83"/>
      <c r="J709" s="83"/>
      <c r="K709" s="83"/>
      <c r="L709" s="83"/>
      <c r="M709" s="83"/>
      <c r="N709" s="83"/>
      <c r="O709" s="83"/>
      <c r="P709" s="83"/>
      <c r="Q709" s="83"/>
      <c r="R709" s="83"/>
      <c r="S709" s="83"/>
      <c r="T709" s="83"/>
      <c r="U709" s="83"/>
      <c r="V709" s="83"/>
      <c r="W709" s="83"/>
      <c r="X709" s="83"/>
      <c r="Y709" s="83"/>
      <c r="Z709" s="83"/>
      <c r="AA709" s="83"/>
      <c r="AB709" s="83"/>
      <c r="AC709" s="83"/>
      <c r="AD709" s="83"/>
      <c r="AE709" s="83"/>
      <c r="AF709" s="83"/>
      <c r="AG709" s="83"/>
      <c r="AH709" s="83"/>
      <c r="AI709" s="83"/>
      <c r="AJ709" s="83"/>
      <c r="AK709" s="83"/>
      <c r="AL709" s="83"/>
      <c r="AM709" s="83"/>
      <c r="AN709" s="83"/>
      <c r="AO709" s="83"/>
      <c r="AP709" s="83"/>
      <c r="AQ709" s="83"/>
      <c r="AR709" s="83"/>
      <c r="AS709" s="83"/>
      <c r="AT709" s="83"/>
      <c r="AU709" s="83"/>
      <c r="AV709" s="83"/>
      <c r="AW709" s="83"/>
      <c r="AX709" s="83"/>
      <c r="AY709" s="83"/>
      <c r="AZ709" s="83"/>
      <c r="BA709" s="83"/>
      <c r="BB709" s="83"/>
      <c r="BC709" s="83"/>
    </row>
    <row r="710" customFormat="false" ht="24.75" hidden="false" customHeight="true" outlineLevel="0" collapsed="false">
      <c r="B710" s="81" t="n">
        <v>11</v>
      </c>
      <c r="C710" s="81"/>
      <c r="D710" s="82"/>
      <c r="E710" s="82"/>
      <c r="F710" s="82"/>
      <c r="G710" s="82"/>
      <c r="H710" s="83"/>
      <c r="I710" s="83"/>
      <c r="J710" s="83"/>
      <c r="K710" s="83"/>
      <c r="L710" s="83"/>
      <c r="M710" s="83"/>
      <c r="N710" s="83"/>
      <c r="O710" s="83"/>
      <c r="P710" s="83"/>
      <c r="Q710" s="83"/>
      <c r="R710" s="83"/>
      <c r="S710" s="83"/>
      <c r="T710" s="83"/>
      <c r="U710" s="83"/>
      <c r="V710" s="83"/>
      <c r="W710" s="83"/>
      <c r="X710" s="83"/>
      <c r="Y710" s="83"/>
      <c r="Z710" s="83"/>
      <c r="AA710" s="83"/>
      <c r="AB710" s="83"/>
      <c r="AC710" s="83"/>
      <c r="AD710" s="83"/>
      <c r="AE710" s="83"/>
      <c r="AF710" s="83"/>
      <c r="AG710" s="83"/>
      <c r="AH710" s="83"/>
      <c r="AI710" s="83"/>
      <c r="AJ710" s="83"/>
      <c r="AK710" s="83"/>
      <c r="AL710" s="83"/>
      <c r="AM710" s="83"/>
      <c r="AN710" s="83"/>
      <c r="AO710" s="83"/>
      <c r="AP710" s="83"/>
      <c r="AQ710" s="83"/>
      <c r="AR710" s="83"/>
      <c r="AS710" s="83"/>
      <c r="AT710" s="83"/>
      <c r="AU710" s="83"/>
      <c r="AV710" s="83"/>
      <c r="AW710" s="83"/>
      <c r="AX710" s="83"/>
      <c r="AY710" s="83"/>
      <c r="AZ710" s="83"/>
      <c r="BA710" s="83"/>
      <c r="BB710" s="83"/>
      <c r="BC710" s="83"/>
    </row>
    <row r="711" customFormat="false" ht="24" hidden="false" customHeight="true" outlineLevel="0" collapsed="false">
      <c r="B711" s="84" t="s">
        <v>132</v>
      </c>
      <c r="C711" s="84"/>
      <c r="E711" s="85" t="s">
        <v>133</v>
      </c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  <c r="AE711" s="85"/>
      <c r="AF711" s="85"/>
      <c r="AG711" s="85"/>
      <c r="AH711" s="85"/>
      <c r="AI711" s="85"/>
      <c r="AJ711" s="85"/>
      <c r="AK711" s="85"/>
      <c r="AL711" s="85"/>
      <c r="AM711" s="85"/>
      <c r="AN711" s="85"/>
      <c r="AO711" s="85"/>
      <c r="AP711" s="85"/>
      <c r="AQ711" s="85"/>
      <c r="AR711" s="85"/>
      <c r="AS711" s="85"/>
      <c r="AT711" s="85"/>
      <c r="AU711" s="85"/>
      <c r="AV711" s="85"/>
      <c r="AW711" s="85"/>
      <c r="AX711" s="85"/>
      <c r="AY711" s="85"/>
      <c r="AZ711" s="85"/>
      <c r="BA711" s="85"/>
      <c r="BB711" s="85"/>
      <c r="BC711" s="85"/>
    </row>
    <row r="712" customFormat="false" ht="30" hidden="false" customHeight="true" outlineLevel="0" collapsed="false"/>
    <row r="713" customFormat="false" ht="18" hidden="false" customHeight="true" outlineLevel="0" collapsed="false">
      <c r="B713" s="75" t="s">
        <v>134</v>
      </c>
      <c r="C713" s="75"/>
      <c r="D713" s="75"/>
      <c r="E713" s="75"/>
      <c r="F713" s="75"/>
      <c r="G713" s="75"/>
      <c r="H713" s="75"/>
      <c r="I713" s="75"/>
      <c r="J713" s="75"/>
      <c r="K713" s="75"/>
      <c r="L713" s="75"/>
      <c r="M713" s="75"/>
      <c r="N713" s="75"/>
      <c r="O713" s="75"/>
      <c r="P713" s="75"/>
      <c r="Q713" s="75"/>
      <c r="R713" s="75"/>
      <c r="S713" s="75"/>
      <c r="T713" s="75"/>
      <c r="U713" s="75"/>
      <c r="V713" s="75"/>
      <c r="W713" s="75"/>
      <c r="X713" s="75"/>
      <c r="Y713" s="75"/>
      <c r="Z713" s="75"/>
      <c r="AA713" s="75"/>
      <c r="AB713" s="76" t="s">
        <v>135</v>
      </c>
      <c r="AC713" s="76"/>
      <c r="AD713" s="76"/>
      <c r="AE713" s="76"/>
      <c r="AF713" s="76"/>
      <c r="AG713" s="76"/>
      <c r="AH713" s="76"/>
      <c r="AI713" s="76"/>
      <c r="AJ713" s="76"/>
      <c r="AK713" s="76"/>
      <c r="AL713" s="76"/>
      <c r="AM713" s="76"/>
      <c r="AN713" s="76"/>
      <c r="AO713" s="76"/>
      <c r="AP713" s="76"/>
      <c r="AQ713" s="76"/>
      <c r="AR713" s="76"/>
      <c r="AS713" s="76"/>
      <c r="AT713" s="76"/>
      <c r="AU713" s="76"/>
      <c r="AV713" s="76"/>
      <c r="AW713" s="76"/>
      <c r="AX713" s="76"/>
      <c r="AY713" s="76"/>
      <c r="AZ713" s="76"/>
      <c r="BA713" s="76"/>
      <c r="BB713" s="76"/>
      <c r="BC713" s="76"/>
    </row>
    <row r="714" customFormat="false" ht="7.5" hidden="false" customHeight="true" outlineLevel="0" collapsed="false"/>
    <row r="715" customFormat="false" ht="24" hidden="false" customHeight="true" outlineLevel="0" collapsed="false">
      <c r="B715" s="86" t="s">
        <v>115</v>
      </c>
      <c r="C715" s="86"/>
      <c r="D715" s="86"/>
      <c r="E715" s="86"/>
      <c r="F715" s="86"/>
      <c r="H715" s="87" t="s">
        <v>116</v>
      </c>
      <c r="I715" s="87"/>
      <c r="J715" s="87"/>
      <c r="K715" s="87"/>
      <c r="L715" s="87"/>
      <c r="M715" s="87"/>
      <c r="N715" s="87"/>
      <c r="O715" s="87"/>
      <c r="P715" s="87"/>
      <c r="AA715" s="88" t="s">
        <v>136</v>
      </c>
      <c r="AB715" s="88"/>
      <c r="AC715" s="88"/>
      <c r="AD715" s="88"/>
      <c r="AE715" s="88"/>
      <c r="AF715" s="89" t="str">
        <f aca="false">Dashboard!$C$6</f>
        <v>Bindhya TB</v>
      </c>
      <c r="AG715" s="89"/>
      <c r="AH715" s="89"/>
      <c r="AI715" s="89"/>
      <c r="AJ715" s="89"/>
      <c r="AK715" s="89"/>
      <c r="AL715" s="89"/>
      <c r="AM715" s="89"/>
      <c r="AN715" s="89"/>
      <c r="AO715" s="89"/>
      <c r="AP715" s="89"/>
      <c r="AR715" s="88" t="s">
        <v>137</v>
      </c>
      <c r="AS715" s="88"/>
      <c r="AT715" s="89" t="str">
        <f aca="false">TEXT(Cal!H6,"dd mmm")&amp;" to "&amp;TEXT(Cal!I6,"dd mmm yy")</f>
        <v>26 Oct to 31 Oct 26</v>
      </c>
      <c r="AU715" s="89"/>
      <c r="AV715" s="89"/>
      <c r="AW715" s="89"/>
      <c r="AX715" s="89"/>
      <c r="AY715" s="89"/>
      <c r="AZ715" s="89"/>
      <c r="BA715" s="89"/>
      <c r="BB715" s="89"/>
      <c r="BC715" s="89"/>
    </row>
    <row r="716" customFormat="false" ht="3" hidden="false" customHeight="true" outlineLevel="0" collapsed="false"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</row>
    <row r="717" customFormat="false" ht="9.75" hidden="false" customHeight="true" outlineLevel="0" collapsed="false"/>
    <row r="718" customFormat="false" ht="21.75" hidden="false" customHeight="true" outlineLevel="0" collapsed="false">
      <c r="B718" s="6"/>
      <c r="C718" s="19" t="s">
        <v>138</v>
      </c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59" t="s">
        <v>139</v>
      </c>
      <c r="AM718" s="59"/>
      <c r="AN718" s="59"/>
      <c r="AO718" s="59"/>
      <c r="AP718" s="59"/>
      <c r="AQ718" s="59"/>
      <c r="AR718" s="59"/>
      <c r="AS718" s="59"/>
      <c r="AT718" s="59"/>
      <c r="AU718" s="59"/>
      <c r="AV718" s="59"/>
      <c r="AW718" s="59"/>
      <c r="AX718" s="59"/>
      <c r="AY718" s="59"/>
      <c r="AZ718" s="59"/>
      <c r="BA718" s="59"/>
      <c r="BB718" s="59"/>
      <c r="BC718" s="59"/>
    </row>
    <row r="719" customFormat="false" ht="27.75" hidden="false" customHeight="true" outlineLevel="0" collapsed="false">
      <c r="B719" s="79" t="s">
        <v>124</v>
      </c>
      <c r="C719" s="79"/>
      <c r="D719" s="80" t="s">
        <v>140</v>
      </c>
      <c r="E719" s="80"/>
      <c r="F719" s="80"/>
      <c r="G719" s="80"/>
      <c r="H719" s="80" t="s">
        <v>126</v>
      </c>
      <c r="I719" s="80"/>
      <c r="J719" s="80"/>
      <c r="K719" s="80"/>
      <c r="L719" s="80"/>
      <c r="M719" s="80"/>
      <c r="N719" s="80"/>
      <c r="O719" s="80"/>
      <c r="P719" s="80" t="s">
        <v>141</v>
      </c>
      <c r="Q719" s="80"/>
      <c r="R719" s="80"/>
      <c r="S719" s="80"/>
      <c r="T719" s="80" t="s">
        <v>142</v>
      </c>
      <c r="U719" s="80"/>
      <c r="V719" s="80"/>
      <c r="W719" s="80"/>
      <c r="X719" s="80"/>
      <c r="Y719" s="80"/>
      <c r="Z719" s="80"/>
      <c r="AA719" s="80"/>
      <c r="AB719" s="80"/>
      <c r="AC719" s="80"/>
      <c r="AD719" s="80"/>
      <c r="AE719" s="80"/>
      <c r="AF719" s="80"/>
      <c r="AG719" s="80"/>
      <c r="AH719" s="80"/>
      <c r="AI719" s="80"/>
      <c r="AJ719" s="80"/>
      <c r="AK719" s="80"/>
      <c r="AL719" s="80"/>
      <c r="AM719" s="80"/>
      <c r="AN719" s="80" t="s">
        <v>143</v>
      </c>
      <c r="AO719" s="80"/>
      <c r="AP719" s="80"/>
      <c r="AQ719" s="80"/>
      <c r="AR719" s="80"/>
      <c r="AS719" s="80"/>
      <c r="AT719" s="80"/>
      <c r="AU719" s="80"/>
      <c r="AV719" s="80"/>
      <c r="AW719" s="80"/>
      <c r="AX719" s="80"/>
      <c r="AY719" s="80"/>
      <c r="AZ719" s="80"/>
      <c r="BA719" s="80"/>
      <c r="BB719" s="80"/>
      <c r="BC719" s="80"/>
    </row>
    <row r="720" customFormat="false" ht="27.75" hidden="false" customHeight="true" outlineLevel="0" collapsed="false">
      <c r="B720" s="81" t="n">
        <v>1</v>
      </c>
      <c r="C720" s="81"/>
      <c r="D720" s="82"/>
      <c r="E720" s="82"/>
      <c r="F720" s="82"/>
      <c r="G720" s="82"/>
      <c r="H720" s="83"/>
      <c r="I720" s="83"/>
      <c r="J720" s="83"/>
      <c r="K720" s="83"/>
      <c r="L720" s="83"/>
      <c r="M720" s="83"/>
      <c r="N720" s="83"/>
      <c r="O720" s="83"/>
      <c r="P720" s="83"/>
      <c r="Q720" s="83"/>
      <c r="R720" s="83"/>
      <c r="S720" s="83"/>
      <c r="T720" s="83"/>
      <c r="U720" s="83"/>
      <c r="V720" s="83"/>
      <c r="W720" s="83"/>
      <c r="X720" s="83"/>
      <c r="Y720" s="83"/>
      <c r="Z720" s="83"/>
      <c r="AA720" s="83"/>
      <c r="AB720" s="83"/>
      <c r="AC720" s="83"/>
      <c r="AD720" s="83"/>
      <c r="AE720" s="83"/>
      <c r="AF720" s="83"/>
      <c r="AG720" s="83"/>
      <c r="AH720" s="83"/>
      <c r="AI720" s="83"/>
      <c r="AJ720" s="83"/>
      <c r="AK720" s="83"/>
      <c r="AL720" s="83"/>
      <c r="AM720" s="83"/>
      <c r="AN720" s="83"/>
      <c r="AO720" s="83"/>
      <c r="AP720" s="83"/>
      <c r="AQ720" s="83"/>
      <c r="AR720" s="83"/>
      <c r="AS720" s="83"/>
      <c r="AT720" s="83"/>
      <c r="AU720" s="83"/>
      <c r="AV720" s="83"/>
      <c r="AW720" s="83"/>
      <c r="AX720" s="83"/>
      <c r="AY720" s="83"/>
      <c r="AZ720" s="83"/>
      <c r="BA720" s="83"/>
      <c r="BB720" s="83"/>
      <c r="BC720" s="83"/>
    </row>
    <row r="721" customFormat="false" ht="27.75" hidden="false" customHeight="true" outlineLevel="0" collapsed="false">
      <c r="B721" s="81" t="n">
        <v>2</v>
      </c>
      <c r="C721" s="81"/>
      <c r="D721" s="82"/>
      <c r="E721" s="82"/>
      <c r="F721" s="82"/>
      <c r="G721" s="82"/>
      <c r="H721" s="83"/>
      <c r="I721" s="83"/>
      <c r="J721" s="83"/>
      <c r="K721" s="83"/>
      <c r="L721" s="83"/>
      <c r="M721" s="83"/>
      <c r="N721" s="83"/>
      <c r="O721" s="83"/>
      <c r="P721" s="83"/>
      <c r="Q721" s="83"/>
      <c r="R721" s="83"/>
      <c r="S721" s="83"/>
      <c r="T721" s="83"/>
      <c r="U721" s="83"/>
      <c r="V721" s="83"/>
      <c r="W721" s="83"/>
      <c r="X721" s="83"/>
      <c r="Y721" s="83"/>
      <c r="Z721" s="83"/>
      <c r="AA721" s="83"/>
      <c r="AB721" s="83"/>
      <c r="AC721" s="83"/>
      <c r="AD721" s="83"/>
      <c r="AE721" s="83"/>
      <c r="AF721" s="83"/>
      <c r="AG721" s="83"/>
      <c r="AH721" s="83"/>
      <c r="AI721" s="83"/>
      <c r="AJ721" s="83"/>
      <c r="AK721" s="83"/>
      <c r="AL721" s="83"/>
      <c r="AM721" s="83"/>
      <c r="AN721" s="83"/>
      <c r="AO721" s="83"/>
      <c r="AP721" s="83"/>
      <c r="AQ721" s="83"/>
      <c r="AR721" s="83"/>
      <c r="AS721" s="83"/>
      <c r="AT721" s="83"/>
      <c r="AU721" s="83"/>
      <c r="AV721" s="83"/>
      <c r="AW721" s="83"/>
      <c r="AX721" s="83"/>
      <c r="AY721" s="83"/>
      <c r="AZ721" s="83"/>
      <c r="BA721" s="83"/>
      <c r="BB721" s="83"/>
      <c r="BC721" s="83"/>
    </row>
    <row r="722" customFormat="false" ht="27.75" hidden="false" customHeight="true" outlineLevel="0" collapsed="false">
      <c r="B722" s="81" t="n">
        <v>3</v>
      </c>
      <c r="C722" s="81"/>
      <c r="D722" s="82"/>
      <c r="E722" s="82"/>
      <c r="F722" s="82"/>
      <c r="G722" s="82"/>
      <c r="H722" s="83"/>
      <c r="I722" s="83"/>
      <c r="J722" s="83"/>
      <c r="K722" s="83"/>
      <c r="L722" s="83"/>
      <c r="M722" s="83"/>
      <c r="N722" s="83"/>
      <c r="O722" s="83"/>
      <c r="P722" s="83"/>
      <c r="Q722" s="83"/>
      <c r="R722" s="83"/>
      <c r="S722" s="83"/>
      <c r="T722" s="83"/>
      <c r="U722" s="83"/>
      <c r="V722" s="83"/>
      <c r="W722" s="83"/>
      <c r="X722" s="83"/>
      <c r="Y722" s="83"/>
      <c r="Z722" s="83"/>
      <c r="AA722" s="83"/>
      <c r="AB722" s="83"/>
      <c r="AC722" s="83"/>
      <c r="AD722" s="83"/>
      <c r="AE722" s="83"/>
      <c r="AF722" s="83"/>
      <c r="AG722" s="83"/>
      <c r="AH722" s="83"/>
      <c r="AI722" s="83"/>
      <c r="AJ722" s="83"/>
      <c r="AK722" s="83"/>
      <c r="AL722" s="83"/>
      <c r="AM722" s="83"/>
      <c r="AN722" s="83"/>
      <c r="AO722" s="83"/>
      <c r="AP722" s="83"/>
      <c r="AQ722" s="83"/>
      <c r="AR722" s="83"/>
      <c r="AS722" s="83"/>
      <c r="AT722" s="83"/>
      <c r="AU722" s="83"/>
      <c r="AV722" s="83"/>
      <c r="AW722" s="83"/>
      <c r="AX722" s="83"/>
      <c r="AY722" s="83"/>
      <c r="AZ722" s="83"/>
      <c r="BA722" s="83"/>
      <c r="BB722" s="83"/>
      <c r="BC722" s="83"/>
    </row>
    <row r="723" customFormat="false" ht="27.75" hidden="false" customHeight="true" outlineLevel="0" collapsed="false">
      <c r="B723" s="81" t="n">
        <v>4</v>
      </c>
      <c r="C723" s="81"/>
      <c r="D723" s="82"/>
      <c r="E723" s="82"/>
      <c r="F723" s="82"/>
      <c r="G723" s="82"/>
      <c r="H723" s="83"/>
      <c r="I723" s="83"/>
      <c r="J723" s="83"/>
      <c r="K723" s="83"/>
      <c r="L723" s="83"/>
      <c r="M723" s="83"/>
      <c r="N723" s="83"/>
      <c r="O723" s="83"/>
      <c r="P723" s="83"/>
      <c r="Q723" s="83"/>
      <c r="R723" s="83"/>
      <c r="S723" s="83"/>
      <c r="T723" s="83"/>
      <c r="U723" s="83"/>
      <c r="V723" s="83"/>
      <c r="W723" s="83"/>
      <c r="X723" s="83"/>
      <c r="Y723" s="83"/>
      <c r="Z723" s="83"/>
      <c r="AA723" s="83"/>
      <c r="AB723" s="83"/>
      <c r="AC723" s="83"/>
      <c r="AD723" s="83"/>
      <c r="AE723" s="83"/>
      <c r="AF723" s="83"/>
      <c r="AG723" s="83"/>
      <c r="AH723" s="83"/>
      <c r="AI723" s="83"/>
      <c r="AJ723" s="83"/>
      <c r="AK723" s="83"/>
      <c r="AL723" s="83"/>
      <c r="AM723" s="83"/>
      <c r="AN723" s="83"/>
      <c r="AO723" s="83"/>
      <c r="AP723" s="83"/>
      <c r="AQ723" s="83"/>
      <c r="AR723" s="83"/>
      <c r="AS723" s="83"/>
      <c r="AT723" s="83"/>
      <c r="AU723" s="83"/>
      <c r="AV723" s="83"/>
      <c r="AW723" s="83"/>
      <c r="AX723" s="83"/>
      <c r="AY723" s="83"/>
      <c r="AZ723" s="83"/>
      <c r="BA723" s="83"/>
      <c r="BB723" s="83"/>
      <c r="BC723" s="83"/>
    </row>
    <row r="724" customFormat="false" ht="27.75" hidden="false" customHeight="true" outlineLevel="0" collapsed="false">
      <c r="B724" s="81" t="n">
        <v>5</v>
      </c>
      <c r="C724" s="81"/>
      <c r="D724" s="82"/>
      <c r="E724" s="82"/>
      <c r="F724" s="82"/>
      <c r="G724" s="82"/>
      <c r="H724" s="83"/>
      <c r="I724" s="83"/>
      <c r="J724" s="83"/>
      <c r="K724" s="83"/>
      <c r="L724" s="83"/>
      <c r="M724" s="83"/>
      <c r="N724" s="83"/>
      <c r="O724" s="83"/>
      <c r="P724" s="83"/>
      <c r="Q724" s="83"/>
      <c r="R724" s="83"/>
      <c r="S724" s="83"/>
      <c r="T724" s="83"/>
      <c r="U724" s="83"/>
      <c r="V724" s="83"/>
      <c r="W724" s="83"/>
      <c r="X724" s="83"/>
      <c r="Y724" s="83"/>
      <c r="Z724" s="83"/>
      <c r="AA724" s="83"/>
      <c r="AB724" s="83"/>
      <c r="AC724" s="83"/>
      <c r="AD724" s="83"/>
      <c r="AE724" s="83"/>
      <c r="AF724" s="83"/>
      <c r="AG724" s="83"/>
      <c r="AH724" s="83"/>
      <c r="AI724" s="83"/>
      <c r="AJ724" s="83"/>
      <c r="AK724" s="83"/>
      <c r="AL724" s="83"/>
      <c r="AM724" s="83"/>
      <c r="AN724" s="83"/>
      <c r="AO724" s="83"/>
      <c r="AP724" s="83"/>
      <c r="AQ724" s="83"/>
      <c r="AR724" s="83"/>
      <c r="AS724" s="83"/>
      <c r="AT724" s="83"/>
      <c r="AU724" s="83"/>
      <c r="AV724" s="83"/>
      <c r="AW724" s="83"/>
      <c r="AX724" s="83"/>
      <c r="AY724" s="83"/>
      <c r="AZ724" s="83"/>
      <c r="BA724" s="83"/>
      <c r="BB724" s="83"/>
      <c r="BC724" s="83"/>
    </row>
    <row r="725" customFormat="false" ht="27.75" hidden="false" customHeight="true" outlineLevel="0" collapsed="false">
      <c r="B725" s="81" t="n">
        <v>6</v>
      </c>
      <c r="C725" s="81"/>
      <c r="D725" s="82"/>
      <c r="E725" s="82"/>
      <c r="F725" s="82"/>
      <c r="G725" s="82"/>
      <c r="H725" s="83"/>
      <c r="I725" s="83"/>
      <c r="J725" s="83"/>
      <c r="K725" s="83"/>
      <c r="L725" s="83"/>
      <c r="M725" s="83"/>
      <c r="N725" s="83"/>
      <c r="O725" s="83"/>
      <c r="P725" s="83"/>
      <c r="Q725" s="83"/>
      <c r="R725" s="83"/>
      <c r="S725" s="83"/>
      <c r="T725" s="83"/>
      <c r="U725" s="83"/>
      <c r="V725" s="83"/>
      <c r="W725" s="83"/>
      <c r="X725" s="83"/>
      <c r="Y725" s="83"/>
      <c r="Z725" s="83"/>
      <c r="AA725" s="83"/>
      <c r="AB725" s="83"/>
      <c r="AC725" s="83"/>
      <c r="AD725" s="83"/>
      <c r="AE725" s="83"/>
      <c r="AF725" s="83"/>
      <c r="AG725" s="83"/>
      <c r="AH725" s="83"/>
      <c r="AI725" s="83"/>
      <c r="AJ725" s="83"/>
      <c r="AK725" s="83"/>
      <c r="AL725" s="83"/>
      <c r="AM725" s="83"/>
      <c r="AN725" s="83"/>
      <c r="AO725" s="83"/>
      <c r="AP725" s="83"/>
      <c r="AQ725" s="83"/>
      <c r="AR725" s="83"/>
      <c r="AS725" s="83"/>
      <c r="AT725" s="83"/>
      <c r="AU725" s="83"/>
      <c r="AV725" s="83"/>
      <c r="AW725" s="83"/>
      <c r="AX725" s="83"/>
      <c r="AY725" s="83"/>
      <c r="AZ725" s="83"/>
      <c r="BA725" s="83"/>
      <c r="BB725" s="83"/>
      <c r="BC725" s="83"/>
    </row>
    <row r="726" customFormat="false" ht="27.75" hidden="false" customHeight="true" outlineLevel="0" collapsed="false">
      <c r="B726" s="81" t="n">
        <v>7</v>
      </c>
      <c r="C726" s="81"/>
      <c r="D726" s="82"/>
      <c r="E726" s="82"/>
      <c r="F726" s="82"/>
      <c r="G726" s="82"/>
      <c r="H726" s="83"/>
      <c r="I726" s="83"/>
      <c r="J726" s="83"/>
      <c r="K726" s="83"/>
      <c r="L726" s="83"/>
      <c r="M726" s="83"/>
      <c r="N726" s="83"/>
      <c r="O726" s="83"/>
      <c r="P726" s="83"/>
      <c r="Q726" s="83"/>
      <c r="R726" s="83"/>
      <c r="S726" s="83"/>
      <c r="T726" s="83"/>
      <c r="U726" s="83"/>
      <c r="V726" s="83"/>
      <c r="W726" s="83"/>
      <c r="X726" s="83"/>
      <c r="Y726" s="83"/>
      <c r="Z726" s="83"/>
      <c r="AA726" s="83"/>
      <c r="AB726" s="83"/>
      <c r="AC726" s="83"/>
      <c r="AD726" s="83"/>
      <c r="AE726" s="83"/>
      <c r="AF726" s="83"/>
      <c r="AG726" s="83"/>
      <c r="AH726" s="83"/>
      <c r="AI726" s="83"/>
      <c r="AJ726" s="83"/>
      <c r="AK726" s="83"/>
      <c r="AL726" s="83"/>
      <c r="AM726" s="83"/>
      <c r="AN726" s="83"/>
      <c r="AO726" s="83"/>
      <c r="AP726" s="83"/>
      <c r="AQ726" s="83"/>
      <c r="AR726" s="83"/>
      <c r="AS726" s="83"/>
      <c r="AT726" s="83"/>
      <c r="AU726" s="83"/>
      <c r="AV726" s="83"/>
      <c r="AW726" s="83"/>
      <c r="AX726" s="83"/>
      <c r="AY726" s="83"/>
      <c r="AZ726" s="83"/>
      <c r="BA726" s="83"/>
      <c r="BB726" s="83"/>
      <c r="BC726" s="83"/>
    </row>
    <row r="727" customFormat="false" ht="27.75" hidden="false" customHeight="true" outlineLevel="0" collapsed="false">
      <c r="B727" s="81" t="n">
        <v>8</v>
      </c>
      <c r="C727" s="81"/>
      <c r="D727" s="82"/>
      <c r="E727" s="82"/>
      <c r="F727" s="82"/>
      <c r="G727" s="82"/>
      <c r="H727" s="83"/>
      <c r="I727" s="83"/>
      <c r="J727" s="83"/>
      <c r="K727" s="83"/>
      <c r="L727" s="83"/>
      <c r="M727" s="83"/>
      <c r="N727" s="83"/>
      <c r="O727" s="83"/>
      <c r="P727" s="83"/>
      <c r="Q727" s="83"/>
      <c r="R727" s="83"/>
      <c r="S727" s="83"/>
      <c r="T727" s="83"/>
      <c r="U727" s="83"/>
      <c r="V727" s="83"/>
      <c r="W727" s="83"/>
      <c r="X727" s="83"/>
      <c r="Y727" s="83"/>
      <c r="Z727" s="83"/>
      <c r="AA727" s="83"/>
      <c r="AB727" s="83"/>
      <c r="AC727" s="83"/>
      <c r="AD727" s="83"/>
      <c r="AE727" s="83"/>
      <c r="AF727" s="83"/>
      <c r="AG727" s="83"/>
      <c r="AH727" s="83"/>
      <c r="AI727" s="83"/>
      <c r="AJ727" s="83"/>
      <c r="AK727" s="83"/>
      <c r="AL727" s="83"/>
      <c r="AM727" s="83"/>
      <c r="AN727" s="83"/>
      <c r="AO727" s="83"/>
      <c r="AP727" s="83"/>
      <c r="AQ727" s="83"/>
      <c r="AR727" s="83"/>
      <c r="AS727" s="83"/>
      <c r="AT727" s="83"/>
      <c r="AU727" s="83"/>
      <c r="AV727" s="83"/>
      <c r="AW727" s="83"/>
      <c r="AX727" s="83"/>
      <c r="AY727" s="83"/>
      <c r="AZ727" s="83"/>
      <c r="BA727" s="83"/>
      <c r="BB727" s="83"/>
      <c r="BC727" s="83"/>
    </row>
    <row r="728" customFormat="false" ht="27.75" hidden="false" customHeight="true" outlineLevel="0" collapsed="false">
      <c r="B728" s="81" t="n">
        <v>9</v>
      </c>
      <c r="C728" s="81"/>
      <c r="D728" s="82"/>
      <c r="E728" s="82"/>
      <c r="F728" s="82"/>
      <c r="G728" s="82"/>
      <c r="H728" s="83"/>
      <c r="I728" s="83"/>
      <c r="J728" s="83"/>
      <c r="K728" s="83"/>
      <c r="L728" s="83"/>
      <c r="M728" s="83"/>
      <c r="N728" s="83"/>
      <c r="O728" s="83"/>
      <c r="P728" s="83"/>
      <c r="Q728" s="83"/>
      <c r="R728" s="83"/>
      <c r="S728" s="83"/>
      <c r="T728" s="83"/>
      <c r="U728" s="83"/>
      <c r="V728" s="83"/>
      <c r="W728" s="83"/>
      <c r="X728" s="83"/>
      <c r="Y728" s="83"/>
      <c r="Z728" s="83"/>
      <c r="AA728" s="83"/>
      <c r="AB728" s="83"/>
      <c r="AC728" s="83"/>
      <c r="AD728" s="83"/>
      <c r="AE728" s="83"/>
      <c r="AF728" s="83"/>
      <c r="AG728" s="83"/>
      <c r="AH728" s="83"/>
      <c r="AI728" s="83"/>
      <c r="AJ728" s="83"/>
      <c r="AK728" s="83"/>
      <c r="AL728" s="83"/>
      <c r="AM728" s="83"/>
      <c r="AN728" s="83"/>
      <c r="AO728" s="83"/>
      <c r="AP728" s="83"/>
      <c r="AQ728" s="83"/>
      <c r="AR728" s="83"/>
      <c r="AS728" s="83"/>
      <c r="AT728" s="83"/>
      <c r="AU728" s="83"/>
      <c r="AV728" s="83"/>
      <c r="AW728" s="83"/>
      <c r="AX728" s="83"/>
      <c r="AY728" s="83"/>
      <c r="AZ728" s="83"/>
      <c r="BA728" s="83"/>
      <c r="BB728" s="83"/>
      <c r="BC728" s="83"/>
    </row>
    <row r="729" customFormat="false" ht="27.75" hidden="false" customHeight="true" outlineLevel="0" collapsed="false">
      <c r="B729" s="81" t="n">
        <v>10</v>
      </c>
      <c r="C729" s="81"/>
      <c r="D729" s="82"/>
      <c r="E729" s="82"/>
      <c r="F729" s="82"/>
      <c r="G729" s="82"/>
      <c r="H729" s="83"/>
      <c r="I729" s="83"/>
      <c r="J729" s="83"/>
      <c r="K729" s="83"/>
      <c r="L729" s="83"/>
      <c r="M729" s="83"/>
      <c r="N729" s="83"/>
      <c r="O729" s="83"/>
      <c r="P729" s="83"/>
      <c r="Q729" s="83"/>
      <c r="R729" s="83"/>
      <c r="S729" s="83"/>
      <c r="T729" s="83"/>
      <c r="U729" s="83"/>
      <c r="V729" s="83"/>
      <c r="W729" s="83"/>
      <c r="X729" s="83"/>
      <c r="Y729" s="83"/>
      <c r="Z729" s="83"/>
      <c r="AA729" s="83"/>
      <c r="AB729" s="83"/>
      <c r="AC729" s="83"/>
      <c r="AD729" s="83"/>
      <c r="AE729" s="83"/>
      <c r="AF729" s="83"/>
      <c r="AG729" s="83"/>
      <c r="AH729" s="83"/>
      <c r="AI729" s="83"/>
      <c r="AJ729" s="83"/>
      <c r="AK729" s="83"/>
      <c r="AL729" s="83"/>
      <c r="AM729" s="83"/>
      <c r="AN729" s="83"/>
      <c r="AO729" s="83"/>
      <c r="AP729" s="83"/>
      <c r="AQ729" s="83"/>
      <c r="AR729" s="83"/>
      <c r="AS729" s="83"/>
      <c r="AT729" s="83"/>
      <c r="AU729" s="83"/>
      <c r="AV729" s="83"/>
      <c r="AW729" s="83"/>
      <c r="AX729" s="83"/>
      <c r="AY729" s="83"/>
      <c r="AZ729" s="83"/>
      <c r="BA729" s="83"/>
      <c r="BB729" s="83"/>
      <c r="BC729" s="83"/>
    </row>
    <row r="730" customFormat="false" ht="27.75" hidden="false" customHeight="true" outlineLevel="0" collapsed="false">
      <c r="B730" s="81" t="n">
        <v>11</v>
      </c>
      <c r="C730" s="81"/>
      <c r="D730" s="82"/>
      <c r="E730" s="82"/>
      <c r="F730" s="82"/>
      <c r="G730" s="82"/>
      <c r="H730" s="83"/>
      <c r="I730" s="83"/>
      <c r="J730" s="83"/>
      <c r="K730" s="83"/>
      <c r="L730" s="83"/>
      <c r="M730" s="83"/>
      <c r="N730" s="83"/>
      <c r="O730" s="83"/>
      <c r="P730" s="83"/>
      <c r="Q730" s="83"/>
      <c r="R730" s="83"/>
      <c r="S730" s="83"/>
      <c r="T730" s="83"/>
      <c r="U730" s="83"/>
      <c r="V730" s="83"/>
      <c r="W730" s="83"/>
      <c r="X730" s="83"/>
      <c r="Y730" s="83"/>
      <c r="Z730" s="83"/>
      <c r="AA730" s="83"/>
      <c r="AB730" s="83"/>
      <c r="AC730" s="83"/>
      <c r="AD730" s="83"/>
      <c r="AE730" s="83"/>
      <c r="AF730" s="83"/>
      <c r="AG730" s="83"/>
      <c r="AH730" s="83"/>
      <c r="AI730" s="83"/>
      <c r="AJ730" s="83"/>
      <c r="AK730" s="83"/>
      <c r="AL730" s="83"/>
      <c r="AM730" s="83"/>
      <c r="AN730" s="83"/>
      <c r="AO730" s="83"/>
      <c r="AP730" s="83"/>
      <c r="AQ730" s="83"/>
      <c r="AR730" s="83"/>
      <c r="AS730" s="83"/>
      <c r="AT730" s="83"/>
      <c r="AU730" s="83"/>
      <c r="AV730" s="83"/>
      <c r="AW730" s="83"/>
      <c r="AX730" s="83"/>
      <c r="AY730" s="83"/>
      <c r="AZ730" s="83"/>
      <c r="BA730" s="83"/>
      <c r="BB730" s="83"/>
      <c r="BC730" s="83"/>
    </row>
    <row r="731" customFormat="false" ht="24" hidden="false" customHeight="true" outlineLevel="0" collapsed="false">
      <c r="B731" s="84" t="s">
        <v>132</v>
      </c>
      <c r="C731" s="84"/>
      <c r="E731" s="85" t="s">
        <v>144</v>
      </c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  <c r="AE731" s="85"/>
      <c r="AF731" s="85"/>
      <c r="AG731" s="85"/>
      <c r="AH731" s="85"/>
      <c r="AI731" s="85"/>
      <c r="AJ731" s="85"/>
      <c r="AK731" s="85"/>
      <c r="AL731" s="85"/>
      <c r="AM731" s="85"/>
      <c r="AN731" s="85"/>
      <c r="AO731" s="85"/>
      <c r="AP731" s="85"/>
      <c r="AQ731" s="85"/>
      <c r="AR731" s="85"/>
      <c r="AS731" s="85"/>
      <c r="AT731" s="85"/>
      <c r="AU731" s="85"/>
      <c r="AV731" s="85"/>
      <c r="AW731" s="85"/>
      <c r="AX731" s="85"/>
      <c r="AY731" s="85"/>
      <c r="AZ731" s="85"/>
      <c r="BA731" s="85"/>
      <c r="BB731" s="85"/>
      <c r="BC731" s="85"/>
    </row>
    <row r="732" customFormat="false" ht="139.5" hidden="false" customHeight="true" outlineLevel="0" collapsed="false"/>
    <row r="733" customFormat="false" ht="18" hidden="false" customHeight="true" outlineLevel="0" collapsed="false">
      <c r="B733" s="75" t="s">
        <v>134</v>
      </c>
      <c r="C733" s="75"/>
      <c r="D733" s="75"/>
      <c r="E733" s="75"/>
      <c r="F733" s="75"/>
      <c r="G733" s="75"/>
      <c r="H733" s="75"/>
      <c r="I733" s="75"/>
      <c r="J733" s="75"/>
      <c r="K733" s="75"/>
      <c r="L733" s="75"/>
      <c r="M733" s="75"/>
      <c r="N733" s="75"/>
      <c r="O733" s="75"/>
      <c r="P733" s="75"/>
      <c r="Q733" s="75"/>
      <c r="R733" s="75"/>
      <c r="S733" s="75"/>
      <c r="T733" s="75"/>
      <c r="U733" s="75"/>
      <c r="V733" s="75"/>
      <c r="W733" s="75"/>
      <c r="X733" s="75"/>
      <c r="Y733" s="75"/>
      <c r="Z733" s="75"/>
      <c r="AA733" s="75"/>
      <c r="AB733" s="76" t="s">
        <v>145</v>
      </c>
      <c r="AC733" s="76"/>
      <c r="AD733" s="76"/>
      <c r="AE733" s="76"/>
      <c r="AF733" s="76"/>
      <c r="AG733" s="76"/>
      <c r="AH733" s="76"/>
      <c r="AI733" s="76"/>
      <c r="AJ733" s="76"/>
      <c r="AK733" s="76"/>
      <c r="AL733" s="76"/>
      <c r="AM733" s="76"/>
      <c r="AN733" s="76"/>
      <c r="AO733" s="76"/>
      <c r="AP733" s="76"/>
      <c r="AQ733" s="76"/>
      <c r="AR733" s="76"/>
      <c r="AS733" s="76"/>
      <c r="AT733" s="76"/>
      <c r="AU733" s="76"/>
      <c r="AV733" s="76"/>
      <c r="AW733" s="76"/>
      <c r="AX733" s="76"/>
      <c r="AY733" s="76"/>
      <c r="AZ733" s="76"/>
      <c r="BA733" s="76"/>
      <c r="BB733" s="76"/>
      <c r="BC733" s="76"/>
    </row>
    <row r="734" customFormat="false" ht="7.5" hidden="false" customHeight="true" outlineLevel="0" collapsed="false"/>
    <row r="735" customFormat="false" ht="24" hidden="false" customHeight="true" outlineLevel="0" collapsed="false">
      <c r="B735" s="86" t="s">
        <v>115</v>
      </c>
      <c r="C735" s="86"/>
      <c r="D735" s="86"/>
      <c r="E735" s="86"/>
      <c r="F735" s="86"/>
      <c r="H735" s="87" t="s">
        <v>116</v>
      </c>
      <c r="I735" s="87"/>
      <c r="J735" s="87"/>
      <c r="K735" s="87"/>
      <c r="L735" s="87"/>
      <c r="M735" s="87"/>
      <c r="N735" s="87"/>
      <c r="O735" s="87"/>
      <c r="P735" s="87"/>
      <c r="AA735" s="88" t="s">
        <v>136</v>
      </c>
      <c r="AB735" s="88"/>
      <c r="AC735" s="88"/>
      <c r="AD735" s="88"/>
      <c r="AE735" s="88"/>
      <c r="AF735" s="89" t="str">
        <f aca="false">Dashboard!$C$6</f>
        <v>Bindhya TB</v>
      </c>
      <c r="AG735" s="89"/>
      <c r="AH735" s="89"/>
      <c r="AI735" s="89"/>
      <c r="AJ735" s="89"/>
      <c r="AK735" s="89"/>
      <c r="AL735" s="89"/>
      <c r="AM735" s="89"/>
      <c r="AN735" s="89"/>
      <c r="AO735" s="89"/>
      <c r="AP735" s="89"/>
      <c r="AR735" s="88" t="s">
        <v>137</v>
      </c>
      <c r="AS735" s="88"/>
      <c r="AT735" s="89" t="str">
        <f aca="false">TEXT(Cal!H6,"dd mmm")&amp;" to "&amp;TEXT(Cal!I6,"dd mmm yy")</f>
        <v>26 Oct to 31 Oct 26</v>
      </c>
      <c r="AU735" s="89"/>
      <c r="AV735" s="89"/>
      <c r="AW735" s="89"/>
      <c r="AX735" s="89"/>
      <c r="AY735" s="89"/>
      <c r="AZ735" s="89"/>
      <c r="BA735" s="89"/>
      <c r="BB735" s="89"/>
      <c r="BC735" s="89"/>
    </row>
    <row r="736" customFormat="false" ht="3" hidden="false" customHeight="true" outlineLevel="0" collapsed="false"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</row>
    <row r="737" customFormat="false" ht="9.75" hidden="false" customHeight="true" outlineLevel="0" collapsed="false"/>
    <row r="738" customFormat="false" ht="21.75" hidden="false" customHeight="true" outlineLevel="0" collapsed="false">
      <c r="B738" s="6"/>
      <c r="C738" s="19" t="s">
        <v>146</v>
      </c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59" t="s">
        <v>147</v>
      </c>
      <c r="AM738" s="59"/>
      <c r="AN738" s="59"/>
      <c r="AO738" s="59"/>
      <c r="AP738" s="59"/>
      <c r="AQ738" s="59"/>
      <c r="AR738" s="59"/>
      <c r="AS738" s="59"/>
      <c r="AT738" s="59"/>
      <c r="AU738" s="59"/>
      <c r="AV738" s="59"/>
      <c r="AW738" s="59"/>
      <c r="AX738" s="59"/>
      <c r="AY738" s="59"/>
      <c r="AZ738" s="59"/>
      <c r="BA738" s="59"/>
      <c r="BB738" s="59"/>
      <c r="BC738" s="59"/>
    </row>
    <row r="739" customFormat="false" ht="27.75" hidden="false" customHeight="true" outlineLevel="0" collapsed="false">
      <c r="B739" s="79" t="s">
        <v>124</v>
      </c>
      <c r="C739" s="79"/>
      <c r="D739" s="80" t="s">
        <v>140</v>
      </c>
      <c r="E739" s="80"/>
      <c r="F739" s="80"/>
      <c r="G739" s="80"/>
      <c r="H739" s="80" t="s">
        <v>127</v>
      </c>
      <c r="I739" s="80"/>
      <c r="J739" s="80"/>
      <c r="K739" s="80"/>
      <c r="L739" s="80"/>
      <c r="M739" s="80"/>
      <c r="N739" s="80"/>
      <c r="O739" s="80"/>
      <c r="P739" s="80" t="s">
        <v>126</v>
      </c>
      <c r="Q739" s="80"/>
      <c r="R739" s="80"/>
      <c r="S739" s="80"/>
      <c r="T739" s="80"/>
      <c r="U739" s="80"/>
      <c r="V739" s="80"/>
      <c r="W739" s="80" t="s">
        <v>148</v>
      </c>
      <c r="X739" s="80"/>
      <c r="Y739" s="80"/>
      <c r="Z739" s="80"/>
      <c r="AA739" s="80"/>
      <c r="AB739" s="80"/>
      <c r="AC739" s="80" t="s">
        <v>149</v>
      </c>
      <c r="AD739" s="80"/>
      <c r="AE739" s="80"/>
      <c r="AF739" s="80"/>
      <c r="AG739" s="80" t="s">
        <v>150</v>
      </c>
      <c r="AH739" s="80"/>
      <c r="AI739" s="80"/>
      <c r="AJ739" s="80"/>
      <c r="AK739" s="80"/>
      <c r="AL739" s="80"/>
      <c r="AM739" s="80"/>
      <c r="AN739" s="80"/>
      <c r="AO739" s="80"/>
      <c r="AP739" s="80"/>
      <c r="AQ739" s="80"/>
      <c r="AR739" s="80"/>
      <c r="AS739" s="80"/>
      <c r="AT739" s="80"/>
      <c r="AU739" s="80"/>
      <c r="AV739" s="80"/>
      <c r="AW739" s="80"/>
      <c r="AX739" s="80"/>
      <c r="AY739" s="80"/>
      <c r="AZ739" s="80"/>
      <c r="BA739" s="80"/>
      <c r="BB739" s="80"/>
      <c r="BC739" s="80"/>
    </row>
    <row r="740" customFormat="false" ht="27.75" hidden="false" customHeight="true" outlineLevel="0" collapsed="false">
      <c r="B740" s="81" t="n">
        <v>1</v>
      </c>
      <c r="C740" s="81"/>
      <c r="D740" s="82"/>
      <c r="E740" s="82"/>
      <c r="F740" s="82"/>
      <c r="G740" s="82"/>
      <c r="H740" s="83"/>
      <c r="I740" s="83"/>
      <c r="J740" s="83"/>
      <c r="K740" s="83"/>
      <c r="L740" s="83"/>
      <c r="M740" s="83"/>
      <c r="N740" s="83"/>
      <c r="O740" s="83"/>
      <c r="P740" s="83"/>
      <c r="Q740" s="83"/>
      <c r="R740" s="83"/>
      <c r="S740" s="83"/>
      <c r="T740" s="83"/>
      <c r="U740" s="83"/>
      <c r="V740" s="83"/>
      <c r="W740" s="90"/>
      <c r="X740" s="90"/>
      <c r="Y740" s="90"/>
      <c r="Z740" s="90"/>
      <c r="AA740" s="90"/>
      <c r="AB740" s="90"/>
      <c r="AC740" s="83"/>
      <c r="AD740" s="83"/>
      <c r="AE740" s="83"/>
      <c r="AF740" s="83"/>
      <c r="AG740" s="83"/>
      <c r="AH740" s="83"/>
      <c r="AI740" s="83"/>
      <c r="AJ740" s="83"/>
      <c r="AK740" s="83"/>
      <c r="AL740" s="83"/>
      <c r="AM740" s="83"/>
      <c r="AN740" s="83"/>
      <c r="AO740" s="83"/>
      <c r="AP740" s="83"/>
      <c r="AQ740" s="83"/>
      <c r="AR740" s="83"/>
      <c r="AS740" s="83"/>
      <c r="AT740" s="83"/>
      <c r="AU740" s="83"/>
      <c r="AV740" s="83"/>
      <c r="AW740" s="83"/>
      <c r="AX740" s="83"/>
      <c r="AY740" s="83"/>
      <c r="AZ740" s="83"/>
      <c r="BA740" s="83"/>
      <c r="BB740" s="83"/>
      <c r="BC740" s="83"/>
    </row>
    <row r="741" customFormat="false" ht="27.75" hidden="false" customHeight="true" outlineLevel="0" collapsed="false">
      <c r="B741" s="81" t="n">
        <v>2</v>
      </c>
      <c r="C741" s="81"/>
      <c r="D741" s="82"/>
      <c r="E741" s="82"/>
      <c r="F741" s="82"/>
      <c r="G741" s="82"/>
      <c r="H741" s="83"/>
      <c r="I741" s="83"/>
      <c r="J741" s="83"/>
      <c r="K741" s="83"/>
      <c r="L741" s="83"/>
      <c r="M741" s="83"/>
      <c r="N741" s="83"/>
      <c r="O741" s="83"/>
      <c r="P741" s="83"/>
      <c r="Q741" s="83"/>
      <c r="R741" s="83"/>
      <c r="S741" s="83"/>
      <c r="T741" s="83"/>
      <c r="U741" s="83"/>
      <c r="V741" s="83"/>
      <c r="W741" s="90"/>
      <c r="X741" s="90"/>
      <c r="Y741" s="90"/>
      <c r="Z741" s="90"/>
      <c r="AA741" s="90"/>
      <c r="AB741" s="90"/>
      <c r="AC741" s="83"/>
      <c r="AD741" s="83"/>
      <c r="AE741" s="83"/>
      <c r="AF741" s="83"/>
      <c r="AG741" s="83"/>
      <c r="AH741" s="83"/>
      <c r="AI741" s="83"/>
      <c r="AJ741" s="83"/>
      <c r="AK741" s="83"/>
      <c r="AL741" s="83"/>
      <c r="AM741" s="83"/>
      <c r="AN741" s="83"/>
      <c r="AO741" s="83"/>
      <c r="AP741" s="83"/>
      <c r="AQ741" s="83"/>
      <c r="AR741" s="83"/>
      <c r="AS741" s="83"/>
      <c r="AT741" s="83"/>
      <c r="AU741" s="83"/>
      <c r="AV741" s="83"/>
      <c r="AW741" s="83"/>
      <c r="AX741" s="83"/>
      <c r="AY741" s="83"/>
      <c r="AZ741" s="83"/>
      <c r="BA741" s="83"/>
      <c r="BB741" s="83"/>
      <c r="BC741" s="83"/>
    </row>
    <row r="742" customFormat="false" ht="27.75" hidden="false" customHeight="true" outlineLevel="0" collapsed="false">
      <c r="B742" s="81" t="n">
        <v>3</v>
      </c>
      <c r="C742" s="81"/>
      <c r="D742" s="82"/>
      <c r="E742" s="82"/>
      <c r="F742" s="82"/>
      <c r="G742" s="82"/>
      <c r="H742" s="83"/>
      <c r="I742" s="83"/>
      <c r="J742" s="83"/>
      <c r="K742" s="83"/>
      <c r="L742" s="83"/>
      <c r="M742" s="83"/>
      <c r="N742" s="83"/>
      <c r="O742" s="83"/>
      <c r="P742" s="83"/>
      <c r="Q742" s="83"/>
      <c r="R742" s="83"/>
      <c r="S742" s="83"/>
      <c r="T742" s="83"/>
      <c r="U742" s="83"/>
      <c r="V742" s="83"/>
      <c r="W742" s="90"/>
      <c r="X742" s="90"/>
      <c r="Y742" s="90"/>
      <c r="Z742" s="90"/>
      <c r="AA742" s="90"/>
      <c r="AB742" s="90"/>
      <c r="AC742" s="83"/>
      <c r="AD742" s="83"/>
      <c r="AE742" s="83"/>
      <c r="AF742" s="83"/>
      <c r="AG742" s="83"/>
      <c r="AH742" s="83"/>
      <c r="AI742" s="83"/>
      <c r="AJ742" s="83"/>
      <c r="AK742" s="83"/>
      <c r="AL742" s="83"/>
      <c r="AM742" s="83"/>
      <c r="AN742" s="83"/>
      <c r="AO742" s="83"/>
      <c r="AP742" s="83"/>
      <c r="AQ742" s="83"/>
      <c r="AR742" s="83"/>
      <c r="AS742" s="83"/>
      <c r="AT742" s="83"/>
      <c r="AU742" s="83"/>
      <c r="AV742" s="83"/>
      <c r="AW742" s="83"/>
      <c r="AX742" s="83"/>
      <c r="AY742" s="83"/>
      <c r="AZ742" s="83"/>
      <c r="BA742" s="83"/>
      <c r="BB742" s="83"/>
      <c r="BC742" s="83"/>
    </row>
    <row r="743" customFormat="false" ht="27.75" hidden="false" customHeight="true" outlineLevel="0" collapsed="false">
      <c r="B743" s="81" t="n">
        <v>4</v>
      </c>
      <c r="C743" s="81"/>
      <c r="D743" s="82"/>
      <c r="E743" s="82"/>
      <c r="F743" s="82"/>
      <c r="G743" s="82"/>
      <c r="H743" s="83"/>
      <c r="I743" s="83"/>
      <c r="J743" s="83"/>
      <c r="K743" s="83"/>
      <c r="L743" s="83"/>
      <c r="M743" s="83"/>
      <c r="N743" s="83"/>
      <c r="O743" s="83"/>
      <c r="P743" s="83"/>
      <c r="Q743" s="83"/>
      <c r="R743" s="83"/>
      <c r="S743" s="83"/>
      <c r="T743" s="83"/>
      <c r="U743" s="83"/>
      <c r="V743" s="83"/>
      <c r="W743" s="90"/>
      <c r="X743" s="90"/>
      <c r="Y743" s="90"/>
      <c r="Z743" s="90"/>
      <c r="AA743" s="90"/>
      <c r="AB743" s="90"/>
      <c r="AC743" s="83"/>
      <c r="AD743" s="83"/>
      <c r="AE743" s="83"/>
      <c r="AF743" s="83"/>
      <c r="AG743" s="83"/>
      <c r="AH743" s="83"/>
      <c r="AI743" s="83"/>
      <c r="AJ743" s="83"/>
      <c r="AK743" s="83"/>
      <c r="AL743" s="83"/>
      <c r="AM743" s="83"/>
      <c r="AN743" s="83"/>
      <c r="AO743" s="83"/>
      <c r="AP743" s="83"/>
      <c r="AQ743" s="83"/>
      <c r="AR743" s="83"/>
      <c r="AS743" s="83"/>
      <c r="AT743" s="83"/>
      <c r="AU743" s="83"/>
      <c r="AV743" s="83"/>
      <c r="AW743" s="83"/>
      <c r="AX743" s="83"/>
      <c r="AY743" s="83"/>
      <c r="AZ743" s="83"/>
      <c r="BA743" s="83"/>
      <c r="BB743" s="83"/>
      <c r="BC743" s="83"/>
    </row>
    <row r="744" customFormat="false" ht="27.75" hidden="false" customHeight="true" outlineLevel="0" collapsed="false">
      <c r="B744" s="81" t="n">
        <v>5</v>
      </c>
      <c r="C744" s="81"/>
      <c r="D744" s="82"/>
      <c r="E744" s="82"/>
      <c r="F744" s="82"/>
      <c r="G744" s="82"/>
      <c r="H744" s="83"/>
      <c r="I744" s="83"/>
      <c r="J744" s="83"/>
      <c r="K744" s="83"/>
      <c r="L744" s="83"/>
      <c r="M744" s="83"/>
      <c r="N744" s="83"/>
      <c r="O744" s="83"/>
      <c r="P744" s="83"/>
      <c r="Q744" s="83"/>
      <c r="R744" s="83"/>
      <c r="S744" s="83"/>
      <c r="T744" s="83"/>
      <c r="U744" s="83"/>
      <c r="V744" s="83"/>
      <c r="W744" s="90"/>
      <c r="X744" s="90"/>
      <c r="Y744" s="90"/>
      <c r="Z744" s="90"/>
      <c r="AA744" s="90"/>
      <c r="AB744" s="90"/>
      <c r="AC744" s="83"/>
      <c r="AD744" s="83"/>
      <c r="AE744" s="83"/>
      <c r="AF744" s="83"/>
      <c r="AG744" s="83"/>
      <c r="AH744" s="83"/>
      <c r="AI744" s="83"/>
      <c r="AJ744" s="83"/>
      <c r="AK744" s="83"/>
      <c r="AL744" s="83"/>
      <c r="AM744" s="83"/>
      <c r="AN744" s="83"/>
      <c r="AO744" s="83"/>
      <c r="AP744" s="83"/>
      <c r="AQ744" s="83"/>
      <c r="AR744" s="83"/>
      <c r="AS744" s="83"/>
      <c r="AT744" s="83"/>
      <c r="AU744" s="83"/>
      <c r="AV744" s="83"/>
      <c r="AW744" s="83"/>
      <c r="AX744" s="83"/>
      <c r="AY744" s="83"/>
      <c r="AZ744" s="83"/>
      <c r="BA744" s="83"/>
      <c r="BB744" s="83"/>
      <c r="BC744" s="83"/>
    </row>
    <row r="745" customFormat="false" ht="27.75" hidden="false" customHeight="true" outlineLevel="0" collapsed="false">
      <c r="B745" s="81" t="n">
        <v>6</v>
      </c>
      <c r="C745" s="81"/>
      <c r="D745" s="82"/>
      <c r="E745" s="82"/>
      <c r="F745" s="82"/>
      <c r="G745" s="82"/>
      <c r="H745" s="83"/>
      <c r="I745" s="83"/>
      <c r="J745" s="83"/>
      <c r="K745" s="83"/>
      <c r="L745" s="83"/>
      <c r="M745" s="83"/>
      <c r="N745" s="83"/>
      <c r="O745" s="83"/>
      <c r="P745" s="83"/>
      <c r="Q745" s="83"/>
      <c r="R745" s="83"/>
      <c r="S745" s="83"/>
      <c r="T745" s="83"/>
      <c r="U745" s="83"/>
      <c r="V745" s="83"/>
      <c r="W745" s="90"/>
      <c r="X745" s="90"/>
      <c r="Y745" s="90"/>
      <c r="Z745" s="90"/>
      <c r="AA745" s="90"/>
      <c r="AB745" s="90"/>
      <c r="AC745" s="83"/>
      <c r="AD745" s="83"/>
      <c r="AE745" s="83"/>
      <c r="AF745" s="83"/>
      <c r="AG745" s="83"/>
      <c r="AH745" s="83"/>
      <c r="AI745" s="83"/>
      <c r="AJ745" s="83"/>
      <c r="AK745" s="83"/>
      <c r="AL745" s="83"/>
      <c r="AM745" s="83"/>
      <c r="AN745" s="83"/>
      <c r="AO745" s="83"/>
      <c r="AP745" s="83"/>
      <c r="AQ745" s="83"/>
      <c r="AR745" s="83"/>
      <c r="AS745" s="83"/>
      <c r="AT745" s="83"/>
      <c r="AU745" s="83"/>
      <c r="AV745" s="83"/>
      <c r="AW745" s="83"/>
      <c r="AX745" s="83"/>
      <c r="AY745" s="83"/>
      <c r="AZ745" s="83"/>
      <c r="BA745" s="83"/>
      <c r="BB745" s="83"/>
      <c r="BC745" s="83"/>
    </row>
    <row r="746" customFormat="false" ht="24" hidden="false" customHeight="true" outlineLevel="0" collapsed="false">
      <c r="B746" s="84" t="s">
        <v>132</v>
      </c>
      <c r="C746" s="84"/>
      <c r="E746" s="85" t="s">
        <v>151</v>
      </c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  <c r="AE746" s="85"/>
      <c r="AF746" s="85"/>
      <c r="AG746" s="85"/>
      <c r="AH746" s="85"/>
      <c r="AI746" s="85"/>
      <c r="AJ746" s="85"/>
      <c r="AK746" s="85"/>
      <c r="AL746" s="85"/>
      <c r="AM746" s="85"/>
      <c r="AN746" s="85"/>
      <c r="AO746" s="85"/>
      <c r="AP746" s="85"/>
      <c r="AQ746" s="85"/>
      <c r="AR746" s="85"/>
      <c r="AS746" s="85"/>
      <c r="AT746" s="85"/>
      <c r="AU746" s="85"/>
      <c r="AV746" s="85"/>
      <c r="AW746" s="85"/>
      <c r="AX746" s="85"/>
      <c r="AY746" s="85"/>
      <c r="AZ746" s="85"/>
      <c r="BA746" s="85"/>
      <c r="BB746" s="85"/>
      <c r="BC746" s="85"/>
    </row>
    <row r="747" customFormat="false" ht="9.75" hidden="false" customHeight="true" outlineLevel="0" collapsed="false"/>
    <row r="748" customFormat="false" ht="21.75" hidden="false" customHeight="true" outlineLevel="0" collapsed="false">
      <c r="B748" s="6"/>
      <c r="C748" s="19" t="s">
        <v>152</v>
      </c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59" t="s">
        <v>153</v>
      </c>
      <c r="AM748" s="59"/>
      <c r="AN748" s="59"/>
      <c r="AO748" s="59"/>
      <c r="AP748" s="59"/>
      <c r="AQ748" s="59"/>
      <c r="AR748" s="59"/>
      <c r="AS748" s="59"/>
      <c r="AT748" s="59"/>
      <c r="AU748" s="59"/>
      <c r="AV748" s="59"/>
      <c r="AW748" s="59"/>
      <c r="AX748" s="59"/>
      <c r="AY748" s="59"/>
      <c r="AZ748" s="59"/>
      <c r="BA748" s="59"/>
      <c r="BB748" s="59"/>
      <c r="BC748" s="59"/>
    </row>
    <row r="749" customFormat="false" ht="27.75" hidden="false" customHeight="true" outlineLevel="0" collapsed="false">
      <c r="B749" s="79" t="s">
        <v>124</v>
      </c>
      <c r="C749" s="79"/>
      <c r="D749" s="80" t="s">
        <v>140</v>
      </c>
      <c r="E749" s="80"/>
      <c r="F749" s="80"/>
      <c r="G749" s="80"/>
      <c r="H749" s="80" t="s">
        <v>127</v>
      </c>
      <c r="I749" s="80"/>
      <c r="J749" s="80"/>
      <c r="K749" s="80"/>
      <c r="L749" s="80"/>
      <c r="M749" s="80"/>
      <c r="N749" s="80"/>
      <c r="O749" s="80"/>
      <c r="P749" s="80" t="s">
        <v>126</v>
      </c>
      <c r="Q749" s="80"/>
      <c r="R749" s="80"/>
      <c r="S749" s="80"/>
      <c r="T749" s="80"/>
      <c r="U749" s="80"/>
      <c r="V749" s="80"/>
      <c r="W749" s="80" t="s">
        <v>154</v>
      </c>
      <c r="X749" s="80"/>
      <c r="Y749" s="80"/>
      <c r="Z749" s="80"/>
      <c r="AA749" s="80"/>
      <c r="AB749" s="80"/>
      <c r="AC749" s="80" t="s">
        <v>149</v>
      </c>
      <c r="AD749" s="80"/>
      <c r="AE749" s="80"/>
      <c r="AF749" s="80"/>
      <c r="AG749" s="80" t="s">
        <v>150</v>
      </c>
      <c r="AH749" s="80"/>
      <c r="AI749" s="80"/>
      <c r="AJ749" s="80"/>
      <c r="AK749" s="80"/>
      <c r="AL749" s="80"/>
      <c r="AM749" s="80"/>
      <c r="AN749" s="80"/>
      <c r="AO749" s="80"/>
      <c r="AP749" s="80"/>
      <c r="AQ749" s="80"/>
      <c r="AR749" s="80"/>
      <c r="AS749" s="80"/>
      <c r="AT749" s="80"/>
      <c r="AU749" s="80"/>
      <c r="AV749" s="80"/>
      <c r="AW749" s="80"/>
      <c r="AX749" s="80"/>
      <c r="AY749" s="80"/>
      <c r="AZ749" s="80"/>
      <c r="BA749" s="80"/>
      <c r="BB749" s="80"/>
      <c r="BC749" s="80"/>
    </row>
    <row r="750" customFormat="false" ht="27.75" hidden="false" customHeight="true" outlineLevel="0" collapsed="false">
      <c r="B750" s="81" t="n">
        <v>1</v>
      </c>
      <c r="C750" s="81"/>
      <c r="D750" s="82"/>
      <c r="E750" s="82"/>
      <c r="F750" s="82"/>
      <c r="G750" s="82"/>
      <c r="H750" s="83"/>
      <c r="I750" s="83"/>
      <c r="J750" s="83"/>
      <c r="K750" s="83"/>
      <c r="L750" s="83"/>
      <c r="M750" s="83"/>
      <c r="N750" s="83"/>
      <c r="O750" s="83"/>
      <c r="P750" s="83"/>
      <c r="Q750" s="83"/>
      <c r="R750" s="83"/>
      <c r="S750" s="83"/>
      <c r="T750" s="83"/>
      <c r="U750" s="83"/>
      <c r="V750" s="83"/>
      <c r="W750" s="90"/>
      <c r="X750" s="90"/>
      <c r="Y750" s="90"/>
      <c r="Z750" s="90"/>
      <c r="AA750" s="90"/>
      <c r="AB750" s="90"/>
      <c r="AC750" s="83"/>
      <c r="AD750" s="83"/>
      <c r="AE750" s="83"/>
      <c r="AF750" s="83"/>
      <c r="AG750" s="83"/>
      <c r="AH750" s="83"/>
      <c r="AI750" s="83"/>
      <c r="AJ750" s="83"/>
      <c r="AK750" s="83"/>
      <c r="AL750" s="83"/>
      <c r="AM750" s="83"/>
      <c r="AN750" s="83"/>
      <c r="AO750" s="83"/>
      <c r="AP750" s="83"/>
      <c r="AQ750" s="83"/>
      <c r="AR750" s="83"/>
      <c r="AS750" s="83"/>
      <c r="AT750" s="83"/>
      <c r="AU750" s="83"/>
      <c r="AV750" s="83"/>
      <c r="AW750" s="83"/>
      <c r="AX750" s="83"/>
      <c r="AY750" s="83"/>
      <c r="AZ750" s="83"/>
      <c r="BA750" s="83"/>
      <c r="BB750" s="83"/>
      <c r="BC750" s="83"/>
    </row>
    <row r="751" customFormat="false" ht="27.75" hidden="false" customHeight="true" outlineLevel="0" collapsed="false">
      <c r="B751" s="81" t="n">
        <v>2</v>
      </c>
      <c r="C751" s="81"/>
      <c r="D751" s="82"/>
      <c r="E751" s="82"/>
      <c r="F751" s="82"/>
      <c r="G751" s="82"/>
      <c r="H751" s="83"/>
      <c r="I751" s="83"/>
      <c r="J751" s="83"/>
      <c r="K751" s="83"/>
      <c r="L751" s="83"/>
      <c r="M751" s="83"/>
      <c r="N751" s="83"/>
      <c r="O751" s="83"/>
      <c r="P751" s="83"/>
      <c r="Q751" s="83"/>
      <c r="R751" s="83"/>
      <c r="S751" s="83"/>
      <c r="T751" s="83"/>
      <c r="U751" s="83"/>
      <c r="V751" s="83"/>
      <c r="W751" s="90"/>
      <c r="X751" s="90"/>
      <c r="Y751" s="90"/>
      <c r="Z751" s="90"/>
      <c r="AA751" s="90"/>
      <c r="AB751" s="90"/>
      <c r="AC751" s="83"/>
      <c r="AD751" s="83"/>
      <c r="AE751" s="83"/>
      <c r="AF751" s="83"/>
      <c r="AG751" s="83"/>
      <c r="AH751" s="83"/>
      <c r="AI751" s="83"/>
      <c r="AJ751" s="83"/>
      <c r="AK751" s="83"/>
      <c r="AL751" s="83"/>
      <c r="AM751" s="83"/>
      <c r="AN751" s="83"/>
      <c r="AO751" s="83"/>
      <c r="AP751" s="83"/>
      <c r="AQ751" s="83"/>
      <c r="AR751" s="83"/>
      <c r="AS751" s="83"/>
      <c r="AT751" s="83"/>
      <c r="AU751" s="83"/>
      <c r="AV751" s="83"/>
      <c r="AW751" s="83"/>
      <c r="AX751" s="83"/>
      <c r="AY751" s="83"/>
      <c r="AZ751" s="83"/>
      <c r="BA751" s="83"/>
      <c r="BB751" s="83"/>
      <c r="BC751" s="83"/>
    </row>
    <row r="752" customFormat="false" ht="27.75" hidden="false" customHeight="true" outlineLevel="0" collapsed="false">
      <c r="B752" s="81" t="n">
        <v>3</v>
      </c>
      <c r="C752" s="81"/>
      <c r="D752" s="82"/>
      <c r="E752" s="82"/>
      <c r="F752" s="82"/>
      <c r="G752" s="82"/>
      <c r="H752" s="83"/>
      <c r="I752" s="83"/>
      <c r="J752" s="83"/>
      <c r="K752" s="83"/>
      <c r="L752" s="83"/>
      <c r="M752" s="83"/>
      <c r="N752" s="83"/>
      <c r="O752" s="83"/>
      <c r="P752" s="83"/>
      <c r="Q752" s="83"/>
      <c r="R752" s="83"/>
      <c r="S752" s="83"/>
      <c r="T752" s="83"/>
      <c r="U752" s="83"/>
      <c r="V752" s="83"/>
      <c r="W752" s="90"/>
      <c r="X752" s="90"/>
      <c r="Y752" s="90"/>
      <c r="Z752" s="90"/>
      <c r="AA752" s="90"/>
      <c r="AB752" s="90"/>
      <c r="AC752" s="83"/>
      <c r="AD752" s="83"/>
      <c r="AE752" s="83"/>
      <c r="AF752" s="83"/>
      <c r="AG752" s="83"/>
      <c r="AH752" s="83"/>
      <c r="AI752" s="83"/>
      <c r="AJ752" s="83"/>
      <c r="AK752" s="83"/>
      <c r="AL752" s="83"/>
      <c r="AM752" s="83"/>
      <c r="AN752" s="83"/>
      <c r="AO752" s="83"/>
      <c r="AP752" s="83"/>
      <c r="AQ752" s="83"/>
      <c r="AR752" s="83"/>
      <c r="AS752" s="83"/>
      <c r="AT752" s="83"/>
      <c r="AU752" s="83"/>
      <c r="AV752" s="83"/>
      <c r="AW752" s="83"/>
      <c r="AX752" s="83"/>
      <c r="AY752" s="83"/>
      <c r="AZ752" s="83"/>
      <c r="BA752" s="83"/>
      <c r="BB752" s="83"/>
      <c r="BC752" s="83"/>
    </row>
    <row r="753" customFormat="false" ht="27.75" hidden="false" customHeight="true" outlineLevel="0" collapsed="false">
      <c r="B753" s="81" t="n">
        <v>4</v>
      </c>
      <c r="C753" s="81"/>
      <c r="D753" s="82"/>
      <c r="E753" s="82"/>
      <c r="F753" s="82"/>
      <c r="G753" s="82"/>
      <c r="H753" s="83"/>
      <c r="I753" s="83"/>
      <c r="J753" s="83"/>
      <c r="K753" s="83"/>
      <c r="L753" s="83"/>
      <c r="M753" s="83"/>
      <c r="N753" s="83"/>
      <c r="O753" s="83"/>
      <c r="P753" s="83"/>
      <c r="Q753" s="83"/>
      <c r="R753" s="83"/>
      <c r="S753" s="83"/>
      <c r="T753" s="83"/>
      <c r="U753" s="83"/>
      <c r="V753" s="83"/>
      <c r="W753" s="90"/>
      <c r="X753" s="90"/>
      <c r="Y753" s="90"/>
      <c r="Z753" s="90"/>
      <c r="AA753" s="90"/>
      <c r="AB753" s="90"/>
      <c r="AC753" s="83"/>
      <c r="AD753" s="83"/>
      <c r="AE753" s="83"/>
      <c r="AF753" s="83"/>
      <c r="AG753" s="83"/>
      <c r="AH753" s="83"/>
      <c r="AI753" s="83"/>
      <c r="AJ753" s="83"/>
      <c r="AK753" s="83"/>
      <c r="AL753" s="83"/>
      <c r="AM753" s="83"/>
      <c r="AN753" s="83"/>
      <c r="AO753" s="83"/>
      <c r="AP753" s="83"/>
      <c r="AQ753" s="83"/>
      <c r="AR753" s="83"/>
      <c r="AS753" s="83"/>
      <c r="AT753" s="83"/>
      <c r="AU753" s="83"/>
      <c r="AV753" s="83"/>
      <c r="AW753" s="83"/>
      <c r="AX753" s="83"/>
      <c r="AY753" s="83"/>
      <c r="AZ753" s="83"/>
      <c r="BA753" s="83"/>
      <c r="BB753" s="83"/>
      <c r="BC753" s="83"/>
    </row>
    <row r="754" customFormat="false" ht="27.75" hidden="false" customHeight="true" outlineLevel="0" collapsed="false">
      <c r="B754" s="81" t="n">
        <v>5</v>
      </c>
      <c r="C754" s="81"/>
      <c r="D754" s="82"/>
      <c r="E754" s="82"/>
      <c r="F754" s="82"/>
      <c r="G754" s="82"/>
      <c r="H754" s="83"/>
      <c r="I754" s="83"/>
      <c r="J754" s="83"/>
      <c r="K754" s="83"/>
      <c r="L754" s="83"/>
      <c r="M754" s="83"/>
      <c r="N754" s="83"/>
      <c r="O754" s="83"/>
      <c r="P754" s="83"/>
      <c r="Q754" s="83"/>
      <c r="R754" s="83"/>
      <c r="S754" s="83"/>
      <c r="T754" s="83"/>
      <c r="U754" s="83"/>
      <c r="V754" s="83"/>
      <c r="W754" s="90"/>
      <c r="X754" s="90"/>
      <c r="Y754" s="90"/>
      <c r="Z754" s="90"/>
      <c r="AA754" s="90"/>
      <c r="AB754" s="90"/>
      <c r="AC754" s="83"/>
      <c r="AD754" s="83"/>
      <c r="AE754" s="83"/>
      <c r="AF754" s="83"/>
      <c r="AG754" s="83"/>
      <c r="AH754" s="83"/>
      <c r="AI754" s="83"/>
      <c r="AJ754" s="83"/>
      <c r="AK754" s="83"/>
      <c r="AL754" s="83"/>
      <c r="AM754" s="83"/>
      <c r="AN754" s="83"/>
      <c r="AO754" s="83"/>
      <c r="AP754" s="83"/>
      <c r="AQ754" s="83"/>
      <c r="AR754" s="83"/>
      <c r="AS754" s="83"/>
      <c r="AT754" s="83"/>
      <c r="AU754" s="83"/>
      <c r="AV754" s="83"/>
      <c r="AW754" s="83"/>
      <c r="AX754" s="83"/>
      <c r="AY754" s="83"/>
      <c r="AZ754" s="83"/>
      <c r="BA754" s="83"/>
      <c r="BB754" s="83"/>
      <c r="BC754" s="83"/>
    </row>
    <row r="755" customFormat="false" ht="24" hidden="false" customHeight="true" outlineLevel="0" collapsed="false">
      <c r="B755" s="84" t="s">
        <v>132</v>
      </c>
      <c r="C755" s="84"/>
      <c r="E755" s="85" t="s">
        <v>155</v>
      </c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  <c r="AE755" s="85"/>
      <c r="AF755" s="85"/>
      <c r="AG755" s="85"/>
      <c r="AH755" s="85"/>
      <c r="AI755" s="85"/>
      <c r="AJ755" s="85"/>
      <c r="AK755" s="85"/>
      <c r="AL755" s="85"/>
      <c r="AM755" s="85"/>
      <c r="AN755" s="85"/>
      <c r="AO755" s="85"/>
      <c r="AP755" s="85"/>
      <c r="AQ755" s="85"/>
      <c r="AR755" s="85"/>
      <c r="AS755" s="85"/>
      <c r="AT755" s="85"/>
      <c r="AU755" s="85"/>
      <c r="AV755" s="85"/>
      <c r="AW755" s="85"/>
      <c r="AX755" s="85"/>
      <c r="AY755" s="85"/>
      <c r="AZ755" s="85"/>
      <c r="BA755" s="85"/>
      <c r="BB755" s="85"/>
      <c r="BC755" s="85"/>
    </row>
    <row r="756" customFormat="false" ht="55.5" hidden="false" customHeight="true" outlineLevel="0" collapsed="false"/>
    <row r="757" customFormat="false" ht="18" hidden="false" customHeight="true" outlineLevel="0" collapsed="false">
      <c r="B757" s="75" t="s">
        <v>134</v>
      </c>
      <c r="C757" s="75"/>
      <c r="D757" s="75"/>
      <c r="E757" s="75"/>
      <c r="F757" s="75"/>
      <c r="G757" s="75"/>
      <c r="H757" s="75"/>
      <c r="I757" s="75"/>
      <c r="J757" s="75"/>
      <c r="K757" s="75"/>
      <c r="L757" s="75"/>
      <c r="M757" s="75"/>
      <c r="N757" s="75"/>
      <c r="O757" s="75"/>
      <c r="P757" s="75"/>
      <c r="Q757" s="75"/>
      <c r="R757" s="75"/>
      <c r="S757" s="75"/>
      <c r="T757" s="75"/>
      <c r="U757" s="75"/>
      <c r="V757" s="75"/>
      <c r="W757" s="75"/>
      <c r="X757" s="75"/>
      <c r="Y757" s="75"/>
      <c r="Z757" s="75"/>
      <c r="AA757" s="75"/>
      <c r="AB757" s="76" t="s">
        <v>156</v>
      </c>
      <c r="AC757" s="76"/>
      <c r="AD757" s="76"/>
      <c r="AE757" s="76"/>
      <c r="AF757" s="76"/>
      <c r="AG757" s="76"/>
      <c r="AH757" s="76"/>
      <c r="AI757" s="76"/>
      <c r="AJ757" s="76"/>
      <c r="AK757" s="76"/>
      <c r="AL757" s="76"/>
      <c r="AM757" s="76"/>
      <c r="AN757" s="76"/>
      <c r="AO757" s="76"/>
      <c r="AP757" s="76"/>
      <c r="AQ757" s="76"/>
      <c r="AR757" s="76"/>
      <c r="AS757" s="76"/>
      <c r="AT757" s="76"/>
      <c r="AU757" s="76"/>
      <c r="AV757" s="76"/>
      <c r="AW757" s="76"/>
      <c r="AX757" s="76"/>
      <c r="AY757" s="76"/>
      <c r="AZ757" s="76"/>
      <c r="BA757" s="76"/>
      <c r="BB757" s="76"/>
      <c r="BC757" s="76"/>
    </row>
    <row r="758" customFormat="false" ht="7.5" hidden="false" customHeight="true" outlineLevel="0" collapsed="false"/>
    <row r="759" customFormat="false" ht="24" hidden="false" customHeight="true" outlineLevel="0" collapsed="false">
      <c r="B759" s="86" t="s">
        <v>115</v>
      </c>
      <c r="C759" s="86"/>
      <c r="D759" s="86"/>
      <c r="E759" s="86"/>
      <c r="F759" s="86"/>
      <c r="H759" s="87" t="s">
        <v>116</v>
      </c>
      <c r="I759" s="87"/>
      <c r="J759" s="87"/>
      <c r="K759" s="87"/>
      <c r="L759" s="87"/>
      <c r="M759" s="87"/>
      <c r="N759" s="87"/>
      <c r="O759" s="87"/>
      <c r="P759" s="87"/>
      <c r="AA759" s="88" t="s">
        <v>136</v>
      </c>
      <c r="AB759" s="88"/>
      <c r="AC759" s="88"/>
      <c r="AD759" s="88"/>
      <c r="AE759" s="88"/>
      <c r="AF759" s="89" t="str">
        <f aca="false">Dashboard!$C$6</f>
        <v>Bindhya TB</v>
      </c>
      <c r="AG759" s="89"/>
      <c r="AH759" s="89"/>
      <c r="AI759" s="89"/>
      <c r="AJ759" s="89"/>
      <c r="AK759" s="89"/>
      <c r="AL759" s="89"/>
      <c r="AM759" s="89"/>
      <c r="AN759" s="89"/>
      <c r="AO759" s="89"/>
      <c r="AP759" s="89"/>
      <c r="AR759" s="88" t="s">
        <v>137</v>
      </c>
      <c r="AS759" s="88"/>
      <c r="AT759" s="89" t="str">
        <f aca="false">TEXT(Cal!H6,"dd mmm")&amp;" to "&amp;TEXT(Cal!I6,"dd mmm yy")</f>
        <v>26 Oct to 31 Oct 26</v>
      </c>
      <c r="AU759" s="89"/>
      <c r="AV759" s="89"/>
      <c r="AW759" s="89"/>
      <c r="AX759" s="89"/>
      <c r="AY759" s="89"/>
      <c r="AZ759" s="89"/>
      <c r="BA759" s="89"/>
      <c r="BB759" s="89"/>
      <c r="BC759" s="89"/>
    </row>
    <row r="760" customFormat="false" ht="3" hidden="false" customHeight="true" outlineLevel="0" collapsed="false"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</row>
    <row r="761" customFormat="false" ht="9.75" hidden="false" customHeight="true" outlineLevel="0" collapsed="false"/>
    <row r="762" customFormat="false" ht="21.75" hidden="false" customHeight="true" outlineLevel="0" collapsed="false">
      <c r="B762" s="6"/>
      <c r="C762" s="19" t="s">
        <v>157</v>
      </c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59" t="s">
        <v>158</v>
      </c>
      <c r="AM762" s="59"/>
      <c r="AN762" s="59"/>
      <c r="AO762" s="59"/>
      <c r="AP762" s="59"/>
      <c r="AQ762" s="59"/>
      <c r="AR762" s="59"/>
      <c r="AS762" s="59"/>
      <c r="AT762" s="59"/>
      <c r="AU762" s="59"/>
      <c r="AV762" s="59"/>
      <c r="AW762" s="59"/>
      <c r="AX762" s="59"/>
      <c r="AY762" s="59"/>
      <c r="AZ762" s="59"/>
      <c r="BA762" s="59"/>
      <c r="BB762" s="59"/>
      <c r="BC762" s="59"/>
    </row>
    <row r="763" customFormat="false" ht="27.75" hidden="false" customHeight="true" outlineLevel="0" collapsed="false">
      <c r="B763" s="79" t="s">
        <v>124</v>
      </c>
      <c r="C763" s="79"/>
      <c r="D763" s="80" t="s">
        <v>140</v>
      </c>
      <c r="E763" s="80"/>
      <c r="F763" s="80"/>
      <c r="G763" s="80"/>
      <c r="H763" s="80" t="s">
        <v>126</v>
      </c>
      <c r="I763" s="80"/>
      <c r="J763" s="80"/>
      <c r="K763" s="80"/>
      <c r="L763" s="80"/>
      <c r="M763" s="80"/>
      <c r="N763" s="80"/>
      <c r="O763" s="80" t="s">
        <v>159</v>
      </c>
      <c r="P763" s="80"/>
      <c r="Q763" s="80"/>
      <c r="R763" s="80"/>
      <c r="S763" s="80"/>
      <c r="T763" s="80"/>
      <c r="U763" s="80"/>
      <c r="V763" s="80"/>
      <c r="W763" s="80"/>
      <c r="X763" s="80"/>
      <c r="Y763" s="80"/>
      <c r="Z763" s="80"/>
      <c r="AA763" s="80"/>
      <c r="AB763" s="80"/>
      <c r="AC763" s="80"/>
      <c r="AD763" s="80"/>
      <c r="AE763" s="80" t="s">
        <v>160</v>
      </c>
      <c r="AF763" s="80"/>
      <c r="AG763" s="80"/>
      <c r="AH763" s="80"/>
      <c r="AI763" s="80" t="s">
        <v>161</v>
      </c>
      <c r="AJ763" s="80"/>
      <c r="AK763" s="80"/>
      <c r="AL763" s="80"/>
      <c r="AM763" s="80"/>
      <c r="AN763" s="80"/>
      <c r="AO763" s="80"/>
      <c r="AP763" s="80"/>
      <c r="AQ763" s="80"/>
      <c r="AR763" s="80"/>
      <c r="AS763" s="80"/>
      <c r="AT763" s="80"/>
      <c r="AU763" s="80"/>
      <c r="AV763" s="80"/>
      <c r="AW763" s="80" t="s">
        <v>162</v>
      </c>
      <c r="AX763" s="80"/>
      <c r="AY763" s="80"/>
      <c r="AZ763" s="80"/>
      <c r="BA763" s="80"/>
      <c r="BB763" s="80"/>
      <c r="BC763" s="80"/>
    </row>
    <row r="764" customFormat="false" ht="27.75" hidden="false" customHeight="true" outlineLevel="0" collapsed="false">
      <c r="B764" s="81" t="n">
        <v>1</v>
      </c>
      <c r="C764" s="81"/>
      <c r="D764" s="82"/>
      <c r="E764" s="82"/>
      <c r="F764" s="82"/>
      <c r="G764" s="82"/>
      <c r="H764" s="83"/>
      <c r="I764" s="83"/>
      <c r="J764" s="83"/>
      <c r="K764" s="83"/>
      <c r="L764" s="83"/>
      <c r="M764" s="83"/>
      <c r="N764" s="83"/>
      <c r="O764" s="83"/>
      <c r="P764" s="83"/>
      <c r="Q764" s="83"/>
      <c r="R764" s="83"/>
      <c r="S764" s="83"/>
      <c r="T764" s="83"/>
      <c r="U764" s="83"/>
      <c r="V764" s="83"/>
      <c r="W764" s="83"/>
      <c r="X764" s="83"/>
      <c r="Y764" s="83"/>
      <c r="Z764" s="83"/>
      <c r="AA764" s="83"/>
      <c r="AB764" s="83"/>
      <c r="AC764" s="83"/>
      <c r="AD764" s="83"/>
      <c r="AE764" s="83"/>
      <c r="AF764" s="83"/>
      <c r="AG764" s="83"/>
      <c r="AH764" s="83"/>
      <c r="AI764" s="83"/>
      <c r="AJ764" s="83"/>
      <c r="AK764" s="83"/>
      <c r="AL764" s="83"/>
      <c r="AM764" s="83"/>
      <c r="AN764" s="83"/>
      <c r="AO764" s="83"/>
      <c r="AP764" s="83"/>
      <c r="AQ764" s="83"/>
      <c r="AR764" s="83"/>
      <c r="AS764" s="83"/>
      <c r="AT764" s="83"/>
      <c r="AU764" s="83"/>
      <c r="AV764" s="83"/>
      <c r="AW764" s="83"/>
      <c r="AX764" s="83"/>
      <c r="AY764" s="83"/>
      <c r="AZ764" s="83"/>
      <c r="BA764" s="83"/>
      <c r="BB764" s="83"/>
      <c r="BC764" s="83"/>
    </row>
    <row r="765" customFormat="false" ht="27.75" hidden="false" customHeight="true" outlineLevel="0" collapsed="false">
      <c r="B765" s="81" t="n">
        <v>2</v>
      </c>
      <c r="C765" s="81"/>
      <c r="D765" s="82"/>
      <c r="E765" s="82"/>
      <c r="F765" s="82"/>
      <c r="G765" s="82"/>
      <c r="H765" s="83"/>
      <c r="I765" s="83"/>
      <c r="J765" s="83"/>
      <c r="K765" s="83"/>
      <c r="L765" s="83"/>
      <c r="M765" s="83"/>
      <c r="N765" s="83"/>
      <c r="O765" s="83"/>
      <c r="P765" s="83"/>
      <c r="Q765" s="83"/>
      <c r="R765" s="83"/>
      <c r="S765" s="83"/>
      <c r="T765" s="83"/>
      <c r="U765" s="83"/>
      <c r="V765" s="83"/>
      <c r="W765" s="83"/>
      <c r="X765" s="83"/>
      <c r="Y765" s="83"/>
      <c r="Z765" s="83"/>
      <c r="AA765" s="83"/>
      <c r="AB765" s="83"/>
      <c r="AC765" s="83"/>
      <c r="AD765" s="83"/>
      <c r="AE765" s="83"/>
      <c r="AF765" s="83"/>
      <c r="AG765" s="83"/>
      <c r="AH765" s="83"/>
      <c r="AI765" s="83"/>
      <c r="AJ765" s="83"/>
      <c r="AK765" s="83"/>
      <c r="AL765" s="83"/>
      <c r="AM765" s="83"/>
      <c r="AN765" s="83"/>
      <c r="AO765" s="83"/>
      <c r="AP765" s="83"/>
      <c r="AQ765" s="83"/>
      <c r="AR765" s="83"/>
      <c r="AS765" s="83"/>
      <c r="AT765" s="83"/>
      <c r="AU765" s="83"/>
      <c r="AV765" s="83"/>
      <c r="AW765" s="83"/>
      <c r="AX765" s="83"/>
      <c r="AY765" s="83"/>
      <c r="AZ765" s="83"/>
      <c r="BA765" s="83"/>
      <c r="BB765" s="83"/>
      <c r="BC765" s="83"/>
    </row>
    <row r="766" customFormat="false" ht="27.75" hidden="false" customHeight="true" outlineLevel="0" collapsed="false">
      <c r="B766" s="81" t="n">
        <v>3</v>
      </c>
      <c r="C766" s="81"/>
      <c r="D766" s="82"/>
      <c r="E766" s="82"/>
      <c r="F766" s="82"/>
      <c r="G766" s="82"/>
      <c r="H766" s="83"/>
      <c r="I766" s="83"/>
      <c r="J766" s="83"/>
      <c r="K766" s="83"/>
      <c r="L766" s="83"/>
      <c r="M766" s="83"/>
      <c r="N766" s="83"/>
      <c r="O766" s="83"/>
      <c r="P766" s="83"/>
      <c r="Q766" s="83"/>
      <c r="R766" s="83"/>
      <c r="S766" s="83"/>
      <c r="T766" s="83"/>
      <c r="U766" s="83"/>
      <c r="V766" s="83"/>
      <c r="W766" s="83"/>
      <c r="X766" s="83"/>
      <c r="Y766" s="83"/>
      <c r="Z766" s="83"/>
      <c r="AA766" s="83"/>
      <c r="AB766" s="83"/>
      <c r="AC766" s="83"/>
      <c r="AD766" s="83"/>
      <c r="AE766" s="83"/>
      <c r="AF766" s="83"/>
      <c r="AG766" s="83"/>
      <c r="AH766" s="83"/>
      <c r="AI766" s="83"/>
      <c r="AJ766" s="83"/>
      <c r="AK766" s="83"/>
      <c r="AL766" s="83"/>
      <c r="AM766" s="83"/>
      <c r="AN766" s="83"/>
      <c r="AO766" s="83"/>
      <c r="AP766" s="83"/>
      <c r="AQ766" s="83"/>
      <c r="AR766" s="83"/>
      <c r="AS766" s="83"/>
      <c r="AT766" s="83"/>
      <c r="AU766" s="83"/>
      <c r="AV766" s="83"/>
      <c r="AW766" s="83"/>
      <c r="AX766" s="83"/>
      <c r="AY766" s="83"/>
      <c r="AZ766" s="83"/>
      <c r="BA766" s="83"/>
      <c r="BB766" s="83"/>
      <c r="BC766" s="83"/>
    </row>
    <row r="767" customFormat="false" ht="27.75" hidden="false" customHeight="true" outlineLevel="0" collapsed="false">
      <c r="B767" s="81" t="n">
        <v>4</v>
      </c>
      <c r="C767" s="81"/>
      <c r="D767" s="82"/>
      <c r="E767" s="82"/>
      <c r="F767" s="82"/>
      <c r="G767" s="82"/>
      <c r="H767" s="83"/>
      <c r="I767" s="83"/>
      <c r="J767" s="83"/>
      <c r="K767" s="83"/>
      <c r="L767" s="83"/>
      <c r="M767" s="83"/>
      <c r="N767" s="83"/>
      <c r="O767" s="83"/>
      <c r="P767" s="83"/>
      <c r="Q767" s="83"/>
      <c r="R767" s="83"/>
      <c r="S767" s="83"/>
      <c r="T767" s="83"/>
      <c r="U767" s="83"/>
      <c r="V767" s="83"/>
      <c r="W767" s="83"/>
      <c r="X767" s="83"/>
      <c r="Y767" s="83"/>
      <c r="Z767" s="83"/>
      <c r="AA767" s="83"/>
      <c r="AB767" s="83"/>
      <c r="AC767" s="83"/>
      <c r="AD767" s="83"/>
      <c r="AE767" s="83"/>
      <c r="AF767" s="83"/>
      <c r="AG767" s="83"/>
      <c r="AH767" s="83"/>
      <c r="AI767" s="83"/>
      <c r="AJ767" s="83"/>
      <c r="AK767" s="83"/>
      <c r="AL767" s="83"/>
      <c r="AM767" s="83"/>
      <c r="AN767" s="83"/>
      <c r="AO767" s="83"/>
      <c r="AP767" s="83"/>
      <c r="AQ767" s="83"/>
      <c r="AR767" s="83"/>
      <c r="AS767" s="83"/>
      <c r="AT767" s="83"/>
      <c r="AU767" s="83"/>
      <c r="AV767" s="83"/>
      <c r="AW767" s="83"/>
      <c r="AX767" s="83"/>
      <c r="AY767" s="83"/>
      <c r="AZ767" s="83"/>
      <c r="BA767" s="83"/>
      <c r="BB767" s="83"/>
      <c r="BC767" s="83"/>
    </row>
    <row r="768" customFormat="false" ht="27.75" hidden="false" customHeight="true" outlineLevel="0" collapsed="false">
      <c r="B768" s="81" t="n">
        <v>5</v>
      </c>
      <c r="C768" s="81"/>
      <c r="D768" s="82"/>
      <c r="E768" s="82"/>
      <c r="F768" s="82"/>
      <c r="G768" s="82"/>
      <c r="H768" s="83"/>
      <c r="I768" s="83"/>
      <c r="J768" s="83"/>
      <c r="K768" s="83"/>
      <c r="L768" s="83"/>
      <c r="M768" s="83"/>
      <c r="N768" s="83"/>
      <c r="O768" s="83"/>
      <c r="P768" s="83"/>
      <c r="Q768" s="83"/>
      <c r="R768" s="83"/>
      <c r="S768" s="83"/>
      <c r="T768" s="83"/>
      <c r="U768" s="83"/>
      <c r="V768" s="83"/>
      <c r="W768" s="83"/>
      <c r="X768" s="83"/>
      <c r="Y768" s="83"/>
      <c r="Z768" s="83"/>
      <c r="AA768" s="83"/>
      <c r="AB768" s="83"/>
      <c r="AC768" s="83"/>
      <c r="AD768" s="83"/>
      <c r="AE768" s="83"/>
      <c r="AF768" s="83"/>
      <c r="AG768" s="83"/>
      <c r="AH768" s="83"/>
      <c r="AI768" s="83"/>
      <c r="AJ768" s="83"/>
      <c r="AK768" s="83"/>
      <c r="AL768" s="83"/>
      <c r="AM768" s="83"/>
      <c r="AN768" s="83"/>
      <c r="AO768" s="83"/>
      <c r="AP768" s="83"/>
      <c r="AQ768" s="83"/>
      <c r="AR768" s="83"/>
      <c r="AS768" s="83"/>
      <c r="AT768" s="83"/>
      <c r="AU768" s="83"/>
      <c r="AV768" s="83"/>
      <c r="AW768" s="83"/>
      <c r="AX768" s="83"/>
      <c r="AY768" s="83"/>
      <c r="AZ768" s="83"/>
      <c r="BA768" s="83"/>
      <c r="BB768" s="83"/>
      <c r="BC768" s="83"/>
    </row>
    <row r="769" customFormat="false" ht="24" hidden="false" customHeight="true" outlineLevel="0" collapsed="false">
      <c r="B769" s="84" t="s">
        <v>132</v>
      </c>
      <c r="C769" s="84"/>
      <c r="E769" s="85" t="s">
        <v>163</v>
      </c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  <c r="AE769" s="85"/>
      <c r="AF769" s="85"/>
      <c r="AG769" s="85"/>
      <c r="AH769" s="85"/>
      <c r="AI769" s="85"/>
      <c r="AJ769" s="85"/>
      <c r="AK769" s="85"/>
      <c r="AL769" s="85"/>
      <c r="AM769" s="85"/>
      <c r="AN769" s="85"/>
      <c r="AO769" s="85"/>
      <c r="AP769" s="85"/>
      <c r="AQ769" s="85"/>
      <c r="AR769" s="85"/>
      <c r="AS769" s="85"/>
      <c r="AT769" s="85"/>
      <c r="AU769" s="85"/>
      <c r="AV769" s="85"/>
      <c r="AW769" s="85"/>
      <c r="AX769" s="85"/>
      <c r="AY769" s="85"/>
      <c r="AZ769" s="85"/>
      <c r="BA769" s="85"/>
      <c r="BB769" s="85"/>
      <c r="BC769" s="85"/>
    </row>
    <row r="770" customFormat="false" ht="9.75" hidden="false" customHeight="true" outlineLevel="0" collapsed="false"/>
    <row r="771" customFormat="false" ht="21.75" hidden="false" customHeight="true" outlineLevel="0" collapsed="false">
      <c r="B771" s="6"/>
      <c r="C771" s="19" t="s">
        <v>164</v>
      </c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59" t="s">
        <v>165</v>
      </c>
      <c r="AM771" s="59"/>
      <c r="AN771" s="59"/>
      <c r="AO771" s="59"/>
      <c r="AP771" s="59"/>
      <c r="AQ771" s="59"/>
      <c r="AR771" s="59"/>
      <c r="AS771" s="59"/>
      <c r="AT771" s="59"/>
      <c r="AU771" s="59"/>
      <c r="AV771" s="59"/>
      <c r="AW771" s="59"/>
      <c r="AX771" s="59"/>
      <c r="AY771" s="59"/>
      <c r="AZ771" s="59"/>
      <c r="BA771" s="59"/>
      <c r="BB771" s="59"/>
      <c r="BC771" s="59"/>
    </row>
    <row r="772" customFormat="false" ht="27.75" hidden="false" customHeight="true" outlineLevel="0" collapsed="false">
      <c r="B772" s="79" t="s">
        <v>124</v>
      </c>
      <c r="C772" s="79"/>
      <c r="D772" s="80" t="s">
        <v>140</v>
      </c>
      <c r="E772" s="80"/>
      <c r="F772" s="80"/>
      <c r="G772" s="80"/>
      <c r="H772" s="80" t="s">
        <v>127</v>
      </c>
      <c r="I772" s="80"/>
      <c r="J772" s="80"/>
      <c r="K772" s="80"/>
      <c r="L772" s="80"/>
      <c r="M772" s="80"/>
      <c r="N772" s="80"/>
      <c r="O772" s="80"/>
      <c r="P772" s="80"/>
      <c r="Q772" s="80" t="s">
        <v>126</v>
      </c>
      <c r="R772" s="80"/>
      <c r="S772" s="80"/>
      <c r="T772" s="80"/>
      <c r="U772" s="80"/>
      <c r="V772" s="80"/>
      <c r="W772" s="80"/>
      <c r="X772" s="80" t="s">
        <v>166</v>
      </c>
      <c r="Y772" s="80"/>
      <c r="Z772" s="80"/>
      <c r="AA772" s="80"/>
      <c r="AB772" s="80"/>
      <c r="AC772" s="80" t="s">
        <v>167</v>
      </c>
      <c r="AD772" s="80"/>
      <c r="AE772" s="80"/>
      <c r="AF772" s="80"/>
      <c r="AG772" s="80"/>
      <c r="AH772" s="80" t="s">
        <v>149</v>
      </c>
      <c r="AI772" s="80"/>
      <c r="AJ772" s="80"/>
      <c r="AK772" s="80"/>
      <c r="AL772" s="80" t="s">
        <v>168</v>
      </c>
      <c r="AM772" s="80"/>
      <c r="AN772" s="80"/>
      <c r="AO772" s="80"/>
      <c r="AP772" s="80"/>
      <c r="AQ772" s="80"/>
      <c r="AR772" s="80"/>
      <c r="AS772" s="80"/>
      <c r="AT772" s="80"/>
      <c r="AU772" s="80"/>
      <c r="AV772" s="80"/>
      <c r="AW772" s="80"/>
      <c r="AX772" s="80"/>
      <c r="AY772" s="80"/>
      <c r="AZ772" s="80"/>
      <c r="BA772" s="80"/>
      <c r="BB772" s="80"/>
      <c r="BC772" s="80"/>
    </row>
    <row r="773" customFormat="false" ht="27.75" hidden="false" customHeight="true" outlineLevel="0" collapsed="false">
      <c r="B773" s="81" t="n">
        <v>1</v>
      </c>
      <c r="C773" s="81"/>
      <c r="D773" s="82"/>
      <c r="E773" s="82"/>
      <c r="F773" s="82"/>
      <c r="G773" s="82"/>
      <c r="H773" s="83"/>
      <c r="I773" s="83"/>
      <c r="J773" s="83"/>
      <c r="K773" s="83"/>
      <c r="L773" s="83"/>
      <c r="M773" s="83"/>
      <c r="N773" s="83"/>
      <c r="O773" s="83"/>
      <c r="P773" s="83"/>
      <c r="Q773" s="83"/>
      <c r="R773" s="83"/>
      <c r="S773" s="83"/>
      <c r="T773" s="83"/>
      <c r="U773" s="83"/>
      <c r="V773" s="83"/>
      <c r="W773" s="83"/>
      <c r="X773" s="83"/>
      <c r="Y773" s="83"/>
      <c r="Z773" s="83"/>
      <c r="AA773" s="83"/>
      <c r="AB773" s="83"/>
      <c r="AC773" s="83"/>
      <c r="AD773" s="83"/>
      <c r="AE773" s="83"/>
      <c r="AF773" s="83"/>
      <c r="AG773" s="83"/>
      <c r="AH773" s="83"/>
      <c r="AI773" s="83"/>
      <c r="AJ773" s="83"/>
      <c r="AK773" s="83"/>
      <c r="AL773" s="83"/>
      <c r="AM773" s="83"/>
      <c r="AN773" s="83"/>
      <c r="AO773" s="83"/>
      <c r="AP773" s="83"/>
      <c r="AQ773" s="83"/>
      <c r="AR773" s="83"/>
      <c r="AS773" s="83"/>
      <c r="AT773" s="83"/>
      <c r="AU773" s="83"/>
      <c r="AV773" s="83"/>
      <c r="AW773" s="83"/>
      <c r="AX773" s="83"/>
      <c r="AY773" s="83"/>
      <c r="AZ773" s="83"/>
      <c r="BA773" s="83"/>
      <c r="BB773" s="83"/>
      <c r="BC773" s="83"/>
    </row>
    <row r="774" customFormat="false" ht="27.75" hidden="false" customHeight="true" outlineLevel="0" collapsed="false">
      <c r="B774" s="81" t="n">
        <v>2</v>
      </c>
      <c r="C774" s="81"/>
      <c r="D774" s="82"/>
      <c r="E774" s="82"/>
      <c r="F774" s="82"/>
      <c r="G774" s="82"/>
      <c r="H774" s="83"/>
      <c r="I774" s="83"/>
      <c r="J774" s="83"/>
      <c r="K774" s="83"/>
      <c r="L774" s="83"/>
      <c r="M774" s="83"/>
      <c r="N774" s="83"/>
      <c r="O774" s="83"/>
      <c r="P774" s="83"/>
      <c r="Q774" s="83"/>
      <c r="R774" s="83"/>
      <c r="S774" s="83"/>
      <c r="T774" s="83"/>
      <c r="U774" s="83"/>
      <c r="V774" s="83"/>
      <c r="W774" s="83"/>
      <c r="X774" s="83"/>
      <c r="Y774" s="83"/>
      <c r="Z774" s="83"/>
      <c r="AA774" s="83"/>
      <c r="AB774" s="83"/>
      <c r="AC774" s="83"/>
      <c r="AD774" s="83"/>
      <c r="AE774" s="83"/>
      <c r="AF774" s="83"/>
      <c r="AG774" s="83"/>
      <c r="AH774" s="83"/>
      <c r="AI774" s="83"/>
      <c r="AJ774" s="83"/>
      <c r="AK774" s="83"/>
      <c r="AL774" s="83"/>
      <c r="AM774" s="83"/>
      <c r="AN774" s="83"/>
      <c r="AO774" s="83"/>
      <c r="AP774" s="83"/>
      <c r="AQ774" s="83"/>
      <c r="AR774" s="83"/>
      <c r="AS774" s="83"/>
      <c r="AT774" s="83"/>
      <c r="AU774" s="83"/>
      <c r="AV774" s="83"/>
      <c r="AW774" s="83"/>
      <c r="AX774" s="83"/>
      <c r="AY774" s="83"/>
      <c r="AZ774" s="83"/>
      <c r="BA774" s="83"/>
      <c r="BB774" s="83"/>
      <c r="BC774" s="83"/>
    </row>
    <row r="775" customFormat="false" ht="27.75" hidden="false" customHeight="true" outlineLevel="0" collapsed="false">
      <c r="B775" s="81" t="n">
        <v>3</v>
      </c>
      <c r="C775" s="81"/>
      <c r="D775" s="82"/>
      <c r="E775" s="82"/>
      <c r="F775" s="82"/>
      <c r="G775" s="82"/>
      <c r="H775" s="83"/>
      <c r="I775" s="83"/>
      <c r="J775" s="83"/>
      <c r="K775" s="83"/>
      <c r="L775" s="83"/>
      <c r="M775" s="83"/>
      <c r="N775" s="83"/>
      <c r="O775" s="83"/>
      <c r="P775" s="83"/>
      <c r="Q775" s="83"/>
      <c r="R775" s="83"/>
      <c r="S775" s="83"/>
      <c r="T775" s="83"/>
      <c r="U775" s="83"/>
      <c r="V775" s="83"/>
      <c r="W775" s="83"/>
      <c r="X775" s="83"/>
      <c r="Y775" s="83"/>
      <c r="Z775" s="83"/>
      <c r="AA775" s="83"/>
      <c r="AB775" s="83"/>
      <c r="AC775" s="83"/>
      <c r="AD775" s="83"/>
      <c r="AE775" s="83"/>
      <c r="AF775" s="83"/>
      <c r="AG775" s="83"/>
      <c r="AH775" s="83"/>
      <c r="AI775" s="83"/>
      <c r="AJ775" s="83"/>
      <c r="AK775" s="83"/>
      <c r="AL775" s="83"/>
      <c r="AM775" s="83"/>
      <c r="AN775" s="83"/>
      <c r="AO775" s="83"/>
      <c r="AP775" s="83"/>
      <c r="AQ775" s="83"/>
      <c r="AR775" s="83"/>
      <c r="AS775" s="83"/>
      <c r="AT775" s="83"/>
      <c r="AU775" s="83"/>
      <c r="AV775" s="83"/>
      <c r="AW775" s="83"/>
      <c r="AX775" s="83"/>
      <c r="AY775" s="83"/>
      <c r="AZ775" s="83"/>
      <c r="BA775" s="83"/>
      <c r="BB775" s="83"/>
      <c r="BC775" s="83"/>
    </row>
    <row r="776" customFormat="false" ht="27.75" hidden="false" customHeight="true" outlineLevel="0" collapsed="false">
      <c r="B776" s="81" t="n">
        <v>4</v>
      </c>
      <c r="C776" s="81"/>
      <c r="D776" s="82"/>
      <c r="E776" s="82"/>
      <c r="F776" s="82"/>
      <c r="G776" s="82"/>
      <c r="H776" s="83"/>
      <c r="I776" s="83"/>
      <c r="J776" s="83"/>
      <c r="K776" s="83"/>
      <c r="L776" s="83"/>
      <c r="M776" s="83"/>
      <c r="N776" s="83"/>
      <c r="O776" s="83"/>
      <c r="P776" s="83"/>
      <c r="Q776" s="83"/>
      <c r="R776" s="83"/>
      <c r="S776" s="83"/>
      <c r="T776" s="83"/>
      <c r="U776" s="83"/>
      <c r="V776" s="83"/>
      <c r="W776" s="83"/>
      <c r="X776" s="83"/>
      <c r="Y776" s="83"/>
      <c r="Z776" s="83"/>
      <c r="AA776" s="83"/>
      <c r="AB776" s="83"/>
      <c r="AC776" s="83"/>
      <c r="AD776" s="83"/>
      <c r="AE776" s="83"/>
      <c r="AF776" s="83"/>
      <c r="AG776" s="83"/>
      <c r="AH776" s="83"/>
      <c r="AI776" s="83"/>
      <c r="AJ776" s="83"/>
      <c r="AK776" s="83"/>
      <c r="AL776" s="83"/>
      <c r="AM776" s="83"/>
      <c r="AN776" s="83"/>
      <c r="AO776" s="83"/>
      <c r="AP776" s="83"/>
      <c r="AQ776" s="83"/>
      <c r="AR776" s="83"/>
      <c r="AS776" s="83"/>
      <c r="AT776" s="83"/>
      <c r="AU776" s="83"/>
      <c r="AV776" s="83"/>
      <c r="AW776" s="83"/>
      <c r="AX776" s="83"/>
      <c r="AY776" s="83"/>
      <c r="AZ776" s="83"/>
      <c r="BA776" s="83"/>
      <c r="BB776" s="83"/>
      <c r="BC776" s="83"/>
    </row>
    <row r="777" customFormat="false" ht="27.75" hidden="false" customHeight="true" outlineLevel="0" collapsed="false">
      <c r="B777" s="81" t="n">
        <v>5</v>
      </c>
      <c r="C777" s="81"/>
      <c r="D777" s="82"/>
      <c r="E777" s="82"/>
      <c r="F777" s="82"/>
      <c r="G777" s="82"/>
      <c r="H777" s="83"/>
      <c r="I777" s="83"/>
      <c r="J777" s="83"/>
      <c r="K777" s="83"/>
      <c r="L777" s="83"/>
      <c r="M777" s="83"/>
      <c r="N777" s="83"/>
      <c r="O777" s="83"/>
      <c r="P777" s="83"/>
      <c r="Q777" s="83"/>
      <c r="R777" s="83"/>
      <c r="S777" s="83"/>
      <c r="T777" s="83"/>
      <c r="U777" s="83"/>
      <c r="V777" s="83"/>
      <c r="W777" s="83"/>
      <c r="X777" s="83"/>
      <c r="Y777" s="83"/>
      <c r="Z777" s="83"/>
      <c r="AA777" s="83"/>
      <c r="AB777" s="83"/>
      <c r="AC777" s="83"/>
      <c r="AD777" s="83"/>
      <c r="AE777" s="83"/>
      <c r="AF777" s="83"/>
      <c r="AG777" s="83"/>
      <c r="AH777" s="83"/>
      <c r="AI777" s="83"/>
      <c r="AJ777" s="83"/>
      <c r="AK777" s="83"/>
      <c r="AL777" s="83"/>
      <c r="AM777" s="83"/>
      <c r="AN777" s="83"/>
      <c r="AO777" s="83"/>
      <c r="AP777" s="83"/>
      <c r="AQ777" s="83"/>
      <c r="AR777" s="83"/>
      <c r="AS777" s="83"/>
      <c r="AT777" s="83"/>
      <c r="AU777" s="83"/>
      <c r="AV777" s="83"/>
      <c r="AW777" s="83"/>
      <c r="AX777" s="83"/>
      <c r="AY777" s="83"/>
      <c r="AZ777" s="83"/>
      <c r="BA777" s="83"/>
      <c r="BB777" s="83"/>
      <c r="BC777" s="83"/>
    </row>
    <row r="778" customFormat="false" ht="24" hidden="false" customHeight="true" outlineLevel="0" collapsed="false">
      <c r="B778" s="84" t="s">
        <v>132</v>
      </c>
      <c r="C778" s="84"/>
      <c r="E778" s="85" t="s">
        <v>169</v>
      </c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  <c r="AE778" s="85"/>
      <c r="AF778" s="85"/>
      <c r="AG778" s="85"/>
      <c r="AH778" s="85"/>
      <c r="AI778" s="85"/>
      <c r="AJ778" s="85"/>
      <c r="AK778" s="85"/>
      <c r="AL778" s="85"/>
      <c r="AM778" s="85"/>
      <c r="AN778" s="85"/>
      <c r="AO778" s="85"/>
      <c r="AP778" s="85"/>
      <c r="AQ778" s="85"/>
      <c r="AR778" s="85"/>
      <c r="AS778" s="85"/>
      <c r="AT778" s="85"/>
      <c r="AU778" s="85"/>
      <c r="AV778" s="85"/>
      <c r="AW778" s="85"/>
      <c r="AX778" s="85"/>
      <c r="AY778" s="85"/>
      <c r="AZ778" s="85"/>
      <c r="BA778" s="85"/>
      <c r="BB778" s="85"/>
      <c r="BC778" s="85"/>
    </row>
    <row r="779" customFormat="false" ht="84" hidden="false" customHeight="true" outlineLevel="0" collapsed="false"/>
    <row r="780" customFormat="false" ht="18" hidden="false" customHeight="true" outlineLevel="0" collapsed="false">
      <c r="B780" s="75" t="s">
        <v>134</v>
      </c>
      <c r="C780" s="75"/>
      <c r="D780" s="75"/>
      <c r="E780" s="75"/>
      <c r="F780" s="75"/>
      <c r="G780" s="75"/>
      <c r="H780" s="75"/>
      <c r="I780" s="75"/>
      <c r="J780" s="75"/>
      <c r="K780" s="75"/>
      <c r="L780" s="75"/>
      <c r="M780" s="75"/>
      <c r="N780" s="75"/>
      <c r="O780" s="75"/>
      <c r="P780" s="75"/>
      <c r="Q780" s="75"/>
      <c r="R780" s="75"/>
      <c r="S780" s="75"/>
      <c r="T780" s="75"/>
      <c r="U780" s="75"/>
      <c r="V780" s="75"/>
      <c r="W780" s="75"/>
      <c r="X780" s="75"/>
      <c r="Y780" s="75"/>
      <c r="Z780" s="75"/>
      <c r="AA780" s="75"/>
      <c r="AB780" s="76" t="s">
        <v>170</v>
      </c>
      <c r="AC780" s="76"/>
      <c r="AD780" s="76"/>
      <c r="AE780" s="76"/>
      <c r="AF780" s="76"/>
      <c r="AG780" s="76"/>
      <c r="AH780" s="76"/>
      <c r="AI780" s="76"/>
      <c r="AJ780" s="76"/>
      <c r="AK780" s="76"/>
      <c r="AL780" s="76"/>
      <c r="AM780" s="76"/>
      <c r="AN780" s="76"/>
      <c r="AO780" s="76"/>
      <c r="AP780" s="76"/>
      <c r="AQ780" s="76"/>
      <c r="AR780" s="76"/>
      <c r="AS780" s="76"/>
      <c r="AT780" s="76"/>
      <c r="AU780" s="76"/>
      <c r="AV780" s="76"/>
      <c r="AW780" s="76"/>
      <c r="AX780" s="76"/>
      <c r="AY780" s="76"/>
      <c r="AZ780" s="76"/>
      <c r="BA780" s="76"/>
      <c r="BB780" s="76"/>
      <c r="BC780" s="76"/>
    </row>
    <row r="781" customFormat="false" ht="7.5" hidden="false" customHeight="true" outlineLevel="0" collapsed="false"/>
    <row r="782" customFormat="false" ht="24" hidden="false" customHeight="true" outlineLevel="0" collapsed="false">
      <c r="B782" s="86" t="s">
        <v>115</v>
      </c>
      <c r="C782" s="86"/>
      <c r="D782" s="86"/>
      <c r="E782" s="86"/>
      <c r="F782" s="86"/>
      <c r="H782" s="87" t="s">
        <v>116</v>
      </c>
      <c r="I782" s="87"/>
      <c r="J782" s="87"/>
      <c r="K782" s="87"/>
      <c r="L782" s="87"/>
      <c r="M782" s="87"/>
      <c r="N782" s="87"/>
      <c r="O782" s="87"/>
      <c r="P782" s="87"/>
      <c r="AA782" s="88" t="s">
        <v>136</v>
      </c>
      <c r="AB782" s="88"/>
      <c r="AC782" s="88"/>
      <c r="AD782" s="88"/>
      <c r="AE782" s="88"/>
      <c r="AF782" s="89" t="str">
        <f aca="false">Dashboard!$C$6</f>
        <v>Bindhya TB</v>
      </c>
      <c r="AG782" s="89"/>
      <c r="AH782" s="89"/>
      <c r="AI782" s="89"/>
      <c r="AJ782" s="89"/>
      <c r="AK782" s="89"/>
      <c r="AL782" s="89"/>
      <c r="AM782" s="89"/>
      <c r="AN782" s="89"/>
      <c r="AO782" s="89"/>
      <c r="AP782" s="89"/>
      <c r="AR782" s="88" t="s">
        <v>137</v>
      </c>
      <c r="AS782" s="88"/>
      <c r="AT782" s="89" t="str">
        <f aca="false">TEXT(Cal!H6,"dd mmm")&amp;" to "&amp;TEXT(Cal!I6,"dd mmm yy")</f>
        <v>26 Oct to 31 Oct 26</v>
      </c>
      <c r="AU782" s="89"/>
      <c r="AV782" s="89"/>
      <c r="AW782" s="89"/>
      <c r="AX782" s="89"/>
      <c r="AY782" s="89"/>
      <c r="AZ782" s="89"/>
      <c r="BA782" s="89"/>
      <c r="BB782" s="89"/>
      <c r="BC782" s="89"/>
    </row>
    <row r="783" customFormat="false" ht="3" hidden="false" customHeight="true" outlineLevel="0" collapsed="false"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</row>
    <row r="784" customFormat="false" ht="9.75" hidden="false" customHeight="true" outlineLevel="0" collapsed="false"/>
    <row r="785" customFormat="false" ht="21.75" hidden="false" customHeight="true" outlineLevel="0" collapsed="false">
      <c r="B785" s="6"/>
      <c r="C785" s="19" t="s">
        <v>171</v>
      </c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59" t="s">
        <v>172</v>
      </c>
      <c r="AM785" s="59"/>
      <c r="AN785" s="59"/>
      <c r="AO785" s="59"/>
      <c r="AP785" s="59"/>
      <c r="AQ785" s="59"/>
      <c r="AR785" s="59"/>
      <c r="AS785" s="59"/>
      <c r="AT785" s="59"/>
      <c r="AU785" s="59"/>
      <c r="AV785" s="59"/>
      <c r="AW785" s="59"/>
      <c r="AX785" s="59"/>
      <c r="AY785" s="59"/>
      <c r="AZ785" s="59"/>
      <c r="BA785" s="59"/>
      <c r="BB785" s="59"/>
      <c r="BC785" s="59"/>
    </row>
    <row r="786" customFormat="false" ht="27.75" hidden="false" customHeight="true" outlineLevel="0" collapsed="false">
      <c r="B786" s="79" t="s">
        <v>124</v>
      </c>
      <c r="C786" s="79"/>
      <c r="D786" s="80" t="s">
        <v>140</v>
      </c>
      <c r="E786" s="80"/>
      <c r="F786" s="80"/>
      <c r="G786" s="80"/>
      <c r="H786" s="80" t="s">
        <v>173</v>
      </c>
      <c r="I786" s="80"/>
      <c r="J786" s="80"/>
      <c r="K786" s="80"/>
      <c r="L786" s="80" t="s">
        <v>159</v>
      </c>
      <c r="M786" s="80"/>
      <c r="N786" s="80"/>
      <c r="O786" s="80"/>
      <c r="P786" s="80"/>
      <c r="Q786" s="80"/>
      <c r="R786" s="80"/>
      <c r="S786" s="80"/>
      <c r="T786" s="80"/>
      <c r="U786" s="80"/>
      <c r="V786" s="80"/>
      <c r="W786" s="80"/>
      <c r="X786" s="80"/>
      <c r="Y786" s="80"/>
      <c r="Z786" s="80"/>
      <c r="AA786" s="80"/>
      <c r="AB786" s="80"/>
      <c r="AC786" s="80"/>
      <c r="AD786" s="80"/>
      <c r="AE786" s="80"/>
      <c r="AF786" s="80"/>
      <c r="AG786" s="80"/>
      <c r="AH786" s="80" t="s">
        <v>174</v>
      </c>
      <c r="AI786" s="80"/>
      <c r="AJ786" s="80"/>
      <c r="AK786" s="80"/>
      <c r="AL786" s="80" t="s">
        <v>175</v>
      </c>
      <c r="AM786" s="80"/>
      <c r="AN786" s="80"/>
      <c r="AO786" s="80"/>
      <c r="AP786" s="80"/>
      <c r="AQ786" s="80"/>
      <c r="AR786" s="80"/>
      <c r="AS786" s="80"/>
      <c r="AT786" s="80"/>
      <c r="AU786" s="80"/>
      <c r="AV786" s="80" t="s">
        <v>162</v>
      </c>
      <c r="AW786" s="80"/>
      <c r="AX786" s="80"/>
      <c r="AY786" s="80"/>
      <c r="AZ786" s="80"/>
      <c r="BA786" s="80"/>
      <c r="BB786" s="80"/>
      <c r="BC786" s="80"/>
    </row>
    <row r="787" customFormat="false" ht="27.75" hidden="false" customHeight="true" outlineLevel="0" collapsed="false">
      <c r="B787" s="81" t="n">
        <v>1</v>
      </c>
      <c r="C787" s="81"/>
      <c r="D787" s="82"/>
      <c r="E787" s="82"/>
      <c r="F787" s="82"/>
      <c r="G787" s="82"/>
      <c r="H787" s="83"/>
      <c r="I787" s="83"/>
      <c r="J787" s="83"/>
      <c r="K787" s="83"/>
      <c r="L787" s="83"/>
      <c r="M787" s="83"/>
      <c r="N787" s="83"/>
      <c r="O787" s="83"/>
      <c r="P787" s="83"/>
      <c r="Q787" s="83"/>
      <c r="R787" s="83"/>
      <c r="S787" s="83"/>
      <c r="T787" s="83"/>
      <c r="U787" s="83"/>
      <c r="V787" s="83"/>
      <c r="W787" s="83"/>
      <c r="X787" s="83"/>
      <c r="Y787" s="83"/>
      <c r="Z787" s="83"/>
      <c r="AA787" s="83"/>
      <c r="AB787" s="83"/>
      <c r="AC787" s="83"/>
      <c r="AD787" s="83"/>
      <c r="AE787" s="83"/>
      <c r="AF787" s="83"/>
      <c r="AG787" s="83"/>
      <c r="AH787" s="83"/>
      <c r="AI787" s="83"/>
      <c r="AJ787" s="83"/>
      <c r="AK787" s="83"/>
      <c r="AL787" s="83"/>
      <c r="AM787" s="83"/>
      <c r="AN787" s="83"/>
      <c r="AO787" s="83"/>
      <c r="AP787" s="83"/>
      <c r="AQ787" s="83"/>
      <c r="AR787" s="83"/>
      <c r="AS787" s="83"/>
      <c r="AT787" s="83"/>
      <c r="AU787" s="83"/>
      <c r="AV787" s="83"/>
      <c r="AW787" s="83"/>
      <c r="AX787" s="83"/>
      <c r="AY787" s="83"/>
      <c r="AZ787" s="83"/>
      <c r="BA787" s="83"/>
      <c r="BB787" s="83"/>
      <c r="BC787" s="83"/>
    </row>
    <row r="788" customFormat="false" ht="27.75" hidden="false" customHeight="true" outlineLevel="0" collapsed="false">
      <c r="B788" s="81" t="n">
        <v>2</v>
      </c>
      <c r="C788" s="81"/>
      <c r="D788" s="82"/>
      <c r="E788" s="82"/>
      <c r="F788" s="82"/>
      <c r="G788" s="82"/>
      <c r="H788" s="83"/>
      <c r="I788" s="83"/>
      <c r="J788" s="83"/>
      <c r="K788" s="83"/>
      <c r="L788" s="83"/>
      <c r="M788" s="83"/>
      <c r="N788" s="83"/>
      <c r="O788" s="83"/>
      <c r="P788" s="83"/>
      <c r="Q788" s="83"/>
      <c r="R788" s="83"/>
      <c r="S788" s="83"/>
      <c r="T788" s="83"/>
      <c r="U788" s="83"/>
      <c r="V788" s="83"/>
      <c r="W788" s="83"/>
      <c r="X788" s="83"/>
      <c r="Y788" s="83"/>
      <c r="Z788" s="83"/>
      <c r="AA788" s="83"/>
      <c r="AB788" s="83"/>
      <c r="AC788" s="83"/>
      <c r="AD788" s="83"/>
      <c r="AE788" s="83"/>
      <c r="AF788" s="83"/>
      <c r="AG788" s="83"/>
      <c r="AH788" s="83"/>
      <c r="AI788" s="83"/>
      <c r="AJ788" s="83"/>
      <c r="AK788" s="83"/>
      <c r="AL788" s="83"/>
      <c r="AM788" s="83"/>
      <c r="AN788" s="83"/>
      <c r="AO788" s="83"/>
      <c r="AP788" s="83"/>
      <c r="AQ788" s="83"/>
      <c r="AR788" s="83"/>
      <c r="AS788" s="83"/>
      <c r="AT788" s="83"/>
      <c r="AU788" s="83"/>
      <c r="AV788" s="83"/>
      <c r="AW788" s="83"/>
      <c r="AX788" s="83"/>
      <c r="AY788" s="83"/>
      <c r="AZ788" s="83"/>
      <c r="BA788" s="83"/>
      <c r="BB788" s="83"/>
      <c r="BC788" s="83"/>
    </row>
    <row r="789" customFormat="false" ht="27.75" hidden="false" customHeight="true" outlineLevel="0" collapsed="false">
      <c r="B789" s="81" t="n">
        <v>3</v>
      </c>
      <c r="C789" s="81"/>
      <c r="D789" s="82"/>
      <c r="E789" s="82"/>
      <c r="F789" s="82"/>
      <c r="G789" s="82"/>
      <c r="H789" s="83"/>
      <c r="I789" s="83"/>
      <c r="J789" s="83"/>
      <c r="K789" s="83"/>
      <c r="L789" s="83"/>
      <c r="M789" s="83"/>
      <c r="N789" s="83"/>
      <c r="O789" s="83"/>
      <c r="P789" s="83"/>
      <c r="Q789" s="83"/>
      <c r="R789" s="83"/>
      <c r="S789" s="83"/>
      <c r="T789" s="83"/>
      <c r="U789" s="83"/>
      <c r="V789" s="83"/>
      <c r="W789" s="83"/>
      <c r="X789" s="83"/>
      <c r="Y789" s="83"/>
      <c r="Z789" s="83"/>
      <c r="AA789" s="83"/>
      <c r="AB789" s="83"/>
      <c r="AC789" s="83"/>
      <c r="AD789" s="83"/>
      <c r="AE789" s="83"/>
      <c r="AF789" s="83"/>
      <c r="AG789" s="83"/>
      <c r="AH789" s="83"/>
      <c r="AI789" s="83"/>
      <c r="AJ789" s="83"/>
      <c r="AK789" s="83"/>
      <c r="AL789" s="83"/>
      <c r="AM789" s="83"/>
      <c r="AN789" s="83"/>
      <c r="AO789" s="83"/>
      <c r="AP789" s="83"/>
      <c r="AQ789" s="83"/>
      <c r="AR789" s="83"/>
      <c r="AS789" s="83"/>
      <c r="AT789" s="83"/>
      <c r="AU789" s="83"/>
      <c r="AV789" s="83"/>
      <c r="AW789" s="83"/>
      <c r="AX789" s="83"/>
      <c r="AY789" s="83"/>
      <c r="AZ789" s="83"/>
      <c r="BA789" s="83"/>
      <c r="BB789" s="83"/>
      <c r="BC789" s="83"/>
    </row>
    <row r="790" customFormat="false" ht="27.75" hidden="false" customHeight="true" outlineLevel="0" collapsed="false">
      <c r="B790" s="81" t="n">
        <v>4</v>
      </c>
      <c r="C790" s="81"/>
      <c r="D790" s="82"/>
      <c r="E790" s="82"/>
      <c r="F790" s="82"/>
      <c r="G790" s="82"/>
      <c r="H790" s="83"/>
      <c r="I790" s="83"/>
      <c r="J790" s="83"/>
      <c r="K790" s="83"/>
      <c r="L790" s="83"/>
      <c r="M790" s="83"/>
      <c r="N790" s="83"/>
      <c r="O790" s="83"/>
      <c r="P790" s="83"/>
      <c r="Q790" s="83"/>
      <c r="R790" s="83"/>
      <c r="S790" s="83"/>
      <c r="T790" s="83"/>
      <c r="U790" s="83"/>
      <c r="V790" s="83"/>
      <c r="W790" s="83"/>
      <c r="X790" s="83"/>
      <c r="Y790" s="83"/>
      <c r="Z790" s="83"/>
      <c r="AA790" s="83"/>
      <c r="AB790" s="83"/>
      <c r="AC790" s="83"/>
      <c r="AD790" s="83"/>
      <c r="AE790" s="83"/>
      <c r="AF790" s="83"/>
      <c r="AG790" s="83"/>
      <c r="AH790" s="83"/>
      <c r="AI790" s="83"/>
      <c r="AJ790" s="83"/>
      <c r="AK790" s="83"/>
      <c r="AL790" s="83"/>
      <c r="AM790" s="83"/>
      <c r="AN790" s="83"/>
      <c r="AO790" s="83"/>
      <c r="AP790" s="83"/>
      <c r="AQ790" s="83"/>
      <c r="AR790" s="83"/>
      <c r="AS790" s="83"/>
      <c r="AT790" s="83"/>
      <c r="AU790" s="83"/>
      <c r="AV790" s="83"/>
      <c r="AW790" s="83"/>
      <c r="AX790" s="83"/>
      <c r="AY790" s="83"/>
      <c r="AZ790" s="83"/>
      <c r="BA790" s="83"/>
      <c r="BB790" s="83"/>
      <c r="BC790" s="83"/>
    </row>
    <row r="791" customFormat="false" ht="27.75" hidden="false" customHeight="true" outlineLevel="0" collapsed="false">
      <c r="B791" s="81" t="n">
        <v>5</v>
      </c>
      <c r="C791" s="81"/>
      <c r="D791" s="82"/>
      <c r="E791" s="82"/>
      <c r="F791" s="82"/>
      <c r="G791" s="82"/>
      <c r="H791" s="83"/>
      <c r="I791" s="83"/>
      <c r="J791" s="83"/>
      <c r="K791" s="83"/>
      <c r="L791" s="83"/>
      <c r="M791" s="83"/>
      <c r="N791" s="83"/>
      <c r="O791" s="83"/>
      <c r="P791" s="83"/>
      <c r="Q791" s="83"/>
      <c r="R791" s="83"/>
      <c r="S791" s="83"/>
      <c r="T791" s="83"/>
      <c r="U791" s="83"/>
      <c r="V791" s="83"/>
      <c r="W791" s="83"/>
      <c r="X791" s="83"/>
      <c r="Y791" s="83"/>
      <c r="Z791" s="83"/>
      <c r="AA791" s="83"/>
      <c r="AB791" s="83"/>
      <c r="AC791" s="83"/>
      <c r="AD791" s="83"/>
      <c r="AE791" s="83"/>
      <c r="AF791" s="83"/>
      <c r="AG791" s="83"/>
      <c r="AH791" s="83"/>
      <c r="AI791" s="83"/>
      <c r="AJ791" s="83"/>
      <c r="AK791" s="83"/>
      <c r="AL791" s="83"/>
      <c r="AM791" s="83"/>
      <c r="AN791" s="83"/>
      <c r="AO791" s="83"/>
      <c r="AP791" s="83"/>
      <c r="AQ791" s="83"/>
      <c r="AR791" s="83"/>
      <c r="AS791" s="83"/>
      <c r="AT791" s="83"/>
      <c r="AU791" s="83"/>
      <c r="AV791" s="83"/>
      <c r="AW791" s="83"/>
      <c r="AX791" s="83"/>
      <c r="AY791" s="83"/>
      <c r="AZ791" s="83"/>
      <c r="BA791" s="83"/>
      <c r="BB791" s="83"/>
      <c r="BC791" s="83"/>
    </row>
    <row r="792" customFormat="false" ht="27.75" hidden="false" customHeight="true" outlineLevel="0" collapsed="false">
      <c r="B792" s="81" t="n">
        <v>6</v>
      </c>
      <c r="C792" s="81"/>
      <c r="D792" s="82"/>
      <c r="E792" s="82"/>
      <c r="F792" s="82"/>
      <c r="G792" s="82"/>
      <c r="H792" s="83"/>
      <c r="I792" s="83"/>
      <c r="J792" s="83"/>
      <c r="K792" s="83"/>
      <c r="L792" s="83"/>
      <c r="M792" s="83"/>
      <c r="N792" s="83"/>
      <c r="O792" s="83"/>
      <c r="P792" s="83"/>
      <c r="Q792" s="83"/>
      <c r="R792" s="83"/>
      <c r="S792" s="83"/>
      <c r="T792" s="83"/>
      <c r="U792" s="83"/>
      <c r="V792" s="83"/>
      <c r="W792" s="83"/>
      <c r="X792" s="83"/>
      <c r="Y792" s="83"/>
      <c r="Z792" s="83"/>
      <c r="AA792" s="83"/>
      <c r="AB792" s="83"/>
      <c r="AC792" s="83"/>
      <c r="AD792" s="83"/>
      <c r="AE792" s="83"/>
      <c r="AF792" s="83"/>
      <c r="AG792" s="83"/>
      <c r="AH792" s="83"/>
      <c r="AI792" s="83"/>
      <c r="AJ792" s="83"/>
      <c r="AK792" s="83"/>
      <c r="AL792" s="83"/>
      <c r="AM792" s="83"/>
      <c r="AN792" s="83"/>
      <c r="AO792" s="83"/>
      <c r="AP792" s="83"/>
      <c r="AQ792" s="83"/>
      <c r="AR792" s="83"/>
      <c r="AS792" s="83"/>
      <c r="AT792" s="83"/>
      <c r="AU792" s="83"/>
      <c r="AV792" s="83"/>
      <c r="AW792" s="83"/>
      <c r="AX792" s="83"/>
      <c r="AY792" s="83"/>
      <c r="AZ792" s="83"/>
      <c r="BA792" s="83"/>
      <c r="BB792" s="83"/>
      <c r="BC792" s="83"/>
    </row>
    <row r="793" customFormat="false" ht="24" hidden="false" customHeight="true" outlineLevel="0" collapsed="false">
      <c r="B793" s="84" t="s">
        <v>132</v>
      </c>
      <c r="C793" s="84"/>
      <c r="E793" s="85" t="s">
        <v>177</v>
      </c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  <c r="AE793" s="85"/>
      <c r="AF793" s="85"/>
      <c r="AG793" s="85"/>
      <c r="AH793" s="85"/>
      <c r="AI793" s="85"/>
      <c r="AJ793" s="85"/>
      <c r="AK793" s="85"/>
      <c r="AL793" s="85"/>
      <c r="AM793" s="85"/>
      <c r="AN793" s="85"/>
      <c r="AO793" s="85"/>
      <c r="AP793" s="85"/>
      <c r="AQ793" s="85"/>
      <c r="AR793" s="85"/>
      <c r="AS793" s="85"/>
      <c r="AT793" s="85"/>
      <c r="AU793" s="85"/>
      <c r="AV793" s="85"/>
      <c r="AW793" s="85"/>
      <c r="AX793" s="85"/>
      <c r="AY793" s="85"/>
      <c r="AZ793" s="85"/>
      <c r="BA793" s="85"/>
      <c r="BB793" s="85"/>
      <c r="BC793" s="85"/>
    </row>
    <row r="794" customFormat="false" ht="9.75" hidden="false" customHeight="true" outlineLevel="0" collapsed="false"/>
    <row r="795" customFormat="false" ht="21.75" hidden="false" customHeight="true" outlineLevel="0" collapsed="false">
      <c r="B795" s="6"/>
      <c r="C795" s="19" t="s">
        <v>178</v>
      </c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59" t="s">
        <v>179</v>
      </c>
      <c r="AM795" s="59"/>
      <c r="AN795" s="59"/>
      <c r="AO795" s="59"/>
      <c r="AP795" s="59"/>
      <c r="AQ795" s="59"/>
      <c r="AR795" s="59"/>
      <c r="AS795" s="59"/>
      <c r="AT795" s="59"/>
      <c r="AU795" s="59"/>
      <c r="AV795" s="59"/>
      <c r="AW795" s="59"/>
      <c r="AX795" s="59"/>
      <c r="AY795" s="59"/>
      <c r="AZ795" s="59"/>
      <c r="BA795" s="59"/>
      <c r="BB795" s="59"/>
      <c r="BC795" s="59"/>
    </row>
    <row r="796" customFormat="false" ht="27.75" hidden="false" customHeight="true" outlineLevel="0" collapsed="false">
      <c r="B796" s="79" t="s">
        <v>124</v>
      </c>
      <c r="C796" s="79"/>
      <c r="D796" s="80" t="s">
        <v>140</v>
      </c>
      <c r="E796" s="80"/>
      <c r="F796" s="80"/>
      <c r="G796" s="80"/>
      <c r="H796" s="80" t="s">
        <v>180</v>
      </c>
      <c r="I796" s="80"/>
      <c r="J796" s="80"/>
      <c r="K796" s="80"/>
      <c r="L796" s="80"/>
      <c r="M796" s="80"/>
      <c r="N796" s="80"/>
      <c r="O796" s="80"/>
      <c r="P796" s="80" t="s">
        <v>181</v>
      </c>
      <c r="Q796" s="80"/>
      <c r="R796" s="80"/>
      <c r="S796" s="80"/>
      <c r="T796" s="80" t="s">
        <v>182</v>
      </c>
      <c r="U796" s="80"/>
      <c r="V796" s="80"/>
      <c r="W796" s="80"/>
      <c r="X796" s="80"/>
      <c r="Y796" s="80"/>
      <c r="Z796" s="80"/>
      <c r="AA796" s="80"/>
      <c r="AB796" s="80"/>
      <c r="AC796" s="80"/>
      <c r="AD796" s="80"/>
      <c r="AE796" s="80"/>
      <c r="AF796" s="80" t="s">
        <v>183</v>
      </c>
      <c r="AG796" s="80"/>
      <c r="AH796" s="80"/>
      <c r="AI796" s="80"/>
      <c r="AJ796" s="80"/>
      <c r="AK796" s="80"/>
      <c r="AL796" s="80"/>
      <c r="AM796" s="80"/>
      <c r="AN796" s="80"/>
      <c r="AO796" s="80"/>
      <c r="AP796" s="80"/>
      <c r="AQ796" s="80"/>
      <c r="AR796" s="80"/>
      <c r="AS796" s="80"/>
      <c r="AT796" s="80"/>
      <c r="AU796" s="80"/>
      <c r="AV796" s="80"/>
      <c r="AW796" s="80"/>
      <c r="AX796" s="80"/>
      <c r="AY796" s="80"/>
      <c r="AZ796" s="80"/>
      <c r="BA796" s="80"/>
      <c r="BB796" s="80"/>
      <c r="BC796" s="80"/>
    </row>
    <row r="797" customFormat="false" ht="24" hidden="false" customHeight="true" outlineLevel="0" collapsed="false">
      <c r="B797" s="81" t="n">
        <v>1</v>
      </c>
      <c r="C797" s="81"/>
      <c r="D797" s="82"/>
      <c r="E797" s="82"/>
      <c r="F797" s="82"/>
      <c r="G797" s="82"/>
      <c r="H797" s="83"/>
      <c r="I797" s="83"/>
      <c r="J797" s="83"/>
      <c r="K797" s="83"/>
      <c r="L797" s="83"/>
      <c r="M797" s="83"/>
      <c r="N797" s="83"/>
      <c r="O797" s="83"/>
      <c r="P797" s="83"/>
      <c r="Q797" s="83"/>
      <c r="R797" s="83"/>
      <c r="S797" s="83"/>
      <c r="T797" s="83"/>
      <c r="U797" s="83"/>
      <c r="V797" s="83"/>
      <c r="W797" s="83"/>
      <c r="X797" s="83"/>
      <c r="Y797" s="83"/>
      <c r="Z797" s="83"/>
      <c r="AA797" s="83"/>
      <c r="AB797" s="83"/>
      <c r="AC797" s="83"/>
      <c r="AD797" s="83"/>
      <c r="AE797" s="83"/>
      <c r="AF797" s="83"/>
      <c r="AG797" s="83"/>
      <c r="AH797" s="83"/>
      <c r="AI797" s="83"/>
      <c r="AJ797" s="83"/>
      <c r="AK797" s="83"/>
      <c r="AL797" s="83"/>
      <c r="AM797" s="83"/>
      <c r="AN797" s="83"/>
      <c r="AO797" s="83"/>
      <c r="AP797" s="83"/>
      <c r="AQ797" s="83"/>
      <c r="AR797" s="83"/>
      <c r="AS797" s="83"/>
      <c r="AT797" s="83"/>
      <c r="AU797" s="83"/>
      <c r="AV797" s="83"/>
      <c r="AW797" s="83"/>
      <c r="AX797" s="83"/>
      <c r="AY797" s="83"/>
      <c r="AZ797" s="83"/>
      <c r="BA797" s="83"/>
      <c r="BB797" s="83"/>
      <c r="BC797" s="83"/>
    </row>
    <row r="798" customFormat="false" ht="24" hidden="false" customHeight="true" outlineLevel="0" collapsed="false">
      <c r="B798" s="81" t="n">
        <v>2</v>
      </c>
      <c r="C798" s="81"/>
      <c r="D798" s="82"/>
      <c r="E798" s="82"/>
      <c r="F798" s="82"/>
      <c r="G798" s="82"/>
      <c r="H798" s="83"/>
      <c r="I798" s="83"/>
      <c r="J798" s="83"/>
      <c r="K798" s="83"/>
      <c r="L798" s="83"/>
      <c r="M798" s="83"/>
      <c r="N798" s="83"/>
      <c r="O798" s="83"/>
      <c r="P798" s="83"/>
      <c r="Q798" s="83"/>
      <c r="R798" s="83"/>
      <c r="S798" s="83"/>
      <c r="T798" s="83"/>
      <c r="U798" s="83"/>
      <c r="V798" s="83"/>
      <c r="W798" s="83"/>
      <c r="X798" s="83"/>
      <c r="Y798" s="83"/>
      <c r="Z798" s="83"/>
      <c r="AA798" s="83"/>
      <c r="AB798" s="83"/>
      <c r="AC798" s="83"/>
      <c r="AD798" s="83"/>
      <c r="AE798" s="83"/>
      <c r="AF798" s="83"/>
      <c r="AG798" s="83"/>
      <c r="AH798" s="83"/>
      <c r="AI798" s="83"/>
      <c r="AJ798" s="83"/>
      <c r="AK798" s="83"/>
      <c r="AL798" s="83"/>
      <c r="AM798" s="83"/>
      <c r="AN798" s="83"/>
      <c r="AO798" s="83"/>
      <c r="AP798" s="83"/>
      <c r="AQ798" s="83"/>
      <c r="AR798" s="83"/>
      <c r="AS798" s="83"/>
      <c r="AT798" s="83"/>
      <c r="AU798" s="83"/>
      <c r="AV798" s="83"/>
      <c r="AW798" s="83"/>
      <c r="AX798" s="83"/>
      <c r="AY798" s="83"/>
      <c r="AZ798" s="83"/>
      <c r="BA798" s="83"/>
      <c r="BB798" s="83"/>
      <c r="BC798" s="83"/>
    </row>
    <row r="799" customFormat="false" ht="24" hidden="false" customHeight="true" outlineLevel="0" collapsed="false">
      <c r="B799" s="81" t="n">
        <v>3</v>
      </c>
      <c r="C799" s="81"/>
      <c r="D799" s="82"/>
      <c r="E799" s="82"/>
      <c r="F799" s="82"/>
      <c r="G799" s="82"/>
      <c r="H799" s="83"/>
      <c r="I799" s="83"/>
      <c r="J799" s="83"/>
      <c r="K799" s="83"/>
      <c r="L799" s="83"/>
      <c r="M799" s="83"/>
      <c r="N799" s="83"/>
      <c r="O799" s="83"/>
      <c r="P799" s="83"/>
      <c r="Q799" s="83"/>
      <c r="R799" s="83"/>
      <c r="S799" s="83"/>
      <c r="T799" s="83"/>
      <c r="U799" s="83"/>
      <c r="V799" s="83"/>
      <c r="W799" s="83"/>
      <c r="X799" s="83"/>
      <c r="Y799" s="83"/>
      <c r="Z799" s="83"/>
      <c r="AA799" s="83"/>
      <c r="AB799" s="83"/>
      <c r="AC799" s="83"/>
      <c r="AD799" s="83"/>
      <c r="AE799" s="83"/>
      <c r="AF799" s="83"/>
      <c r="AG799" s="83"/>
      <c r="AH799" s="83"/>
      <c r="AI799" s="83"/>
      <c r="AJ799" s="83"/>
      <c r="AK799" s="83"/>
      <c r="AL799" s="83"/>
      <c r="AM799" s="83"/>
      <c r="AN799" s="83"/>
      <c r="AO799" s="83"/>
      <c r="AP799" s="83"/>
      <c r="AQ799" s="83"/>
      <c r="AR799" s="83"/>
      <c r="AS799" s="83"/>
      <c r="AT799" s="83"/>
      <c r="AU799" s="83"/>
      <c r="AV799" s="83"/>
      <c r="AW799" s="83"/>
      <c r="AX799" s="83"/>
      <c r="AY799" s="83"/>
      <c r="AZ799" s="83"/>
      <c r="BA799" s="83"/>
      <c r="BB799" s="83"/>
      <c r="BC799" s="83"/>
    </row>
    <row r="800" customFormat="false" ht="24" hidden="false" customHeight="true" outlineLevel="0" collapsed="false">
      <c r="B800" s="81" t="n">
        <v>4</v>
      </c>
      <c r="C800" s="81"/>
      <c r="D800" s="82"/>
      <c r="E800" s="82"/>
      <c r="F800" s="82"/>
      <c r="G800" s="82"/>
      <c r="H800" s="83"/>
      <c r="I800" s="83"/>
      <c r="J800" s="83"/>
      <c r="K800" s="83"/>
      <c r="L800" s="83"/>
      <c r="M800" s="83"/>
      <c r="N800" s="83"/>
      <c r="O800" s="83"/>
      <c r="P800" s="83"/>
      <c r="Q800" s="83"/>
      <c r="R800" s="83"/>
      <c r="S800" s="83"/>
      <c r="T800" s="83"/>
      <c r="U800" s="83"/>
      <c r="V800" s="83"/>
      <c r="W800" s="83"/>
      <c r="X800" s="83"/>
      <c r="Y800" s="83"/>
      <c r="Z800" s="83"/>
      <c r="AA800" s="83"/>
      <c r="AB800" s="83"/>
      <c r="AC800" s="83"/>
      <c r="AD800" s="83"/>
      <c r="AE800" s="83"/>
      <c r="AF800" s="83"/>
      <c r="AG800" s="83"/>
      <c r="AH800" s="83"/>
      <c r="AI800" s="83"/>
      <c r="AJ800" s="83"/>
      <c r="AK800" s="83"/>
      <c r="AL800" s="83"/>
      <c r="AM800" s="83"/>
      <c r="AN800" s="83"/>
      <c r="AO800" s="83"/>
      <c r="AP800" s="83"/>
      <c r="AQ800" s="83"/>
      <c r="AR800" s="83"/>
      <c r="AS800" s="83"/>
      <c r="AT800" s="83"/>
      <c r="AU800" s="83"/>
      <c r="AV800" s="83"/>
      <c r="AW800" s="83"/>
      <c r="AX800" s="83"/>
      <c r="AY800" s="83"/>
      <c r="AZ800" s="83"/>
      <c r="BA800" s="83"/>
      <c r="BB800" s="83"/>
      <c r="BC800" s="83"/>
    </row>
    <row r="801" customFormat="false" ht="24" hidden="false" customHeight="true" outlineLevel="0" collapsed="false">
      <c r="B801" s="81" t="n">
        <v>5</v>
      </c>
      <c r="C801" s="81"/>
      <c r="D801" s="82"/>
      <c r="E801" s="82"/>
      <c r="F801" s="82"/>
      <c r="G801" s="82"/>
      <c r="H801" s="83"/>
      <c r="I801" s="83"/>
      <c r="J801" s="83"/>
      <c r="K801" s="83"/>
      <c r="L801" s="83"/>
      <c r="M801" s="83"/>
      <c r="N801" s="83"/>
      <c r="O801" s="83"/>
      <c r="P801" s="83"/>
      <c r="Q801" s="83"/>
      <c r="R801" s="83"/>
      <c r="S801" s="83"/>
      <c r="T801" s="83"/>
      <c r="U801" s="83"/>
      <c r="V801" s="83"/>
      <c r="W801" s="83"/>
      <c r="X801" s="83"/>
      <c r="Y801" s="83"/>
      <c r="Z801" s="83"/>
      <c r="AA801" s="83"/>
      <c r="AB801" s="83"/>
      <c r="AC801" s="83"/>
      <c r="AD801" s="83"/>
      <c r="AE801" s="83"/>
      <c r="AF801" s="83"/>
      <c r="AG801" s="83"/>
      <c r="AH801" s="83"/>
      <c r="AI801" s="83"/>
      <c r="AJ801" s="83"/>
      <c r="AK801" s="83"/>
      <c r="AL801" s="83"/>
      <c r="AM801" s="83"/>
      <c r="AN801" s="83"/>
      <c r="AO801" s="83"/>
      <c r="AP801" s="83"/>
      <c r="AQ801" s="83"/>
      <c r="AR801" s="83"/>
      <c r="AS801" s="83"/>
      <c r="AT801" s="83"/>
      <c r="AU801" s="83"/>
      <c r="AV801" s="83"/>
      <c r="AW801" s="83"/>
      <c r="AX801" s="83"/>
      <c r="AY801" s="83"/>
      <c r="AZ801" s="83"/>
      <c r="BA801" s="83"/>
      <c r="BB801" s="83"/>
      <c r="BC801" s="83"/>
    </row>
    <row r="802" customFormat="false" ht="24" hidden="false" customHeight="true" outlineLevel="0" collapsed="false">
      <c r="B802" s="81" t="n">
        <v>6</v>
      </c>
      <c r="C802" s="81"/>
      <c r="D802" s="82"/>
      <c r="E802" s="82"/>
      <c r="F802" s="82"/>
      <c r="G802" s="82"/>
      <c r="H802" s="83"/>
      <c r="I802" s="83"/>
      <c r="J802" s="83"/>
      <c r="K802" s="83"/>
      <c r="L802" s="83"/>
      <c r="M802" s="83"/>
      <c r="N802" s="83"/>
      <c r="O802" s="83"/>
      <c r="P802" s="83"/>
      <c r="Q802" s="83"/>
      <c r="R802" s="83"/>
      <c r="S802" s="83"/>
      <c r="T802" s="83"/>
      <c r="U802" s="83"/>
      <c r="V802" s="83"/>
      <c r="W802" s="83"/>
      <c r="X802" s="83"/>
      <c r="Y802" s="83"/>
      <c r="Z802" s="83"/>
      <c r="AA802" s="83"/>
      <c r="AB802" s="83"/>
      <c r="AC802" s="83"/>
      <c r="AD802" s="83"/>
      <c r="AE802" s="83"/>
      <c r="AF802" s="83"/>
      <c r="AG802" s="83"/>
      <c r="AH802" s="83"/>
      <c r="AI802" s="83"/>
      <c r="AJ802" s="83"/>
      <c r="AK802" s="83"/>
      <c r="AL802" s="83"/>
      <c r="AM802" s="83"/>
      <c r="AN802" s="83"/>
      <c r="AO802" s="83"/>
      <c r="AP802" s="83"/>
      <c r="AQ802" s="83"/>
      <c r="AR802" s="83"/>
      <c r="AS802" s="83"/>
      <c r="AT802" s="83"/>
      <c r="AU802" s="83"/>
      <c r="AV802" s="83"/>
      <c r="AW802" s="83"/>
      <c r="AX802" s="83"/>
      <c r="AY802" s="83"/>
      <c r="AZ802" s="83"/>
      <c r="BA802" s="83"/>
      <c r="BB802" s="83"/>
      <c r="BC802" s="83"/>
    </row>
    <row r="803" customFormat="false" ht="24" hidden="false" customHeight="true" outlineLevel="0" collapsed="false">
      <c r="B803" s="81" t="n">
        <v>7</v>
      </c>
      <c r="C803" s="81"/>
      <c r="D803" s="82"/>
      <c r="E803" s="82"/>
      <c r="F803" s="82"/>
      <c r="G803" s="82"/>
      <c r="H803" s="83"/>
      <c r="I803" s="83"/>
      <c r="J803" s="83"/>
      <c r="K803" s="83"/>
      <c r="L803" s="83"/>
      <c r="M803" s="83"/>
      <c r="N803" s="83"/>
      <c r="O803" s="83"/>
      <c r="P803" s="83"/>
      <c r="Q803" s="83"/>
      <c r="R803" s="83"/>
      <c r="S803" s="83"/>
      <c r="T803" s="83"/>
      <c r="U803" s="83"/>
      <c r="V803" s="83"/>
      <c r="W803" s="83"/>
      <c r="X803" s="83"/>
      <c r="Y803" s="83"/>
      <c r="Z803" s="83"/>
      <c r="AA803" s="83"/>
      <c r="AB803" s="83"/>
      <c r="AC803" s="83"/>
      <c r="AD803" s="83"/>
      <c r="AE803" s="83"/>
      <c r="AF803" s="83"/>
      <c r="AG803" s="83"/>
      <c r="AH803" s="83"/>
      <c r="AI803" s="83"/>
      <c r="AJ803" s="83"/>
      <c r="AK803" s="83"/>
      <c r="AL803" s="83"/>
      <c r="AM803" s="83"/>
      <c r="AN803" s="83"/>
      <c r="AO803" s="83"/>
      <c r="AP803" s="83"/>
      <c r="AQ803" s="83"/>
      <c r="AR803" s="83"/>
      <c r="AS803" s="83"/>
      <c r="AT803" s="83"/>
      <c r="AU803" s="83"/>
      <c r="AV803" s="83"/>
      <c r="AW803" s="83"/>
      <c r="AX803" s="83"/>
      <c r="AY803" s="83"/>
      <c r="AZ803" s="83"/>
      <c r="BA803" s="83"/>
      <c r="BB803" s="83"/>
      <c r="BC803" s="83"/>
    </row>
    <row r="804" customFormat="false" ht="24" hidden="false" customHeight="true" outlineLevel="0" collapsed="false">
      <c r="B804" s="84" t="s">
        <v>132</v>
      </c>
      <c r="C804" s="84"/>
      <c r="E804" s="85" t="s">
        <v>184</v>
      </c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  <c r="AE804" s="85"/>
      <c r="AF804" s="85"/>
      <c r="AG804" s="85"/>
      <c r="AH804" s="85"/>
      <c r="AI804" s="85"/>
      <c r="AJ804" s="85"/>
      <c r="AK804" s="85"/>
      <c r="AL804" s="85"/>
      <c r="AM804" s="85"/>
      <c r="AN804" s="85"/>
      <c r="AO804" s="85"/>
      <c r="AP804" s="85"/>
      <c r="AQ804" s="85"/>
      <c r="AR804" s="85"/>
      <c r="AS804" s="85"/>
      <c r="AT804" s="85"/>
      <c r="AU804" s="85"/>
      <c r="AV804" s="85"/>
      <c r="AW804" s="85"/>
      <c r="AX804" s="85"/>
      <c r="AY804" s="85"/>
      <c r="AZ804" s="85"/>
      <c r="BA804" s="85"/>
      <c r="BB804" s="85"/>
      <c r="BC804" s="85"/>
    </row>
    <row r="805" customFormat="false" ht="27.75" hidden="false" customHeight="true" outlineLevel="0" collapsed="false"/>
    <row r="806" customFormat="false" ht="18" hidden="false" customHeight="true" outlineLevel="0" collapsed="false">
      <c r="B806" s="75" t="s">
        <v>134</v>
      </c>
      <c r="C806" s="75"/>
      <c r="D806" s="75"/>
      <c r="E806" s="75"/>
      <c r="F806" s="75"/>
      <c r="G806" s="75"/>
      <c r="H806" s="75"/>
      <c r="I806" s="75"/>
      <c r="J806" s="75"/>
      <c r="K806" s="75"/>
      <c r="L806" s="75"/>
      <c r="M806" s="75"/>
      <c r="N806" s="75"/>
      <c r="O806" s="75"/>
      <c r="P806" s="75"/>
      <c r="Q806" s="75"/>
      <c r="R806" s="75"/>
      <c r="S806" s="75"/>
      <c r="T806" s="75"/>
      <c r="U806" s="75"/>
      <c r="V806" s="75"/>
      <c r="W806" s="75"/>
      <c r="X806" s="75"/>
      <c r="Y806" s="75"/>
      <c r="Z806" s="75"/>
      <c r="AA806" s="75"/>
      <c r="AB806" s="76" t="s">
        <v>185</v>
      </c>
      <c r="AC806" s="76"/>
      <c r="AD806" s="76"/>
      <c r="AE806" s="76"/>
      <c r="AF806" s="76"/>
      <c r="AG806" s="76"/>
      <c r="AH806" s="76"/>
      <c r="AI806" s="76"/>
      <c r="AJ806" s="76"/>
      <c r="AK806" s="76"/>
      <c r="AL806" s="76"/>
      <c r="AM806" s="76"/>
      <c r="AN806" s="76"/>
      <c r="AO806" s="76"/>
      <c r="AP806" s="76"/>
      <c r="AQ806" s="76"/>
      <c r="AR806" s="76"/>
      <c r="AS806" s="76"/>
      <c r="AT806" s="76"/>
      <c r="AU806" s="76"/>
      <c r="AV806" s="76"/>
      <c r="AW806" s="76"/>
      <c r="AX806" s="76"/>
      <c r="AY806" s="76"/>
      <c r="AZ806" s="76"/>
      <c r="BA806" s="76"/>
      <c r="BB806" s="76"/>
      <c r="BC806" s="76"/>
    </row>
    <row r="807" customFormat="false" ht="7.5" hidden="false" customHeight="true" outlineLevel="0" collapsed="false"/>
    <row r="808" customFormat="false" ht="24" hidden="false" customHeight="true" outlineLevel="0" collapsed="false">
      <c r="B808" s="86" t="s">
        <v>115</v>
      </c>
      <c r="C808" s="86"/>
      <c r="D808" s="86"/>
      <c r="E808" s="86"/>
      <c r="F808" s="86"/>
      <c r="H808" s="87" t="s">
        <v>116</v>
      </c>
      <c r="I808" s="87"/>
      <c r="J808" s="87"/>
      <c r="K808" s="87"/>
      <c r="L808" s="87"/>
      <c r="M808" s="87"/>
      <c r="N808" s="87"/>
      <c r="O808" s="87"/>
      <c r="P808" s="87"/>
      <c r="AA808" s="88" t="s">
        <v>136</v>
      </c>
      <c r="AB808" s="88"/>
      <c r="AC808" s="88"/>
      <c r="AD808" s="88"/>
      <c r="AE808" s="88"/>
      <c r="AF808" s="89" t="str">
        <f aca="false">Dashboard!$C$6</f>
        <v>Bindhya TB</v>
      </c>
      <c r="AG808" s="89"/>
      <c r="AH808" s="89"/>
      <c r="AI808" s="89"/>
      <c r="AJ808" s="89"/>
      <c r="AK808" s="89"/>
      <c r="AL808" s="89"/>
      <c r="AM808" s="89"/>
      <c r="AN808" s="89"/>
      <c r="AO808" s="89"/>
      <c r="AP808" s="89"/>
      <c r="AR808" s="88" t="s">
        <v>137</v>
      </c>
      <c r="AS808" s="88"/>
      <c r="AT808" s="89" t="str">
        <f aca="false">TEXT(Cal!H6,"dd mmm")&amp;" to "&amp;TEXT(Cal!I6,"dd mmm yy")</f>
        <v>26 Oct to 31 Oct 26</v>
      </c>
      <c r="AU808" s="89"/>
      <c r="AV808" s="89"/>
      <c r="AW808" s="89"/>
      <c r="AX808" s="89"/>
      <c r="AY808" s="89"/>
      <c r="AZ808" s="89"/>
      <c r="BA808" s="89"/>
      <c r="BB808" s="89"/>
      <c r="BC808" s="89"/>
    </row>
    <row r="809" customFormat="false" ht="3" hidden="false" customHeight="true" outlineLevel="0" collapsed="false"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</row>
    <row r="810" customFormat="false" ht="9.75" hidden="false" customHeight="true" outlineLevel="0" collapsed="false"/>
    <row r="811" customFormat="false" ht="21.75" hidden="false" customHeight="true" outlineLevel="0" collapsed="false">
      <c r="B811" s="6"/>
      <c r="C811" s="19" t="s">
        <v>186</v>
      </c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59" t="s">
        <v>187</v>
      </c>
      <c r="AM811" s="59"/>
      <c r="AN811" s="59"/>
      <c r="AO811" s="59"/>
      <c r="AP811" s="59"/>
      <c r="AQ811" s="59"/>
      <c r="AR811" s="59"/>
      <c r="AS811" s="59"/>
      <c r="AT811" s="59"/>
      <c r="AU811" s="59"/>
      <c r="AV811" s="59"/>
      <c r="AW811" s="59"/>
      <c r="AX811" s="59"/>
      <c r="AY811" s="59"/>
      <c r="AZ811" s="59"/>
      <c r="BA811" s="59"/>
      <c r="BB811" s="59"/>
      <c r="BC811" s="59"/>
    </row>
    <row r="812" customFormat="false" ht="27.75" hidden="false" customHeight="true" outlineLevel="0" collapsed="false">
      <c r="B812" s="79" t="s">
        <v>124</v>
      </c>
      <c r="C812" s="79"/>
      <c r="D812" s="80" t="s">
        <v>127</v>
      </c>
      <c r="E812" s="80"/>
      <c r="F812" s="80"/>
      <c r="G812" s="80"/>
      <c r="H812" s="80"/>
      <c r="I812" s="80"/>
      <c r="J812" s="80"/>
      <c r="K812" s="80"/>
      <c r="L812" s="80"/>
      <c r="M812" s="80"/>
      <c r="N812" s="80" t="s">
        <v>126</v>
      </c>
      <c r="O812" s="80"/>
      <c r="P812" s="80"/>
      <c r="Q812" s="80"/>
      <c r="R812" s="80"/>
      <c r="S812" s="80"/>
      <c r="T812" s="80"/>
      <c r="U812" s="80"/>
      <c r="V812" s="80" t="s">
        <v>188</v>
      </c>
      <c r="W812" s="80"/>
      <c r="X812" s="80"/>
      <c r="Y812" s="80"/>
      <c r="Z812" s="80"/>
      <c r="AA812" s="80"/>
      <c r="AB812" s="80"/>
      <c r="AC812" s="80"/>
      <c r="AD812" s="80"/>
      <c r="AE812" s="80"/>
      <c r="AF812" s="80"/>
      <c r="AG812" s="80"/>
      <c r="AH812" s="80"/>
      <c r="AI812" s="80"/>
      <c r="AJ812" s="80"/>
      <c r="AK812" s="80"/>
      <c r="AL812" s="80"/>
      <c r="AM812" s="80"/>
      <c r="AN812" s="80"/>
      <c r="AO812" s="80"/>
      <c r="AP812" s="80"/>
      <c r="AQ812" s="80"/>
      <c r="AR812" s="80"/>
      <c r="AS812" s="80"/>
      <c r="AT812" s="80"/>
      <c r="AU812" s="80"/>
      <c r="AV812" s="80" t="s">
        <v>189</v>
      </c>
      <c r="AW812" s="80"/>
      <c r="AX812" s="80"/>
      <c r="AY812" s="80"/>
      <c r="AZ812" s="80"/>
      <c r="BA812" s="80"/>
      <c r="BB812" s="80"/>
      <c r="BC812" s="80"/>
    </row>
    <row r="813" customFormat="false" ht="27.75" hidden="false" customHeight="true" outlineLevel="0" collapsed="false">
      <c r="B813" s="81" t="n">
        <v>1</v>
      </c>
      <c r="C813" s="81"/>
      <c r="D813" s="83"/>
      <c r="E813" s="83"/>
      <c r="F813" s="83"/>
      <c r="G813" s="83"/>
      <c r="H813" s="83"/>
      <c r="I813" s="83"/>
      <c r="J813" s="83"/>
      <c r="K813" s="83"/>
      <c r="L813" s="83"/>
      <c r="M813" s="83"/>
      <c r="N813" s="83"/>
      <c r="O813" s="83"/>
      <c r="P813" s="83"/>
      <c r="Q813" s="83"/>
      <c r="R813" s="83"/>
      <c r="S813" s="83"/>
      <c r="T813" s="83"/>
      <c r="U813" s="83"/>
      <c r="V813" s="83"/>
      <c r="W813" s="83"/>
      <c r="X813" s="83"/>
      <c r="Y813" s="83"/>
      <c r="Z813" s="83"/>
      <c r="AA813" s="83"/>
      <c r="AB813" s="83"/>
      <c r="AC813" s="83"/>
      <c r="AD813" s="83"/>
      <c r="AE813" s="83"/>
      <c r="AF813" s="83"/>
      <c r="AG813" s="83"/>
      <c r="AH813" s="83"/>
      <c r="AI813" s="83"/>
      <c r="AJ813" s="83"/>
      <c r="AK813" s="83"/>
      <c r="AL813" s="83"/>
      <c r="AM813" s="83"/>
      <c r="AN813" s="83"/>
      <c r="AO813" s="83"/>
      <c r="AP813" s="83"/>
      <c r="AQ813" s="83"/>
      <c r="AR813" s="83"/>
      <c r="AS813" s="83"/>
      <c r="AT813" s="83"/>
      <c r="AU813" s="83"/>
      <c r="AV813" s="82"/>
      <c r="AW813" s="82"/>
      <c r="AX813" s="82"/>
      <c r="AY813" s="82"/>
      <c r="AZ813" s="82"/>
      <c r="BA813" s="82"/>
      <c r="BB813" s="82"/>
      <c r="BC813" s="82"/>
    </row>
    <row r="814" customFormat="false" ht="27.75" hidden="false" customHeight="true" outlineLevel="0" collapsed="false">
      <c r="B814" s="81" t="n">
        <v>2</v>
      </c>
      <c r="C814" s="81"/>
      <c r="D814" s="83"/>
      <c r="E814" s="83"/>
      <c r="F814" s="83"/>
      <c r="G814" s="83"/>
      <c r="H814" s="83"/>
      <c r="I814" s="83"/>
      <c r="J814" s="83"/>
      <c r="K814" s="83"/>
      <c r="L814" s="83"/>
      <c r="M814" s="83"/>
      <c r="N814" s="83"/>
      <c r="O814" s="83"/>
      <c r="P814" s="83"/>
      <c r="Q814" s="83"/>
      <c r="R814" s="83"/>
      <c r="S814" s="83"/>
      <c r="T814" s="83"/>
      <c r="U814" s="83"/>
      <c r="V814" s="83"/>
      <c r="W814" s="83"/>
      <c r="X814" s="83"/>
      <c r="Y814" s="83"/>
      <c r="Z814" s="83"/>
      <c r="AA814" s="83"/>
      <c r="AB814" s="83"/>
      <c r="AC814" s="83"/>
      <c r="AD814" s="83"/>
      <c r="AE814" s="83"/>
      <c r="AF814" s="83"/>
      <c r="AG814" s="83"/>
      <c r="AH814" s="83"/>
      <c r="AI814" s="83"/>
      <c r="AJ814" s="83"/>
      <c r="AK814" s="83"/>
      <c r="AL814" s="83"/>
      <c r="AM814" s="83"/>
      <c r="AN814" s="83"/>
      <c r="AO814" s="83"/>
      <c r="AP814" s="83"/>
      <c r="AQ814" s="83"/>
      <c r="AR814" s="83"/>
      <c r="AS814" s="83"/>
      <c r="AT814" s="83"/>
      <c r="AU814" s="83"/>
      <c r="AV814" s="82"/>
      <c r="AW814" s="82"/>
      <c r="AX814" s="82"/>
      <c r="AY814" s="82"/>
      <c r="AZ814" s="82"/>
      <c r="BA814" s="82"/>
      <c r="BB814" s="82"/>
      <c r="BC814" s="82"/>
    </row>
    <row r="815" customFormat="false" ht="27.75" hidden="false" customHeight="true" outlineLevel="0" collapsed="false">
      <c r="B815" s="81" t="n">
        <v>3</v>
      </c>
      <c r="C815" s="81"/>
      <c r="D815" s="83"/>
      <c r="E815" s="83"/>
      <c r="F815" s="83"/>
      <c r="G815" s="83"/>
      <c r="H815" s="83"/>
      <c r="I815" s="83"/>
      <c r="J815" s="83"/>
      <c r="K815" s="83"/>
      <c r="L815" s="83"/>
      <c r="M815" s="83"/>
      <c r="N815" s="83"/>
      <c r="O815" s="83"/>
      <c r="P815" s="83"/>
      <c r="Q815" s="83"/>
      <c r="R815" s="83"/>
      <c r="S815" s="83"/>
      <c r="T815" s="83"/>
      <c r="U815" s="83"/>
      <c r="V815" s="83"/>
      <c r="W815" s="83"/>
      <c r="X815" s="83"/>
      <c r="Y815" s="83"/>
      <c r="Z815" s="83"/>
      <c r="AA815" s="83"/>
      <c r="AB815" s="83"/>
      <c r="AC815" s="83"/>
      <c r="AD815" s="83"/>
      <c r="AE815" s="83"/>
      <c r="AF815" s="83"/>
      <c r="AG815" s="83"/>
      <c r="AH815" s="83"/>
      <c r="AI815" s="83"/>
      <c r="AJ815" s="83"/>
      <c r="AK815" s="83"/>
      <c r="AL815" s="83"/>
      <c r="AM815" s="83"/>
      <c r="AN815" s="83"/>
      <c r="AO815" s="83"/>
      <c r="AP815" s="83"/>
      <c r="AQ815" s="83"/>
      <c r="AR815" s="83"/>
      <c r="AS815" s="83"/>
      <c r="AT815" s="83"/>
      <c r="AU815" s="83"/>
      <c r="AV815" s="82"/>
      <c r="AW815" s="82"/>
      <c r="AX815" s="82"/>
      <c r="AY815" s="82"/>
      <c r="AZ815" s="82"/>
      <c r="BA815" s="82"/>
      <c r="BB815" s="82"/>
      <c r="BC815" s="82"/>
    </row>
    <row r="816" customFormat="false" ht="27.75" hidden="false" customHeight="true" outlineLevel="0" collapsed="false">
      <c r="B816" s="81" t="n">
        <v>4</v>
      </c>
      <c r="C816" s="81"/>
      <c r="D816" s="83"/>
      <c r="E816" s="83"/>
      <c r="F816" s="83"/>
      <c r="G816" s="83"/>
      <c r="H816" s="83"/>
      <c r="I816" s="83"/>
      <c r="J816" s="83"/>
      <c r="K816" s="83"/>
      <c r="L816" s="83"/>
      <c r="M816" s="83"/>
      <c r="N816" s="83"/>
      <c r="O816" s="83"/>
      <c r="P816" s="83"/>
      <c r="Q816" s="83"/>
      <c r="R816" s="83"/>
      <c r="S816" s="83"/>
      <c r="T816" s="83"/>
      <c r="U816" s="83"/>
      <c r="V816" s="83"/>
      <c r="W816" s="83"/>
      <c r="X816" s="83"/>
      <c r="Y816" s="83"/>
      <c r="Z816" s="83"/>
      <c r="AA816" s="83"/>
      <c r="AB816" s="83"/>
      <c r="AC816" s="83"/>
      <c r="AD816" s="83"/>
      <c r="AE816" s="83"/>
      <c r="AF816" s="83"/>
      <c r="AG816" s="83"/>
      <c r="AH816" s="83"/>
      <c r="AI816" s="83"/>
      <c r="AJ816" s="83"/>
      <c r="AK816" s="83"/>
      <c r="AL816" s="83"/>
      <c r="AM816" s="83"/>
      <c r="AN816" s="83"/>
      <c r="AO816" s="83"/>
      <c r="AP816" s="83"/>
      <c r="AQ816" s="83"/>
      <c r="AR816" s="83"/>
      <c r="AS816" s="83"/>
      <c r="AT816" s="83"/>
      <c r="AU816" s="83"/>
      <c r="AV816" s="82"/>
      <c r="AW816" s="82"/>
      <c r="AX816" s="82"/>
      <c r="AY816" s="82"/>
      <c r="AZ816" s="82"/>
      <c r="BA816" s="82"/>
      <c r="BB816" s="82"/>
      <c r="BC816" s="82"/>
    </row>
    <row r="817" customFormat="false" ht="27.75" hidden="false" customHeight="true" outlineLevel="0" collapsed="false">
      <c r="B817" s="81" t="n">
        <v>5</v>
      </c>
      <c r="C817" s="81"/>
      <c r="D817" s="83"/>
      <c r="E817" s="83"/>
      <c r="F817" s="83"/>
      <c r="G817" s="83"/>
      <c r="H817" s="83"/>
      <c r="I817" s="83"/>
      <c r="J817" s="83"/>
      <c r="K817" s="83"/>
      <c r="L817" s="83"/>
      <c r="M817" s="83"/>
      <c r="N817" s="83"/>
      <c r="O817" s="83"/>
      <c r="P817" s="83"/>
      <c r="Q817" s="83"/>
      <c r="R817" s="83"/>
      <c r="S817" s="83"/>
      <c r="T817" s="83"/>
      <c r="U817" s="83"/>
      <c r="V817" s="83"/>
      <c r="W817" s="83"/>
      <c r="X817" s="83"/>
      <c r="Y817" s="83"/>
      <c r="Z817" s="83"/>
      <c r="AA817" s="83"/>
      <c r="AB817" s="83"/>
      <c r="AC817" s="83"/>
      <c r="AD817" s="83"/>
      <c r="AE817" s="83"/>
      <c r="AF817" s="83"/>
      <c r="AG817" s="83"/>
      <c r="AH817" s="83"/>
      <c r="AI817" s="83"/>
      <c r="AJ817" s="83"/>
      <c r="AK817" s="83"/>
      <c r="AL817" s="83"/>
      <c r="AM817" s="83"/>
      <c r="AN817" s="83"/>
      <c r="AO817" s="83"/>
      <c r="AP817" s="83"/>
      <c r="AQ817" s="83"/>
      <c r="AR817" s="83"/>
      <c r="AS817" s="83"/>
      <c r="AT817" s="83"/>
      <c r="AU817" s="83"/>
      <c r="AV817" s="82"/>
      <c r="AW817" s="82"/>
      <c r="AX817" s="82"/>
      <c r="AY817" s="82"/>
      <c r="AZ817" s="82"/>
      <c r="BA817" s="82"/>
      <c r="BB817" s="82"/>
      <c r="BC817" s="82"/>
    </row>
    <row r="818" customFormat="false" ht="27.75" hidden="false" customHeight="true" outlineLevel="0" collapsed="false">
      <c r="B818" s="81" t="n">
        <v>6</v>
      </c>
      <c r="C818" s="81"/>
      <c r="D818" s="83"/>
      <c r="E818" s="83"/>
      <c r="F818" s="83"/>
      <c r="G818" s="83"/>
      <c r="H818" s="83"/>
      <c r="I818" s="83"/>
      <c r="J818" s="83"/>
      <c r="K818" s="83"/>
      <c r="L818" s="83"/>
      <c r="M818" s="83"/>
      <c r="N818" s="83"/>
      <c r="O818" s="83"/>
      <c r="P818" s="83"/>
      <c r="Q818" s="83"/>
      <c r="R818" s="83"/>
      <c r="S818" s="83"/>
      <c r="T818" s="83"/>
      <c r="U818" s="83"/>
      <c r="V818" s="83"/>
      <c r="W818" s="83"/>
      <c r="X818" s="83"/>
      <c r="Y818" s="83"/>
      <c r="Z818" s="83"/>
      <c r="AA818" s="83"/>
      <c r="AB818" s="83"/>
      <c r="AC818" s="83"/>
      <c r="AD818" s="83"/>
      <c r="AE818" s="83"/>
      <c r="AF818" s="83"/>
      <c r="AG818" s="83"/>
      <c r="AH818" s="83"/>
      <c r="AI818" s="83"/>
      <c r="AJ818" s="83"/>
      <c r="AK818" s="83"/>
      <c r="AL818" s="83"/>
      <c r="AM818" s="83"/>
      <c r="AN818" s="83"/>
      <c r="AO818" s="83"/>
      <c r="AP818" s="83"/>
      <c r="AQ818" s="83"/>
      <c r="AR818" s="83"/>
      <c r="AS818" s="83"/>
      <c r="AT818" s="83"/>
      <c r="AU818" s="83"/>
      <c r="AV818" s="82"/>
      <c r="AW818" s="82"/>
      <c r="AX818" s="82"/>
      <c r="AY818" s="82"/>
      <c r="AZ818" s="82"/>
      <c r="BA818" s="82"/>
      <c r="BB818" s="82"/>
      <c r="BC818" s="82"/>
    </row>
    <row r="819" customFormat="false" ht="9.75" hidden="false" customHeight="true" outlineLevel="0" collapsed="false"/>
    <row r="820" customFormat="false" ht="21.75" hidden="false" customHeight="true" outlineLevel="0" collapsed="false">
      <c r="B820" s="6"/>
      <c r="C820" s="19" t="s">
        <v>190</v>
      </c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59" t="s">
        <v>191</v>
      </c>
      <c r="AM820" s="59"/>
      <c r="AN820" s="59"/>
      <c r="AO820" s="59"/>
      <c r="AP820" s="59"/>
      <c r="AQ820" s="59"/>
      <c r="AR820" s="59"/>
      <c r="AS820" s="59"/>
      <c r="AT820" s="59"/>
      <c r="AU820" s="59"/>
      <c r="AV820" s="59"/>
      <c r="AW820" s="59"/>
      <c r="AX820" s="59"/>
      <c r="AY820" s="59"/>
      <c r="AZ820" s="59"/>
      <c r="BA820" s="59"/>
      <c r="BB820" s="59"/>
      <c r="BC820" s="59"/>
    </row>
    <row r="821" customFormat="false" ht="27.75" hidden="false" customHeight="true" outlineLevel="0" collapsed="false">
      <c r="B821" s="79" t="s">
        <v>124</v>
      </c>
      <c r="C821" s="79"/>
      <c r="D821" s="80" t="s">
        <v>126</v>
      </c>
      <c r="E821" s="80"/>
      <c r="F821" s="80"/>
      <c r="G821" s="80"/>
      <c r="H821" s="80"/>
      <c r="I821" s="80"/>
      <c r="J821" s="80"/>
      <c r="K821" s="80"/>
      <c r="L821" s="80"/>
      <c r="M821" s="80" t="s">
        <v>149</v>
      </c>
      <c r="N821" s="80"/>
      <c r="O821" s="80"/>
      <c r="P821" s="80"/>
      <c r="Q821" s="80"/>
      <c r="R821" s="80"/>
      <c r="S821" s="80"/>
      <c r="T821" s="80"/>
      <c r="U821" s="80"/>
      <c r="V821" s="80"/>
      <c r="W821" s="80"/>
      <c r="X821" s="80"/>
      <c r="Y821" s="80" t="s">
        <v>192</v>
      </c>
      <c r="Z821" s="80"/>
      <c r="AA821" s="80"/>
      <c r="AB821" s="80"/>
      <c r="AC821" s="80"/>
      <c r="AD821" s="80"/>
      <c r="AE821" s="80"/>
      <c r="AF821" s="80"/>
      <c r="AG821" s="80"/>
      <c r="AH821" s="80"/>
      <c r="AI821" s="80"/>
      <c r="AJ821" s="80"/>
      <c r="AK821" s="80"/>
      <c r="AL821" s="80"/>
      <c r="AM821" s="80"/>
      <c r="AN821" s="80"/>
      <c r="AO821" s="80"/>
      <c r="AP821" s="80" t="s">
        <v>193</v>
      </c>
      <c r="AQ821" s="80"/>
      <c r="AR821" s="80"/>
      <c r="AS821" s="80"/>
      <c r="AT821" s="80"/>
      <c r="AU821" s="80"/>
      <c r="AV821" s="80"/>
      <c r="AW821" s="80"/>
      <c r="AX821" s="80"/>
      <c r="AY821" s="80"/>
      <c r="AZ821" s="80"/>
      <c r="BA821" s="80"/>
      <c r="BB821" s="80"/>
      <c r="BC821" s="80"/>
    </row>
    <row r="822" customFormat="false" ht="27.75" hidden="false" customHeight="true" outlineLevel="0" collapsed="false">
      <c r="B822" s="81" t="n">
        <v>1</v>
      </c>
      <c r="C822" s="81"/>
      <c r="D822" s="83"/>
      <c r="E822" s="83"/>
      <c r="F822" s="83"/>
      <c r="G822" s="83"/>
      <c r="H822" s="83"/>
      <c r="I822" s="83"/>
      <c r="J822" s="83"/>
      <c r="K822" s="83"/>
      <c r="L822" s="83"/>
      <c r="M822" s="83"/>
      <c r="N822" s="83"/>
      <c r="O822" s="83"/>
      <c r="P822" s="83"/>
      <c r="Q822" s="83"/>
      <c r="R822" s="83"/>
      <c r="S822" s="83"/>
      <c r="T822" s="83"/>
      <c r="U822" s="83"/>
      <c r="V822" s="83"/>
      <c r="W822" s="83"/>
      <c r="X822" s="83"/>
      <c r="Y822" s="83"/>
      <c r="Z822" s="83"/>
      <c r="AA822" s="83"/>
      <c r="AB822" s="83"/>
      <c r="AC822" s="83"/>
      <c r="AD822" s="83"/>
      <c r="AE822" s="83"/>
      <c r="AF822" s="83"/>
      <c r="AG822" s="83"/>
      <c r="AH822" s="83"/>
      <c r="AI822" s="83"/>
      <c r="AJ822" s="83"/>
      <c r="AK822" s="83"/>
      <c r="AL822" s="83"/>
      <c r="AM822" s="83"/>
      <c r="AN822" s="83"/>
      <c r="AO822" s="83"/>
      <c r="AP822" s="83"/>
      <c r="AQ822" s="83"/>
      <c r="AR822" s="83"/>
      <c r="AS822" s="83"/>
      <c r="AT822" s="83"/>
      <c r="AU822" s="83"/>
      <c r="AV822" s="83"/>
      <c r="AW822" s="83"/>
      <c r="AX822" s="83"/>
      <c r="AY822" s="83"/>
      <c r="AZ822" s="83"/>
      <c r="BA822" s="83"/>
      <c r="BB822" s="83"/>
      <c r="BC822" s="83"/>
    </row>
    <row r="823" customFormat="false" ht="27.75" hidden="false" customHeight="true" outlineLevel="0" collapsed="false">
      <c r="B823" s="81" t="n">
        <v>2</v>
      </c>
      <c r="C823" s="81"/>
      <c r="D823" s="83"/>
      <c r="E823" s="83"/>
      <c r="F823" s="83"/>
      <c r="G823" s="83"/>
      <c r="H823" s="83"/>
      <c r="I823" s="83"/>
      <c r="J823" s="83"/>
      <c r="K823" s="83"/>
      <c r="L823" s="83"/>
      <c r="M823" s="83"/>
      <c r="N823" s="83"/>
      <c r="O823" s="83"/>
      <c r="P823" s="83"/>
      <c r="Q823" s="83"/>
      <c r="R823" s="83"/>
      <c r="S823" s="83"/>
      <c r="T823" s="83"/>
      <c r="U823" s="83"/>
      <c r="V823" s="83"/>
      <c r="W823" s="83"/>
      <c r="X823" s="83"/>
      <c r="Y823" s="83"/>
      <c r="Z823" s="83"/>
      <c r="AA823" s="83"/>
      <c r="AB823" s="83"/>
      <c r="AC823" s="83"/>
      <c r="AD823" s="83"/>
      <c r="AE823" s="83"/>
      <c r="AF823" s="83"/>
      <c r="AG823" s="83"/>
      <c r="AH823" s="83"/>
      <c r="AI823" s="83"/>
      <c r="AJ823" s="83"/>
      <c r="AK823" s="83"/>
      <c r="AL823" s="83"/>
      <c r="AM823" s="83"/>
      <c r="AN823" s="83"/>
      <c r="AO823" s="83"/>
      <c r="AP823" s="83"/>
      <c r="AQ823" s="83"/>
      <c r="AR823" s="83"/>
      <c r="AS823" s="83"/>
      <c r="AT823" s="83"/>
      <c r="AU823" s="83"/>
      <c r="AV823" s="83"/>
      <c r="AW823" s="83"/>
      <c r="AX823" s="83"/>
      <c r="AY823" s="83"/>
      <c r="AZ823" s="83"/>
      <c r="BA823" s="83"/>
      <c r="BB823" s="83"/>
      <c r="BC823" s="83"/>
    </row>
    <row r="824" customFormat="false" ht="27.75" hidden="false" customHeight="true" outlineLevel="0" collapsed="false">
      <c r="B824" s="81" t="n">
        <v>3</v>
      </c>
      <c r="C824" s="81"/>
      <c r="D824" s="83"/>
      <c r="E824" s="83"/>
      <c r="F824" s="83"/>
      <c r="G824" s="83"/>
      <c r="H824" s="83"/>
      <c r="I824" s="83"/>
      <c r="J824" s="83"/>
      <c r="K824" s="83"/>
      <c r="L824" s="83"/>
      <c r="M824" s="83"/>
      <c r="N824" s="83"/>
      <c r="O824" s="83"/>
      <c r="P824" s="83"/>
      <c r="Q824" s="83"/>
      <c r="R824" s="83"/>
      <c r="S824" s="83"/>
      <c r="T824" s="83"/>
      <c r="U824" s="83"/>
      <c r="V824" s="83"/>
      <c r="W824" s="83"/>
      <c r="X824" s="83"/>
      <c r="Y824" s="83"/>
      <c r="Z824" s="83"/>
      <c r="AA824" s="83"/>
      <c r="AB824" s="83"/>
      <c r="AC824" s="83"/>
      <c r="AD824" s="83"/>
      <c r="AE824" s="83"/>
      <c r="AF824" s="83"/>
      <c r="AG824" s="83"/>
      <c r="AH824" s="83"/>
      <c r="AI824" s="83"/>
      <c r="AJ824" s="83"/>
      <c r="AK824" s="83"/>
      <c r="AL824" s="83"/>
      <c r="AM824" s="83"/>
      <c r="AN824" s="83"/>
      <c r="AO824" s="83"/>
      <c r="AP824" s="83"/>
      <c r="AQ824" s="83"/>
      <c r="AR824" s="83"/>
      <c r="AS824" s="83"/>
      <c r="AT824" s="83"/>
      <c r="AU824" s="83"/>
      <c r="AV824" s="83"/>
      <c r="AW824" s="83"/>
      <c r="AX824" s="83"/>
      <c r="AY824" s="83"/>
      <c r="AZ824" s="83"/>
      <c r="BA824" s="83"/>
      <c r="BB824" s="83"/>
      <c r="BC824" s="83"/>
    </row>
    <row r="825" customFormat="false" ht="27.75" hidden="false" customHeight="true" outlineLevel="0" collapsed="false">
      <c r="B825" s="81" t="n">
        <v>4</v>
      </c>
      <c r="C825" s="81"/>
      <c r="D825" s="83"/>
      <c r="E825" s="83"/>
      <c r="F825" s="83"/>
      <c r="G825" s="83"/>
      <c r="H825" s="83"/>
      <c r="I825" s="83"/>
      <c r="J825" s="83"/>
      <c r="K825" s="83"/>
      <c r="L825" s="83"/>
      <c r="M825" s="83"/>
      <c r="N825" s="83"/>
      <c r="O825" s="83"/>
      <c r="P825" s="83"/>
      <c r="Q825" s="83"/>
      <c r="R825" s="83"/>
      <c r="S825" s="83"/>
      <c r="T825" s="83"/>
      <c r="U825" s="83"/>
      <c r="V825" s="83"/>
      <c r="W825" s="83"/>
      <c r="X825" s="83"/>
      <c r="Y825" s="83"/>
      <c r="Z825" s="83"/>
      <c r="AA825" s="83"/>
      <c r="AB825" s="83"/>
      <c r="AC825" s="83"/>
      <c r="AD825" s="83"/>
      <c r="AE825" s="83"/>
      <c r="AF825" s="83"/>
      <c r="AG825" s="83"/>
      <c r="AH825" s="83"/>
      <c r="AI825" s="83"/>
      <c r="AJ825" s="83"/>
      <c r="AK825" s="83"/>
      <c r="AL825" s="83"/>
      <c r="AM825" s="83"/>
      <c r="AN825" s="83"/>
      <c r="AO825" s="83"/>
      <c r="AP825" s="83"/>
      <c r="AQ825" s="83"/>
      <c r="AR825" s="83"/>
      <c r="AS825" s="83"/>
      <c r="AT825" s="83"/>
      <c r="AU825" s="83"/>
      <c r="AV825" s="83"/>
      <c r="AW825" s="83"/>
      <c r="AX825" s="83"/>
      <c r="AY825" s="83"/>
      <c r="AZ825" s="83"/>
      <c r="BA825" s="83"/>
      <c r="BB825" s="83"/>
      <c r="BC825" s="83"/>
    </row>
    <row r="826" customFormat="false" ht="27.75" hidden="false" customHeight="true" outlineLevel="0" collapsed="false">
      <c r="B826" s="81" t="n">
        <v>5</v>
      </c>
      <c r="C826" s="81"/>
      <c r="D826" s="83"/>
      <c r="E826" s="83"/>
      <c r="F826" s="83"/>
      <c r="G826" s="83"/>
      <c r="H826" s="83"/>
      <c r="I826" s="83"/>
      <c r="J826" s="83"/>
      <c r="K826" s="83"/>
      <c r="L826" s="83"/>
      <c r="M826" s="83"/>
      <c r="N826" s="83"/>
      <c r="O826" s="83"/>
      <c r="P826" s="83"/>
      <c r="Q826" s="83"/>
      <c r="R826" s="83"/>
      <c r="S826" s="83"/>
      <c r="T826" s="83"/>
      <c r="U826" s="83"/>
      <c r="V826" s="83"/>
      <c r="W826" s="83"/>
      <c r="X826" s="83"/>
      <c r="Y826" s="83"/>
      <c r="Z826" s="83"/>
      <c r="AA826" s="83"/>
      <c r="AB826" s="83"/>
      <c r="AC826" s="83"/>
      <c r="AD826" s="83"/>
      <c r="AE826" s="83"/>
      <c r="AF826" s="83"/>
      <c r="AG826" s="83"/>
      <c r="AH826" s="83"/>
      <c r="AI826" s="83"/>
      <c r="AJ826" s="83"/>
      <c r="AK826" s="83"/>
      <c r="AL826" s="83"/>
      <c r="AM826" s="83"/>
      <c r="AN826" s="83"/>
      <c r="AO826" s="83"/>
      <c r="AP826" s="83"/>
      <c r="AQ826" s="83"/>
      <c r="AR826" s="83"/>
      <c r="AS826" s="83"/>
      <c r="AT826" s="83"/>
      <c r="AU826" s="83"/>
      <c r="AV826" s="83"/>
      <c r="AW826" s="83"/>
      <c r="AX826" s="83"/>
      <c r="AY826" s="83"/>
      <c r="AZ826" s="83"/>
      <c r="BA826" s="83"/>
      <c r="BB826" s="83"/>
      <c r="BC826" s="83"/>
    </row>
    <row r="827" customFormat="false" ht="103.5" hidden="false" customHeight="true" outlineLevel="0" collapsed="false"/>
    <row r="828" customFormat="false" ht="18" hidden="false" customHeight="true" outlineLevel="0" collapsed="false">
      <c r="B828" s="75" t="s">
        <v>134</v>
      </c>
      <c r="C828" s="75"/>
      <c r="D828" s="75"/>
      <c r="E828" s="75"/>
      <c r="F828" s="75"/>
      <c r="G828" s="75"/>
      <c r="H828" s="75"/>
      <c r="I828" s="75"/>
      <c r="J828" s="75"/>
      <c r="K828" s="75"/>
      <c r="L828" s="75"/>
      <c r="M828" s="75"/>
      <c r="N828" s="75"/>
      <c r="O828" s="75"/>
      <c r="P828" s="75"/>
      <c r="Q828" s="75"/>
      <c r="R828" s="75"/>
      <c r="S828" s="75"/>
      <c r="T828" s="75"/>
      <c r="U828" s="75"/>
      <c r="V828" s="75"/>
      <c r="W828" s="75"/>
      <c r="X828" s="75"/>
      <c r="Y828" s="75"/>
      <c r="Z828" s="75"/>
      <c r="AA828" s="75"/>
      <c r="AB828" s="76" t="s">
        <v>194</v>
      </c>
      <c r="AC828" s="76"/>
      <c r="AD828" s="76"/>
      <c r="AE828" s="76"/>
      <c r="AF828" s="76"/>
      <c r="AG828" s="76"/>
      <c r="AH828" s="76"/>
      <c r="AI828" s="76"/>
      <c r="AJ828" s="76"/>
      <c r="AK828" s="76"/>
      <c r="AL828" s="76"/>
      <c r="AM828" s="76"/>
      <c r="AN828" s="76"/>
      <c r="AO828" s="76"/>
      <c r="AP828" s="76"/>
      <c r="AQ828" s="76"/>
      <c r="AR828" s="76"/>
      <c r="AS828" s="76"/>
      <c r="AT828" s="76"/>
      <c r="AU828" s="76"/>
      <c r="AV828" s="76"/>
      <c r="AW828" s="76"/>
      <c r="AX828" s="76"/>
      <c r="AY828" s="76"/>
      <c r="AZ828" s="76"/>
      <c r="BA828" s="76"/>
      <c r="BB828" s="76"/>
      <c r="BC828" s="76"/>
    </row>
    <row r="829" customFormat="false" ht="7.5" hidden="false" customHeight="true" outlineLevel="0" collapsed="false"/>
    <row r="830" customFormat="false" ht="24" hidden="false" customHeight="true" outlineLevel="0" collapsed="false">
      <c r="B830" s="86" t="s">
        <v>115</v>
      </c>
      <c r="C830" s="86"/>
      <c r="D830" s="86"/>
      <c r="E830" s="86"/>
      <c r="F830" s="86"/>
      <c r="H830" s="87" t="s">
        <v>116</v>
      </c>
      <c r="I830" s="87"/>
      <c r="J830" s="87"/>
      <c r="K830" s="87"/>
      <c r="L830" s="87"/>
      <c r="M830" s="87"/>
      <c r="N830" s="87"/>
      <c r="O830" s="87"/>
      <c r="P830" s="87"/>
      <c r="AA830" s="88" t="s">
        <v>136</v>
      </c>
      <c r="AB830" s="88"/>
      <c r="AC830" s="88"/>
      <c r="AD830" s="88"/>
      <c r="AE830" s="88"/>
      <c r="AF830" s="89" t="str">
        <f aca="false">Dashboard!$C$6</f>
        <v>Bindhya TB</v>
      </c>
      <c r="AG830" s="89"/>
      <c r="AH830" s="89"/>
      <c r="AI830" s="89"/>
      <c r="AJ830" s="89"/>
      <c r="AK830" s="89"/>
      <c r="AL830" s="89"/>
      <c r="AM830" s="89"/>
      <c r="AN830" s="89"/>
      <c r="AO830" s="89"/>
      <c r="AP830" s="89"/>
      <c r="AR830" s="88" t="s">
        <v>137</v>
      </c>
      <c r="AS830" s="88"/>
      <c r="AT830" s="89" t="str">
        <f aca="false">TEXT(Cal!H6,"dd mmm")&amp;" to "&amp;TEXT(Cal!I6,"dd mmm yy")</f>
        <v>26 Oct to 31 Oct 26</v>
      </c>
      <c r="AU830" s="89"/>
      <c r="AV830" s="89"/>
      <c r="AW830" s="89"/>
      <c r="AX830" s="89"/>
      <c r="AY830" s="89"/>
      <c r="AZ830" s="89"/>
      <c r="BA830" s="89"/>
      <c r="BB830" s="89"/>
      <c r="BC830" s="89"/>
    </row>
    <row r="831" customFormat="false" ht="3" hidden="false" customHeight="true" outlineLevel="0" collapsed="false"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</row>
    <row r="832" customFormat="false" ht="9.75" hidden="false" customHeight="true" outlineLevel="0" collapsed="false"/>
    <row r="833" customFormat="false" ht="21.75" hidden="false" customHeight="true" outlineLevel="0" collapsed="false">
      <c r="B833" s="6"/>
      <c r="C833" s="19" t="s">
        <v>195</v>
      </c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59" t="s">
        <v>196</v>
      </c>
      <c r="AM833" s="59"/>
      <c r="AN833" s="59"/>
      <c r="AO833" s="59"/>
      <c r="AP833" s="59"/>
      <c r="AQ833" s="59"/>
      <c r="AR833" s="59"/>
      <c r="AS833" s="59"/>
      <c r="AT833" s="59"/>
      <c r="AU833" s="59"/>
      <c r="AV833" s="59"/>
      <c r="AW833" s="59"/>
      <c r="AX833" s="59"/>
      <c r="AY833" s="59"/>
      <c r="AZ833" s="59"/>
      <c r="BA833" s="59"/>
      <c r="BB833" s="59"/>
      <c r="BC833" s="59"/>
    </row>
    <row r="834" customFormat="false" ht="27.75" hidden="false" customHeight="true" outlineLevel="0" collapsed="false">
      <c r="B834" s="79" t="s">
        <v>124</v>
      </c>
      <c r="C834" s="79"/>
      <c r="D834" s="80" t="s">
        <v>140</v>
      </c>
      <c r="E834" s="80"/>
      <c r="F834" s="80"/>
      <c r="G834" s="80"/>
      <c r="H834" s="80" t="s">
        <v>141</v>
      </c>
      <c r="I834" s="80"/>
      <c r="J834" s="80"/>
      <c r="K834" s="80"/>
      <c r="L834" s="80"/>
      <c r="M834" s="80"/>
      <c r="N834" s="80"/>
      <c r="O834" s="80"/>
      <c r="P834" s="80"/>
      <c r="Q834" s="80" t="s">
        <v>197</v>
      </c>
      <c r="R834" s="80"/>
      <c r="S834" s="80"/>
      <c r="T834" s="80"/>
      <c r="U834" s="80"/>
      <c r="V834" s="80"/>
      <c r="W834" s="80" t="s">
        <v>142</v>
      </c>
      <c r="X834" s="80"/>
      <c r="Y834" s="80"/>
      <c r="Z834" s="80"/>
      <c r="AA834" s="80"/>
      <c r="AB834" s="80"/>
      <c r="AC834" s="80"/>
      <c r="AD834" s="80"/>
      <c r="AE834" s="80"/>
      <c r="AF834" s="80"/>
      <c r="AG834" s="80"/>
      <c r="AH834" s="80"/>
      <c r="AI834" s="80"/>
      <c r="AJ834" s="80"/>
      <c r="AK834" s="80"/>
      <c r="AL834" s="80"/>
      <c r="AM834" s="80"/>
      <c r="AN834" s="80"/>
      <c r="AO834" s="80"/>
      <c r="AP834" s="80"/>
      <c r="AQ834" s="80"/>
      <c r="AR834" s="80"/>
      <c r="AS834" s="80"/>
      <c r="AT834" s="80"/>
      <c r="AU834" s="80"/>
      <c r="AV834" s="80"/>
      <c r="AW834" s="80"/>
      <c r="AX834" s="80"/>
      <c r="AY834" s="80"/>
      <c r="AZ834" s="80"/>
      <c r="BA834" s="80"/>
      <c r="BB834" s="80"/>
      <c r="BC834" s="80"/>
    </row>
    <row r="835" customFormat="false" ht="33.75" hidden="false" customHeight="true" outlineLevel="0" collapsed="false">
      <c r="B835" s="81" t="n">
        <v>1</v>
      </c>
      <c r="C835" s="81"/>
      <c r="D835" s="82"/>
      <c r="E835" s="82"/>
      <c r="F835" s="82"/>
      <c r="G835" s="82"/>
      <c r="H835" s="83"/>
      <c r="I835" s="83"/>
      <c r="J835" s="83"/>
      <c r="K835" s="83"/>
      <c r="L835" s="83"/>
      <c r="M835" s="83"/>
      <c r="N835" s="83"/>
      <c r="O835" s="83"/>
      <c r="P835" s="83"/>
      <c r="Q835" s="83"/>
      <c r="R835" s="83"/>
      <c r="S835" s="83"/>
      <c r="T835" s="83"/>
      <c r="U835" s="83"/>
      <c r="V835" s="83"/>
      <c r="W835" s="83"/>
      <c r="X835" s="83"/>
      <c r="Y835" s="83"/>
      <c r="Z835" s="83"/>
      <c r="AA835" s="83"/>
      <c r="AB835" s="83"/>
      <c r="AC835" s="83"/>
      <c r="AD835" s="83"/>
      <c r="AE835" s="83"/>
      <c r="AF835" s="83"/>
      <c r="AG835" s="83"/>
      <c r="AH835" s="83"/>
      <c r="AI835" s="83"/>
      <c r="AJ835" s="83"/>
      <c r="AK835" s="83"/>
      <c r="AL835" s="83"/>
      <c r="AM835" s="83"/>
      <c r="AN835" s="83"/>
      <c r="AO835" s="83"/>
      <c r="AP835" s="83"/>
      <c r="AQ835" s="83"/>
      <c r="AR835" s="83"/>
      <c r="AS835" s="83"/>
      <c r="AT835" s="83"/>
      <c r="AU835" s="83"/>
      <c r="AV835" s="83"/>
      <c r="AW835" s="83"/>
      <c r="AX835" s="83"/>
      <c r="AY835" s="83"/>
      <c r="AZ835" s="83"/>
      <c r="BA835" s="83"/>
      <c r="BB835" s="83"/>
      <c r="BC835" s="83"/>
    </row>
    <row r="836" customFormat="false" ht="33.75" hidden="false" customHeight="true" outlineLevel="0" collapsed="false">
      <c r="B836" s="81" t="n">
        <v>2</v>
      </c>
      <c r="C836" s="81"/>
      <c r="D836" s="82"/>
      <c r="E836" s="82"/>
      <c r="F836" s="82"/>
      <c r="G836" s="82"/>
      <c r="H836" s="83"/>
      <c r="I836" s="83"/>
      <c r="J836" s="83"/>
      <c r="K836" s="83"/>
      <c r="L836" s="83"/>
      <c r="M836" s="83"/>
      <c r="N836" s="83"/>
      <c r="O836" s="83"/>
      <c r="P836" s="83"/>
      <c r="Q836" s="83"/>
      <c r="R836" s="83"/>
      <c r="S836" s="83"/>
      <c r="T836" s="83"/>
      <c r="U836" s="83"/>
      <c r="V836" s="83"/>
      <c r="W836" s="83"/>
      <c r="X836" s="83"/>
      <c r="Y836" s="83"/>
      <c r="Z836" s="83"/>
      <c r="AA836" s="83"/>
      <c r="AB836" s="83"/>
      <c r="AC836" s="83"/>
      <c r="AD836" s="83"/>
      <c r="AE836" s="83"/>
      <c r="AF836" s="83"/>
      <c r="AG836" s="83"/>
      <c r="AH836" s="83"/>
      <c r="AI836" s="83"/>
      <c r="AJ836" s="83"/>
      <c r="AK836" s="83"/>
      <c r="AL836" s="83"/>
      <c r="AM836" s="83"/>
      <c r="AN836" s="83"/>
      <c r="AO836" s="83"/>
      <c r="AP836" s="83"/>
      <c r="AQ836" s="83"/>
      <c r="AR836" s="83"/>
      <c r="AS836" s="83"/>
      <c r="AT836" s="83"/>
      <c r="AU836" s="83"/>
      <c r="AV836" s="83"/>
      <c r="AW836" s="83"/>
      <c r="AX836" s="83"/>
      <c r="AY836" s="83"/>
      <c r="AZ836" s="83"/>
      <c r="BA836" s="83"/>
      <c r="BB836" s="83"/>
      <c r="BC836" s="83"/>
    </row>
    <row r="837" customFormat="false" ht="33.75" hidden="false" customHeight="true" outlineLevel="0" collapsed="false">
      <c r="B837" s="81" t="n">
        <v>3</v>
      </c>
      <c r="C837" s="81"/>
      <c r="D837" s="82"/>
      <c r="E837" s="82"/>
      <c r="F837" s="82"/>
      <c r="G837" s="82"/>
      <c r="H837" s="83"/>
      <c r="I837" s="83"/>
      <c r="J837" s="83"/>
      <c r="K837" s="83"/>
      <c r="L837" s="83"/>
      <c r="M837" s="83"/>
      <c r="N837" s="83"/>
      <c r="O837" s="83"/>
      <c r="P837" s="83"/>
      <c r="Q837" s="83"/>
      <c r="R837" s="83"/>
      <c r="S837" s="83"/>
      <c r="T837" s="83"/>
      <c r="U837" s="83"/>
      <c r="V837" s="83"/>
      <c r="W837" s="83"/>
      <c r="X837" s="83"/>
      <c r="Y837" s="83"/>
      <c r="Z837" s="83"/>
      <c r="AA837" s="83"/>
      <c r="AB837" s="83"/>
      <c r="AC837" s="83"/>
      <c r="AD837" s="83"/>
      <c r="AE837" s="83"/>
      <c r="AF837" s="83"/>
      <c r="AG837" s="83"/>
      <c r="AH837" s="83"/>
      <c r="AI837" s="83"/>
      <c r="AJ837" s="83"/>
      <c r="AK837" s="83"/>
      <c r="AL837" s="83"/>
      <c r="AM837" s="83"/>
      <c r="AN837" s="83"/>
      <c r="AO837" s="83"/>
      <c r="AP837" s="83"/>
      <c r="AQ837" s="83"/>
      <c r="AR837" s="83"/>
      <c r="AS837" s="83"/>
      <c r="AT837" s="83"/>
      <c r="AU837" s="83"/>
      <c r="AV837" s="83"/>
      <c r="AW837" s="83"/>
      <c r="AX837" s="83"/>
      <c r="AY837" s="83"/>
      <c r="AZ837" s="83"/>
      <c r="BA837" s="83"/>
      <c r="BB837" s="83"/>
      <c r="BC837" s="83"/>
    </row>
    <row r="838" customFormat="false" ht="33.75" hidden="false" customHeight="true" outlineLevel="0" collapsed="false">
      <c r="B838" s="81" t="n">
        <v>4</v>
      </c>
      <c r="C838" s="81"/>
      <c r="D838" s="82"/>
      <c r="E838" s="82"/>
      <c r="F838" s="82"/>
      <c r="G838" s="82"/>
      <c r="H838" s="83"/>
      <c r="I838" s="83"/>
      <c r="J838" s="83"/>
      <c r="K838" s="83"/>
      <c r="L838" s="83"/>
      <c r="M838" s="83"/>
      <c r="N838" s="83"/>
      <c r="O838" s="83"/>
      <c r="P838" s="83"/>
      <c r="Q838" s="83"/>
      <c r="R838" s="83"/>
      <c r="S838" s="83"/>
      <c r="T838" s="83"/>
      <c r="U838" s="83"/>
      <c r="V838" s="83"/>
      <c r="W838" s="83"/>
      <c r="X838" s="83"/>
      <c r="Y838" s="83"/>
      <c r="Z838" s="83"/>
      <c r="AA838" s="83"/>
      <c r="AB838" s="83"/>
      <c r="AC838" s="83"/>
      <c r="AD838" s="83"/>
      <c r="AE838" s="83"/>
      <c r="AF838" s="83"/>
      <c r="AG838" s="83"/>
      <c r="AH838" s="83"/>
      <c r="AI838" s="83"/>
      <c r="AJ838" s="83"/>
      <c r="AK838" s="83"/>
      <c r="AL838" s="83"/>
      <c r="AM838" s="83"/>
      <c r="AN838" s="83"/>
      <c r="AO838" s="83"/>
      <c r="AP838" s="83"/>
      <c r="AQ838" s="83"/>
      <c r="AR838" s="83"/>
      <c r="AS838" s="83"/>
      <c r="AT838" s="83"/>
      <c r="AU838" s="83"/>
      <c r="AV838" s="83"/>
      <c r="AW838" s="83"/>
      <c r="AX838" s="83"/>
      <c r="AY838" s="83"/>
      <c r="AZ838" s="83"/>
      <c r="BA838" s="83"/>
      <c r="BB838" s="83"/>
      <c r="BC838" s="83"/>
    </row>
    <row r="839" customFormat="false" ht="24" hidden="false" customHeight="true" outlineLevel="0" collapsed="false">
      <c r="B839" s="84" t="s">
        <v>132</v>
      </c>
      <c r="C839" s="84"/>
      <c r="E839" s="85" t="s">
        <v>198</v>
      </c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  <c r="AE839" s="85"/>
      <c r="AF839" s="85"/>
      <c r="AG839" s="85"/>
      <c r="AH839" s="85"/>
      <c r="AI839" s="85"/>
      <c r="AJ839" s="85"/>
      <c r="AK839" s="85"/>
      <c r="AL839" s="85"/>
      <c r="AM839" s="85"/>
      <c r="AN839" s="85"/>
      <c r="AO839" s="85"/>
      <c r="AP839" s="85"/>
      <c r="AQ839" s="85"/>
      <c r="AR839" s="85"/>
      <c r="AS839" s="85"/>
      <c r="AT839" s="85"/>
      <c r="AU839" s="85"/>
      <c r="AV839" s="85"/>
      <c r="AW839" s="85"/>
      <c r="AX839" s="85"/>
      <c r="AY839" s="85"/>
      <c r="AZ839" s="85"/>
      <c r="BA839" s="85"/>
      <c r="BB839" s="85"/>
      <c r="BC839" s="85"/>
    </row>
    <row r="840" customFormat="false" ht="9.75" hidden="false" customHeight="true" outlineLevel="0" collapsed="false"/>
    <row r="841" customFormat="false" ht="21.75" hidden="false" customHeight="true" outlineLevel="0" collapsed="false">
      <c r="B841" s="6"/>
      <c r="C841" s="19" t="s">
        <v>199</v>
      </c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59" t="s">
        <v>200</v>
      </c>
      <c r="AG841" s="59"/>
      <c r="AH841" s="59"/>
      <c r="AI841" s="59"/>
      <c r="AJ841" s="59"/>
      <c r="AK841" s="59"/>
      <c r="AL841" s="59"/>
      <c r="AM841" s="59"/>
      <c r="AN841" s="59"/>
      <c r="AO841" s="59"/>
      <c r="AP841" s="59"/>
      <c r="AQ841" s="59"/>
      <c r="AR841" s="59"/>
      <c r="AS841" s="59"/>
      <c r="AT841" s="59"/>
      <c r="AU841" s="59"/>
      <c r="AV841" s="59"/>
      <c r="AW841" s="59"/>
      <c r="AX841" s="59"/>
      <c r="AY841" s="59"/>
      <c r="AZ841" s="59"/>
      <c r="BA841" s="59"/>
      <c r="BB841" s="59"/>
      <c r="BC841" s="59"/>
    </row>
    <row r="842" customFormat="false" ht="19.5" hidden="false" customHeight="true" outlineLevel="0" collapsed="false">
      <c r="B842" s="60"/>
      <c r="C842" s="91" t="s">
        <v>89</v>
      </c>
      <c r="D842" s="91"/>
      <c r="E842" s="91"/>
      <c r="F842" s="91"/>
      <c r="G842" s="91"/>
      <c r="H842" s="91"/>
      <c r="I842" s="91"/>
      <c r="J842" s="91"/>
      <c r="K842" s="91"/>
      <c r="L842" s="91"/>
      <c r="M842" s="91"/>
      <c r="N842" s="92"/>
      <c r="P842" s="60"/>
      <c r="Q842" s="91" t="s">
        <v>201</v>
      </c>
      <c r="R842" s="91"/>
      <c r="S842" s="91"/>
      <c r="T842" s="91"/>
      <c r="U842" s="91"/>
      <c r="V842" s="91"/>
      <c r="W842" s="91"/>
      <c r="X842" s="91"/>
      <c r="Y842" s="91"/>
      <c r="Z842" s="91"/>
      <c r="AA842" s="91"/>
      <c r="AB842" s="92"/>
      <c r="AD842" s="60"/>
      <c r="AE842" s="91" t="s">
        <v>100</v>
      </c>
      <c r="AF842" s="91"/>
      <c r="AG842" s="91"/>
      <c r="AH842" s="91"/>
      <c r="AI842" s="91"/>
      <c r="AJ842" s="91"/>
      <c r="AK842" s="91"/>
      <c r="AL842" s="91"/>
      <c r="AM842" s="91"/>
      <c r="AN842" s="91"/>
      <c r="AO842" s="91"/>
      <c r="AP842" s="92"/>
      <c r="AR842" s="60"/>
      <c r="AS842" s="91" t="s">
        <v>101</v>
      </c>
      <c r="AT842" s="91"/>
      <c r="AU842" s="91"/>
      <c r="AV842" s="91"/>
      <c r="AW842" s="91"/>
      <c r="AX842" s="91"/>
      <c r="AY842" s="91"/>
      <c r="AZ842" s="91"/>
      <c r="BA842" s="91"/>
      <c r="BB842" s="91"/>
      <c r="BC842" s="92"/>
    </row>
    <row r="843" customFormat="false" ht="12" hidden="false" customHeight="true" outlineLevel="0" collapsed="false">
      <c r="B843" s="63"/>
      <c r="C843" s="93" t="s">
        <v>202</v>
      </c>
      <c r="D843" s="93"/>
      <c r="E843" s="93"/>
      <c r="F843" s="93"/>
      <c r="G843" s="93"/>
      <c r="H843" s="93"/>
      <c r="I843" s="93"/>
      <c r="J843" s="93"/>
      <c r="K843" s="93"/>
      <c r="L843" s="93"/>
      <c r="M843" s="93"/>
      <c r="N843" s="65"/>
      <c r="P843" s="63"/>
      <c r="Q843" s="93" t="s">
        <v>202</v>
      </c>
      <c r="R843" s="93"/>
      <c r="S843" s="93"/>
      <c r="T843" s="93"/>
      <c r="U843" s="93"/>
      <c r="V843" s="93"/>
      <c r="W843" s="93"/>
      <c r="X843" s="93"/>
      <c r="Y843" s="93"/>
      <c r="Z843" s="93"/>
      <c r="AA843" s="93"/>
      <c r="AB843" s="65"/>
      <c r="AD843" s="63"/>
      <c r="AE843" s="93" t="s">
        <v>202</v>
      </c>
      <c r="AF843" s="93"/>
      <c r="AG843" s="93"/>
      <c r="AH843" s="93"/>
      <c r="AI843" s="93"/>
      <c r="AJ843" s="93"/>
      <c r="AK843" s="93"/>
      <c r="AL843" s="93"/>
      <c r="AM843" s="93"/>
      <c r="AN843" s="93"/>
      <c r="AO843" s="93"/>
      <c r="AP843" s="65"/>
      <c r="AR843" s="63"/>
      <c r="AS843" s="93" t="s">
        <v>202</v>
      </c>
      <c r="AT843" s="93"/>
      <c r="AU843" s="93"/>
      <c r="AV843" s="93"/>
      <c r="AW843" s="93"/>
      <c r="AX843" s="94"/>
      <c r="AY843" s="93" t="s">
        <v>203</v>
      </c>
      <c r="AZ843" s="93"/>
      <c r="BA843" s="93"/>
      <c r="BB843" s="93"/>
      <c r="BC843" s="65"/>
    </row>
    <row r="844" customFormat="false" ht="25.5" hidden="false" customHeight="true" outlineLevel="0" collapsed="false">
      <c r="B844" s="63"/>
      <c r="C844" s="95" t="n">
        <f aca="false">SUMIFS(Data!$D$2:$D$32,Data!$A$2:$A$32,"&gt;="&amp;Cal!$H$6,Data!$A$2:$A$32,"&lt;="&amp;Cal!$I$6)</f>
        <v>0</v>
      </c>
      <c r="D844" s="95"/>
      <c r="E844" s="95"/>
      <c r="F844" s="95"/>
      <c r="G844" s="95"/>
      <c r="H844" s="95"/>
      <c r="I844" s="95"/>
      <c r="J844" s="95"/>
      <c r="K844" s="95"/>
      <c r="L844" s="95"/>
      <c r="M844" s="95"/>
      <c r="N844" s="65"/>
      <c r="P844" s="63"/>
      <c r="Q844" s="95" t="n">
        <f aca="false">SUMIFS(Data!$E$2:$E$32,Data!$A$2:$A$32,"&gt;="&amp;Cal!$H$6,Data!$A$2:$A$32,"&lt;="&amp;Cal!$I$6)</f>
        <v>0</v>
      </c>
      <c r="R844" s="95"/>
      <c r="S844" s="95"/>
      <c r="T844" s="95"/>
      <c r="U844" s="95"/>
      <c r="V844" s="95"/>
      <c r="W844" s="95"/>
      <c r="X844" s="95"/>
      <c r="Y844" s="95"/>
      <c r="Z844" s="95"/>
      <c r="AA844" s="95"/>
      <c r="AB844" s="65"/>
      <c r="AD844" s="63"/>
      <c r="AE844" s="95" t="n">
        <f aca="false">SUMIFS(Data!$I$2:$I$32,Data!$A$2:$A$32,"&gt;="&amp;Cal!$H$6,Data!$A$2:$A$32,"&lt;="&amp;Cal!$I$6)</f>
        <v>0</v>
      </c>
      <c r="AF844" s="95"/>
      <c r="AG844" s="95"/>
      <c r="AH844" s="95"/>
      <c r="AI844" s="95"/>
      <c r="AJ844" s="95"/>
      <c r="AK844" s="95"/>
      <c r="AL844" s="95"/>
      <c r="AM844" s="95"/>
      <c r="AN844" s="95"/>
      <c r="AO844" s="95"/>
      <c r="AP844" s="65"/>
      <c r="AR844" s="63"/>
      <c r="AS844" s="95" t="n">
        <f aca="false">SUMIFS(Data!$J$2:$J$32,Data!$A$2:$A$32,"&gt;="&amp;Cal!$H$6,Data!$A$2:$A$32,"&lt;="&amp;Cal!$I$6)</f>
        <v>0</v>
      </c>
      <c r="AT844" s="95"/>
      <c r="AU844" s="95"/>
      <c r="AV844" s="95"/>
      <c r="AW844" s="95"/>
      <c r="AX844" s="94"/>
      <c r="AY844" s="96" t="n">
        <f aca="false">SUM(W750:W754)</f>
        <v>0</v>
      </c>
      <c r="AZ844" s="96"/>
      <c r="BA844" s="96"/>
      <c r="BB844" s="96"/>
      <c r="BC844" s="65"/>
    </row>
    <row r="845" customFormat="false" ht="6" hidden="false" customHeight="true" outlineLevel="0" collapsed="false">
      <c r="B845" s="67"/>
      <c r="C845" s="68"/>
      <c r="D845" s="68"/>
      <c r="E845" s="68"/>
      <c r="F845" s="68"/>
      <c r="G845" s="68"/>
      <c r="H845" s="68"/>
      <c r="I845" s="68"/>
      <c r="J845" s="68"/>
      <c r="K845" s="68"/>
      <c r="L845" s="68"/>
      <c r="M845" s="68"/>
      <c r="N845" s="69"/>
      <c r="P845" s="67"/>
      <c r="Q845" s="68"/>
      <c r="R845" s="68"/>
      <c r="S845" s="68"/>
      <c r="T845" s="68"/>
      <c r="U845" s="68"/>
      <c r="V845" s="68"/>
      <c r="W845" s="68"/>
      <c r="X845" s="68"/>
      <c r="Y845" s="68"/>
      <c r="Z845" s="68"/>
      <c r="AA845" s="68"/>
      <c r="AB845" s="69"/>
      <c r="AD845" s="67"/>
      <c r="AE845" s="68"/>
      <c r="AF845" s="68"/>
      <c r="AG845" s="68"/>
      <c r="AH845" s="68"/>
      <c r="AI845" s="68"/>
      <c r="AJ845" s="68"/>
      <c r="AK845" s="68"/>
      <c r="AL845" s="68"/>
      <c r="AM845" s="68"/>
      <c r="AN845" s="68"/>
      <c r="AO845" s="68"/>
      <c r="AP845" s="69"/>
      <c r="AR845" s="67"/>
      <c r="AS845" s="68"/>
      <c r="AT845" s="68"/>
      <c r="AU845" s="68"/>
      <c r="AV845" s="68"/>
      <c r="AW845" s="68"/>
      <c r="AX845" s="68"/>
      <c r="AY845" s="68"/>
      <c r="AZ845" s="68"/>
      <c r="BA845" s="68"/>
      <c r="BB845" s="68"/>
      <c r="BC845" s="69"/>
    </row>
    <row r="846" customFormat="false" ht="7.5" hidden="false" customHeight="true" outlineLevel="0" collapsed="false"/>
    <row r="847" customFormat="false" ht="19.5" hidden="false" customHeight="true" outlineLevel="0" collapsed="false">
      <c r="B847" s="60"/>
      <c r="C847" s="91" t="s">
        <v>102</v>
      </c>
      <c r="D847" s="91"/>
      <c r="E847" s="91"/>
      <c r="F847" s="91"/>
      <c r="G847" s="91"/>
      <c r="H847" s="91"/>
      <c r="I847" s="91"/>
      <c r="J847" s="91"/>
      <c r="K847" s="91"/>
      <c r="L847" s="91"/>
      <c r="M847" s="91"/>
      <c r="N847" s="92"/>
      <c r="P847" s="60"/>
      <c r="Q847" s="91" t="s">
        <v>103</v>
      </c>
      <c r="R847" s="91"/>
      <c r="S847" s="91"/>
      <c r="T847" s="91"/>
      <c r="U847" s="91"/>
      <c r="V847" s="91"/>
      <c r="W847" s="91"/>
      <c r="X847" s="91"/>
      <c r="Y847" s="91"/>
      <c r="Z847" s="91"/>
      <c r="AA847" s="91"/>
      <c r="AB847" s="92"/>
      <c r="AD847" s="60"/>
      <c r="AE847" s="91" t="s">
        <v>104</v>
      </c>
      <c r="AF847" s="91"/>
      <c r="AG847" s="91"/>
      <c r="AH847" s="91"/>
      <c r="AI847" s="91"/>
      <c r="AJ847" s="91"/>
      <c r="AK847" s="91"/>
      <c r="AL847" s="91"/>
      <c r="AM847" s="91"/>
      <c r="AN847" s="91"/>
      <c r="AO847" s="91"/>
      <c r="AP847" s="92"/>
      <c r="AR847" s="60"/>
      <c r="AS847" s="91" t="s">
        <v>204</v>
      </c>
      <c r="AT847" s="91"/>
      <c r="AU847" s="91"/>
      <c r="AV847" s="91"/>
      <c r="AW847" s="91"/>
      <c r="AX847" s="91"/>
      <c r="AY847" s="91"/>
      <c r="AZ847" s="91"/>
      <c r="BA847" s="91"/>
      <c r="BB847" s="91"/>
      <c r="BC847" s="92"/>
    </row>
    <row r="848" customFormat="false" ht="12" hidden="false" customHeight="true" outlineLevel="0" collapsed="false">
      <c r="B848" s="63"/>
      <c r="C848" s="93" t="s">
        <v>202</v>
      </c>
      <c r="D848" s="93"/>
      <c r="E848" s="93"/>
      <c r="F848" s="93"/>
      <c r="G848" s="93"/>
      <c r="H848" s="94"/>
      <c r="I848" s="93" t="s">
        <v>205</v>
      </c>
      <c r="J848" s="93"/>
      <c r="K848" s="93"/>
      <c r="L848" s="93"/>
      <c r="M848" s="93"/>
      <c r="N848" s="65"/>
      <c r="P848" s="63"/>
      <c r="Q848" s="93" t="s">
        <v>202</v>
      </c>
      <c r="R848" s="93"/>
      <c r="S848" s="93"/>
      <c r="T848" s="93"/>
      <c r="U848" s="93"/>
      <c r="V848" s="94"/>
      <c r="W848" s="93" t="s">
        <v>206</v>
      </c>
      <c r="X848" s="93"/>
      <c r="Y848" s="93"/>
      <c r="Z848" s="93"/>
      <c r="AA848" s="93"/>
      <c r="AB848" s="65"/>
      <c r="AD848" s="63"/>
      <c r="AE848" s="93" t="s">
        <v>202</v>
      </c>
      <c r="AF848" s="93"/>
      <c r="AG848" s="93"/>
      <c r="AH848" s="93"/>
      <c r="AI848" s="93"/>
      <c r="AJ848" s="94"/>
      <c r="AK848" s="93" t="s">
        <v>205</v>
      </c>
      <c r="AL848" s="93"/>
      <c r="AM848" s="93"/>
      <c r="AN848" s="93"/>
      <c r="AO848" s="93"/>
      <c r="AP848" s="65"/>
      <c r="AR848" s="63"/>
      <c r="AS848" s="93" t="s">
        <v>202</v>
      </c>
      <c r="AT848" s="93"/>
      <c r="AU848" s="93"/>
      <c r="AV848" s="93"/>
      <c r="AW848" s="93"/>
      <c r="AX848" s="93"/>
      <c r="AY848" s="93"/>
      <c r="AZ848" s="93"/>
      <c r="BA848" s="93"/>
      <c r="BB848" s="93"/>
      <c r="BC848" s="65"/>
    </row>
    <row r="849" customFormat="false" ht="25.5" hidden="false" customHeight="true" outlineLevel="0" collapsed="false">
      <c r="B849" s="63"/>
      <c r="C849" s="95" t="n">
        <f aca="false">SUMIFS(Data!$K$2:$K$32,Data!$A$2:$A$32,"&gt;="&amp;Cal!$H$6,Data!$A$2:$A$32,"&lt;="&amp;Cal!$I$6)</f>
        <v>0</v>
      </c>
      <c r="D849" s="95"/>
      <c r="E849" s="95"/>
      <c r="F849" s="95"/>
      <c r="G849" s="95"/>
      <c r="H849" s="94"/>
      <c r="I849" s="95" t="n">
        <f aca="false">COUNTIF(AW764:AW768,"O")</f>
        <v>0</v>
      </c>
      <c r="J849" s="95"/>
      <c r="K849" s="95"/>
      <c r="L849" s="95"/>
      <c r="M849" s="95"/>
      <c r="N849" s="65"/>
      <c r="P849" s="63"/>
      <c r="Q849" s="95" t="n">
        <f aca="false">SUMIFS(Data!$L$2:$L$32,Data!$A$2:$A$32,"&gt;="&amp;Cal!$H$6,Data!$A$2:$A$32,"&lt;="&amp;Cal!$I$6)</f>
        <v>0</v>
      </c>
      <c r="R849" s="95"/>
      <c r="S849" s="95"/>
      <c r="T849" s="95"/>
      <c r="U849" s="95"/>
      <c r="V849" s="94"/>
      <c r="W849" s="95" t="n">
        <f aca="false">COUNTIF(AC773:AC777,"&gt;0")</f>
        <v>0</v>
      </c>
      <c r="X849" s="95"/>
      <c r="Y849" s="95"/>
      <c r="Z849" s="95"/>
      <c r="AA849" s="95"/>
      <c r="AB849" s="65"/>
      <c r="AD849" s="63"/>
      <c r="AE849" s="95" t="n">
        <f aca="false">SUMIFS(Data!$M$2:$M$32,Data!$A$2:$A$32,"&gt;="&amp;Cal!$H$6,Data!$A$2:$A$32,"&lt;="&amp;Cal!$I$6)</f>
        <v>0</v>
      </c>
      <c r="AF849" s="95"/>
      <c r="AG849" s="95"/>
      <c r="AH849" s="95"/>
      <c r="AI849" s="95"/>
      <c r="AJ849" s="94"/>
      <c r="AK849" s="95" t="n">
        <f aca="false">COUNTIF(AV787:AV792,"O")</f>
        <v>0</v>
      </c>
      <c r="AL849" s="95"/>
      <c r="AM849" s="95"/>
      <c r="AN849" s="95"/>
      <c r="AO849" s="95"/>
      <c r="AP849" s="65"/>
      <c r="AR849" s="63"/>
      <c r="AS849" s="95" t="n">
        <f aca="false">SUMIFS(Data!$H$2:$H$32,Data!$A$2:$A$32,"&gt;="&amp;Cal!$H$6,Data!$A$2:$A$32,"&lt;="&amp;Cal!$I$6)</f>
        <v>0</v>
      </c>
      <c r="AT849" s="95"/>
      <c r="AU849" s="95"/>
      <c r="AV849" s="95"/>
      <c r="AW849" s="95"/>
      <c r="AX849" s="95"/>
      <c r="AY849" s="95"/>
      <c r="AZ849" s="95"/>
      <c r="BA849" s="95"/>
      <c r="BB849" s="95"/>
      <c r="BC849" s="65"/>
    </row>
    <row r="850" customFormat="false" ht="6" hidden="false" customHeight="true" outlineLevel="0" collapsed="false">
      <c r="B850" s="67"/>
      <c r="C850" s="68"/>
      <c r="D850" s="68"/>
      <c r="E850" s="68"/>
      <c r="F850" s="68"/>
      <c r="G850" s="68"/>
      <c r="H850" s="68"/>
      <c r="I850" s="68"/>
      <c r="J850" s="68"/>
      <c r="K850" s="68"/>
      <c r="L850" s="68"/>
      <c r="M850" s="68"/>
      <c r="N850" s="69"/>
      <c r="P850" s="67"/>
      <c r="Q850" s="68"/>
      <c r="R850" s="68"/>
      <c r="S850" s="68"/>
      <c r="T850" s="68"/>
      <c r="U850" s="68"/>
      <c r="V850" s="68"/>
      <c r="W850" s="68"/>
      <c r="X850" s="68"/>
      <c r="Y850" s="68"/>
      <c r="Z850" s="68"/>
      <c r="AA850" s="68"/>
      <c r="AB850" s="69"/>
      <c r="AD850" s="67"/>
      <c r="AE850" s="68"/>
      <c r="AF850" s="68"/>
      <c r="AG850" s="68"/>
      <c r="AH850" s="68"/>
      <c r="AI850" s="68"/>
      <c r="AJ850" s="68"/>
      <c r="AK850" s="68"/>
      <c r="AL850" s="68"/>
      <c r="AM850" s="68"/>
      <c r="AN850" s="68"/>
      <c r="AO850" s="68"/>
      <c r="AP850" s="69"/>
      <c r="AR850" s="67"/>
      <c r="AS850" s="68"/>
      <c r="AT850" s="68"/>
      <c r="AU850" s="68"/>
      <c r="AV850" s="68"/>
      <c r="AW850" s="68"/>
      <c r="AX850" s="68"/>
      <c r="AY850" s="68"/>
      <c r="AZ850" s="68"/>
      <c r="BA850" s="68"/>
      <c r="BB850" s="68"/>
      <c r="BC850" s="69"/>
    </row>
    <row r="851" customFormat="false" ht="7.5" hidden="false" customHeight="true" outlineLevel="0" collapsed="false"/>
    <row r="852" customFormat="false" ht="108" hidden="false" customHeight="true" outlineLevel="0" collapsed="false"/>
    <row r="853" customFormat="false" ht="6" hidden="false" customHeight="true" outlineLevel="0" collapsed="false"/>
    <row r="854" customFormat="false" ht="19.5" hidden="false" customHeight="true" outlineLevel="0" collapsed="false">
      <c r="B854" s="73" t="s">
        <v>107</v>
      </c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4" t="s">
        <v>108</v>
      </c>
      <c r="R854" s="74"/>
      <c r="S854" s="74"/>
      <c r="T854" s="74"/>
      <c r="U854" s="74"/>
      <c r="V854" s="74"/>
      <c r="W854" s="74"/>
      <c r="X854" s="74"/>
      <c r="Y854" s="74"/>
      <c r="Z854" s="74"/>
      <c r="AA854" s="74"/>
      <c r="AC854" s="73" t="s">
        <v>207</v>
      </c>
      <c r="AD854" s="73"/>
      <c r="AE854" s="73"/>
      <c r="AF854" s="73"/>
      <c r="AG854" s="73"/>
      <c r="AH854" s="73"/>
      <c r="AI854" s="73"/>
      <c r="AJ854" s="73"/>
      <c r="AK854" s="73"/>
      <c r="AL854" s="73"/>
      <c r="AM854" s="73"/>
      <c r="AN854" s="73"/>
      <c r="AO854" s="73"/>
      <c r="AP854" s="73"/>
      <c r="AQ854" s="73"/>
      <c r="AR854" s="73"/>
      <c r="AS854" s="74" t="s">
        <v>108</v>
      </c>
      <c r="AT854" s="74"/>
      <c r="AU854" s="74"/>
      <c r="AV854" s="74"/>
      <c r="AW854" s="74"/>
      <c r="AX854" s="74"/>
      <c r="AY854" s="74"/>
      <c r="AZ854" s="74"/>
      <c r="BA854" s="74"/>
      <c r="BB854" s="74"/>
      <c r="BC854" s="74"/>
    </row>
    <row r="855" customFormat="false" ht="18" hidden="false" customHeight="true" outlineLevel="0" collapsed="false">
      <c r="B855" s="75" t="s">
        <v>134</v>
      </c>
      <c r="C855" s="75"/>
      <c r="D855" s="75"/>
      <c r="E855" s="75"/>
      <c r="F855" s="75"/>
      <c r="G855" s="75"/>
      <c r="H855" s="75"/>
      <c r="I855" s="75"/>
      <c r="J855" s="75"/>
      <c r="K855" s="75"/>
      <c r="L855" s="75"/>
      <c r="M855" s="75"/>
      <c r="N855" s="75"/>
      <c r="O855" s="75"/>
      <c r="P855" s="75"/>
      <c r="Q855" s="75"/>
      <c r="R855" s="75"/>
      <c r="S855" s="75"/>
      <c r="T855" s="75"/>
      <c r="U855" s="75"/>
      <c r="V855" s="75"/>
      <c r="W855" s="75"/>
      <c r="X855" s="75"/>
      <c r="Y855" s="75"/>
      <c r="Z855" s="75"/>
      <c r="AA855" s="75"/>
      <c r="AB855" s="76" t="s">
        <v>208</v>
      </c>
      <c r="AC855" s="76"/>
      <c r="AD855" s="76"/>
      <c r="AE855" s="76"/>
      <c r="AF855" s="76"/>
      <c r="AG855" s="76"/>
      <c r="AH855" s="76"/>
      <c r="AI855" s="76"/>
      <c r="AJ855" s="76"/>
      <c r="AK855" s="76"/>
      <c r="AL855" s="76"/>
      <c r="AM855" s="76"/>
      <c r="AN855" s="76"/>
      <c r="AO855" s="76"/>
      <c r="AP855" s="76"/>
      <c r="AQ855" s="76"/>
      <c r="AR855" s="76"/>
      <c r="AS855" s="76"/>
      <c r="AT855" s="76"/>
      <c r="AU855" s="76"/>
      <c r="AV855" s="76"/>
      <c r="AW855" s="76"/>
      <c r="AX855" s="76"/>
      <c r="AY855" s="76"/>
      <c r="AZ855" s="76"/>
      <c r="BA855" s="76"/>
      <c r="BB855" s="76"/>
      <c r="BC855" s="76"/>
    </row>
  </sheetData>
  <sheetProtection sheet="true" formatColumns="false" formatRows="false"/>
  <mergeCells count="3270">
    <mergeCell ref="C2:AQ2"/>
    <mergeCell ref="AU2:BA2"/>
    <mergeCell ref="C3:AQ3"/>
    <mergeCell ref="AR3:BA3"/>
    <mergeCell ref="C4:AQ4"/>
    <mergeCell ref="B8:S8"/>
    <mergeCell ref="U8:AE8"/>
    <mergeCell ref="AG8:AQ8"/>
    <mergeCell ref="AS8:BC8"/>
    <mergeCell ref="B9:S9"/>
    <mergeCell ref="U9:AE9"/>
    <mergeCell ref="AG9:AQ9"/>
    <mergeCell ref="AS9:BC9"/>
    <mergeCell ref="C11:BC12"/>
    <mergeCell ref="C14:AK14"/>
    <mergeCell ref="AL14:BC14"/>
    <mergeCell ref="B15:C15"/>
    <mergeCell ref="D15:G15"/>
    <mergeCell ref="H15:N15"/>
    <mergeCell ref="O15:U15"/>
    <mergeCell ref="V15:Y15"/>
    <mergeCell ref="Z15:BC15"/>
    <mergeCell ref="B16:C16"/>
    <mergeCell ref="D16:G16"/>
    <mergeCell ref="H16:N16"/>
    <mergeCell ref="O16:U16"/>
    <mergeCell ref="V16:Y16"/>
    <mergeCell ref="Z16:BC16"/>
    <mergeCell ref="B17:C17"/>
    <mergeCell ref="D17:G17"/>
    <mergeCell ref="H17:N17"/>
    <mergeCell ref="O17:U17"/>
    <mergeCell ref="V17:Y17"/>
    <mergeCell ref="Z17:BC17"/>
    <mergeCell ref="B18:C18"/>
    <mergeCell ref="D18:G18"/>
    <mergeCell ref="H18:N18"/>
    <mergeCell ref="O18:U18"/>
    <mergeCell ref="V18:Y18"/>
    <mergeCell ref="Z18:BC18"/>
    <mergeCell ref="B19:C19"/>
    <mergeCell ref="D19:G19"/>
    <mergeCell ref="H19:N19"/>
    <mergeCell ref="O19:U19"/>
    <mergeCell ref="V19:Y19"/>
    <mergeCell ref="Z19:BC19"/>
    <mergeCell ref="B20:C20"/>
    <mergeCell ref="D20:G20"/>
    <mergeCell ref="H20:N20"/>
    <mergeCell ref="O20:U20"/>
    <mergeCell ref="V20:Y20"/>
    <mergeCell ref="Z20:BC20"/>
    <mergeCell ref="B21:C21"/>
    <mergeCell ref="D21:G21"/>
    <mergeCell ref="H21:N21"/>
    <mergeCell ref="O21:U21"/>
    <mergeCell ref="V21:Y21"/>
    <mergeCell ref="Z21:BC21"/>
    <mergeCell ref="B22:C22"/>
    <mergeCell ref="D22:G22"/>
    <mergeCell ref="H22:N22"/>
    <mergeCell ref="O22:U22"/>
    <mergeCell ref="V22:Y22"/>
    <mergeCell ref="Z22:BC22"/>
    <mergeCell ref="B23:C23"/>
    <mergeCell ref="D23:G23"/>
    <mergeCell ref="H23:N23"/>
    <mergeCell ref="O23:U23"/>
    <mergeCell ref="V23:Y23"/>
    <mergeCell ref="Z23:BC23"/>
    <mergeCell ref="B24:C24"/>
    <mergeCell ref="D24:G24"/>
    <mergeCell ref="H24:N24"/>
    <mergeCell ref="O24:U24"/>
    <mergeCell ref="V24:Y24"/>
    <mergeCell ref="Z24:BC24"/>
    <mergeCell ref="B25:C25"/>
    <mergeCell ref="D25:G25"/>
    <mergeCell ref="H25:N25"/>
    <mergeCell ref="O25:U25"/>
    <mergeCell ref="V25:Y25"/>
    <mergeCell ref="Z25:BC25"/>
    <mergeCell ref="B26:C26"/>
    <mergeCell ref="D26:G26"/>
    <mergeCell ref="H26:N26"/>
    <mergeCell ref="O26:U26"/>
    <mergeCell ref="V26:Y26"/>
    <mergeCell ref="Z26:BC26"/>
    <mergeCell ref="B27:C27"/>
    <mergeCell ref="E27:BC27"/>
    <mergeCell ref="B29:AA29"/>
    <mergeCell ref="AB29:BC29"/>
    <mergeCell ref="B31:F31"/>
    <mergeCell ref="H31:P31"/>
    <mergeCell ref="AA31:AE31"/>
    <mergeCell ref="AF31:AP31"/>
    <mergeCell ref="AR31:AS31"/>
    <mergeCell ref="AT31:BC31"/>
    <mergeCell ref="C34:AK34"/>
    <mergeCell ref="AL34:BC34"/>
    <mergeCell ref="B35:C35"/>
    <mergeCell ref="D35:G35"/>
    <mergeCell ref="H35:O35"/>
    <mergeCell ref="P35:S35"/>
    <mergeCell ref="T35:AM35"/>
    <mergeCell ref="AN35:BC35"/>
    <mergeCell ref="B36:C36"/>
    <mergeCell ref="D36:G36"/>
    <mergeCell ref="H36:O36"/>
    <mergeCell ref="P36:S36"/>
    <mergeCell ref="T36:AM36"/>
    <mergeCell ref="AN36:BC36"/>
    <mergeCell ref="B37:C37"/>
    <mergeCell ref="D37:G37"/>
    <mergeCell ref="H37:O37"/>
    <mergeCell ref="P37:S37"/>
    <mergeCell ref="T37:AM37"/>
    <mergeCell ref="AN37:BC37"/>
    <mergeCell ref="B38:C38"/>
    <mergeCell ref="D38:G38"/>
    <mergeCell ref="H38:O38"/>
    <mergeCell ref="P38:S38"/>
    <mergeCell ref="T38:AM38"/>
    <mergeCell ref="AN38:BC38"/>
    <mergeCell ref="B39:C39"/>
    <mergeCell ref="D39:G39"/>
    <mergeCell ref="H39:O39"/>
    <mergeCell ref="P39:S39"/>
    <mergeCell ref="T39:AM39"/>
    <mergeCell ref="AN39:BC39"/>
    <mergeCell ref="B40:C40"/>
    <mergeCell ref="D40:G40"/>
    <mergeCell ref="H40:O40"/>
    <mergeCell ref="P40:S40"/>
    <mergeCell ref="T40:AM40"/>
    <mergeCell ref="AN40:BC40"/>
    <mergeCell ref="B41:C41"/>
    <mergeCell ref="D41:G41"/>
    <mergeCell ref="H41:O41"/>
    <mergeCell ref="P41:S41"/>
    <mergeCell ref="T41:AM41"/>
    <mergeCell ref="AN41:BC41"/>
    <mergeCell ref="B42:C42"/>
    <mergeCell ref="D42:G42"/>
    <mergeCell ref="H42:O42"/>
    <mergeCell ref="P42:S42"/>
    <mergeCell ref="T42:AM42"/>
    <mergeCell ref="AN42:BC42"/>
    <mergeCell ref="B43:C43"/>
    <mergeCell ref="D43:G43"/>
    <mergeCell ref="H43:O43"/>
    <mergeCell ref="P43:S43"/>
    <mergeCell ref="T43:AM43"/>
    <mergeCell ref="AN43:BC43"/>
    <mergeCell ref="B44:C44"/>
    <mergeCell ref="D44:G44"/>
    <mergeCell ref="H44:O44"/>
    <mergeCell ref="P44:S44"/>
    <mergeCell ref="T44:AM44"/>
    <mergeCell ref="AN44:BC44"/>
    <mergeCell ref="B45:C45"/>
    <mergeCell ref="D45:G45"/>
    <mergeCell ref="H45:O45"/>
    <mergeCell ref="P45:S45"/>
    <mergeCell ref="T45:AM45"/>
    <mergeCell ref="AN45:BC45"/>
    <mergeCell ref="B46:C46"/>
    <mergeCell ref="D46:G46"/>
    <mergeCell ref="H46:O46"/>
    <mergeCell ref="P46:S46"/>
    <mergeCell ref="T46:AM46"/>
    <mergeCell ref="AN46:BC46"/>
    <mergeCell ref="B47:C47"/>
    <mergeCell ref="E47:BC47"/>
    <mergeCell ref="B49:AA49"/>
    <mergeCell ref="AB49:BC49"/>
    <mergeCell ref="B51:F51"/>
    <mergeCell ref="H51:P51"/>
    <mergeCell ref="AA51:AE51"/>
    <mergeCell ref="AF51:AP51"/>
    <mergeCell ref="AR51:AS51"/>
    <mergeCell ref="AT51:BC51"/>
    <mergeCell ref="C54:AK54"/>
    <mergeCell ref="AL54:BC54"/>
    <mergeCell ref="B55:C55"/>
    <mergeCell ref="D55:G55"/>
    <mergeCell ref="H55:O55"/>
    <mergeCell ref="P55:V55"/>
    <mergeCell ref="W55:AB55"/>
    <mergeCell ref="AC55:AF55"/>
    <mergeCell ref="AG55:BC55"/>
    <mergeCell ref="B56:C56"/>
    <mergeCell ref="D56:G56"/>
    <mergeCell ref="H56:O56"/>
    <mergeCell ref="P56:V56"/>
    <mergeCell ref="W56:AB56"/>
    <mergeCell ref="AC56:AF56"/>
    <mergeCell ref="AG56:BC56"/>
    <mergeCell ref="B57:C57"/>
    <mergeCell ref="D57:G57"/>
    <mergeCell ref="H57:O57"/>
    <mergeCell ref="P57:V57"/>
    <mergeCell ref="W57:AB57"/>
    <mergeCell ref="AC57:AF57"/>
    <mergeCell ref="AG57:BC57"/>
    <mergeCell ref="B58:C58"/>
    <mergeCell ref="D58:G58"/>
    <mergeCell ref="H58:O58"/>
    <mergeCell ref="P58:V58"/>
    <mergeCell ref="W58:AB58"/>
    <mergeCell ref="AC58:AF58"/>
    <mergeCell ref="AG58:BC58"/>
    <mergeCell ref="B59:C59"/>
    <mergeCell ref="D59:G59"/>
    <mergeCell ref="H59:O59"/>
    <mergeCell ref="P59:V59"/>
    <mergeCell ref="W59:AB59"/>
    <mergeCell ref="AC59:AF59"/>
    <mergeCell ref="AG59:BC59"/>
    <mergeCell ref="B60:C60"/>
    <mergeCell ref="D60:G60"/>
    <mergeCell ref="H60:O60"/>
    <mergeCell ref="P60:V60"/>
    <mergeCell ref="W60:AB60"/>
    <mergeCell ref="AC60:AF60"/>
    <mergeCell ref="AG60:BC60"/>
    <mergeCell ref="B61:C61"/>
    <mergeCell ref="D61:G61"/>
    <mergeCell ref="H61:O61"/>
    <mergeCell ref="P61:V61"/>
    <mergeCell ref="W61:AB61"/>
    <mergeCell ref="AC61:AF61"/>
    <mergeCell ref="AG61:BC61"/>
    <mergeCell ref="B62:C62"/>
    <mergeCell ref="E62:BC62"/>
    <mergeCell ref="C64:AK64"/>
    <mergeCell ref="AL64:BC64"/>
    <mergeCell ref="B65:C65"/>
    <mergeCell ref="D65:G65"/>
    <mergeCell ref="H65:O65"/>
    <mergeCell ref="P65:V65"/>
    <mergeCell ref="W65:AB65"/>
    <mergeCell ref="AC65:AF65"/>
    <mergeCell ref="AG65:BC65"/>
    <mergeCell ref="B66:C66"/>
    <mergeCell ref="D66:G66"/>
    <mergeCell ref="H66:O66"/>
    <mergeCell ref="P66:V66"/>
    <mergeCell ref="W66:AB66"/>
    <mergeCell ref="AC66:AF66"/>
    <mergeCell ref="AG66:BC66"/>
    <mergeCell ref="B67:C67"/>
    <mergeCell ref="D67:G67"/>
    <mergeCell ref="H67:O67"/>
    <mergeCell ref="P67:V67"/>
    <mergeCell ref="W67:AB67"/>
    <mergeCell ref="AC67:AF67"/>
    <mergeCell ref="AG67:BC67"/>
    <mergeCell ref="B68:C68"/>
    <mergeCell ref="D68:G68"/>
    <mergeCell ref="H68:O68"/>
    <mergeCell ref="P68:V68"/>
    <mergeCell ref="W68:AB68"/>
    <mergeCell ref="AC68:AF68"/>
    <mergeCell ref="AG68:BC68"/>
    <mergeCell ref="B69:C69"/>
    <mergeCell ref="D69:G69"/>
    <mergeCell ref="H69:O69"/>
    <mergeCell ref="P69:V69"/>
    <mergeCell ref="W69:AB69"/>
    <mergeCell ref="AC69:AF69"/>
    <mergeCell ref="AG69:BC69"/>
    <mergeCell ref="B70:C70"/>
    <mergeCell ref="D70:G70"/>
    <mergeCell ref="H70:O70"/>
    <mergeCell ref="P70:V70"/>
    <mergeCell ref="W70:AB70"/>
    <mergeCell ref="AC70:AF70"/>
    <mergeCell ref="AG70:BC70"/>
    <mergeCell ref="B71:C71"/>
    <mergeCell ref="E71:BC71"/>
    <mergeCell ref="B73:AA73"/>
    <mergeCell ref="AB73:BC73"/>
    <mergeCell ref="B75:F75"/>
    <mergeCell ref="H75:P75"/>
    <mergeCell ref="AA75:AE75"/>
    <mergeCell ref="AF75:AP75"/>
    <mergeCell ref="AR75:AS75"/>
    <mergeCell ref="AT75:BC75"/>
    <mergeCell ref="C78:AK78"/>
    <mergeCell ref="AL78:BC78"/>
    <mergeCell ref="B79:C79"/>
    <mergeCell ref="D79:G79"/>
    <mergeCell ref="H79:N79"/>
    <mergeCell ref="O79:AD79"/>
    <mergeCell ref="AE79:AH79"/>
    <mergeCell ref="AI79:AV79"/>
    <mergeCell ref="AW79:BC79"/>
    <mergeCell ref="B80:C80"/>
    <mergeCell ref="D80:G80"/>
    <mergeCell ref="H80:N80"/>
    <mergeCell ref="O80:AD80"/>
    <mergeCell ref="AE80:AH80"/>
    <mergeCell ref="AI80:AV80"/>
    <mergeCell ref="AW80:BC80"/>
    <mergeCell ref="B81:C81"/>
    <mergeCell ref="D81:G81"/>
    <mergeCell ref="H81:N81"/>
    <mergeCell ref="O81:AD81"/>
    <mergeCell ref="AE81:AH81"/>
    <mergeCell ref="AI81:AV81"/>
    <mergeCell ref="AW81:BC81"/>
    <mergeCell ref="B82:C82"/>
    <mergeCell ref="D82:G82"/>
    <mergeCell ref="H82:N82"/>
    <mergeCell ref="O82:AD82"/>
    <mergeCell ref="AE82:AH82"/>
    <mergeCell ref="AI82:AV82"/>
    <mergeCell ref="AW82:BC82"/>
    <mergeCell ref="B83:C83"/>
    <mergeCell ref="D83:G83"/>
    <mergeCell ref="H83:N83"/>
    <mergeCell ref="O83:AD83"/>
    <mergeCell ref="AE83:AH83"/>
    <mergeCell ref="AI83:AV83"/>
    <mergeCell ref="AW83:BC83"/>
    <mergeCell ref="B84:C84"/>
    <mergeCell ref="D84:G84"/>
    <mergeCell ref="H84:N84"/>
    <mergeCell ref="O84:AD84"/>
    <mergeCell ref="AE84:AH84"/>
    <mergeCell ref="AI84:AV84"/>
    <mergeCell ref="AW84:BC84"/>
    <mergeCell ref="B85:C85"/>
    <mergeCell ref="E85:BC85"/>
    <mergeCell ref="C87:AK87"/>
    <mergeCell ref="AL87:BC87"/>
    <mergeCell ref="B88:C88"/>
    <mergeCell ref="D88:G88"/>
    <mergeCell ref="H88:P88"/>
    <mergeCell ref="Q88:W88"/>
    <mergeCell ref="X88:AB88"/>
    <mergeCell ref="AC88:AG88"/>
    <mergeCell ref="AH88:AK88"/>
    <mergeCell ref="AL88:BC88"/>
    <mergeCell ref="B89:C89"/>
    <mergeCell ref="D89:G89"/>
    <mergeCell ref="H89:P89"/>
    <mergeCell ref="Q89:W89"/>
    <mergeCell ref="X89:AB89"/>
    <mergeCell ref="AC89:AG89"/>
    <mergeCell ref="AH89:AK89"/>
    <mergeCell ref="AL89:BC89"/>
    <mergeCell ref="B90:C90"/>
    <mergeCell ref="D90:G90"/>
    <mergeCell ref="H90:P90"/>
    <mergeCell ref="Q90:W90"/>
    <mergeCell ref="X90:AB90"/>
    <mergeCell ref="AC90:AG90"/>
    <mergeCell ref="AH90:AK90"/>
    <mergeCell ref="AL90:BC90"/>
    <mergeCell ref="B91:C91"/>
    <mergeCell ref="D91:G91"/>
    <mergeCell ref="H91:P91"/>
    <mergeCell ref="Q91:W91"/>
    <mergeCell ref="X91:AB91"/>
    <mergeCell ref="AC91:AG91"/>
    <mergeCell ref="AH91:AK91"/>
    <mergeCell ref="AL91:BC91"/>
    <mergeCell ref="B92:C92"/>
    <mergeCell ref="D92:G92"/>
    <mergeCell ref="H92:P92"/>
    <mergeCell ref="Q92:W92"/>
    <mergeCell ref="X92:AB92"/>
    <mergeCell ref="AC92:AG92"/>
    <mergeCell ref="AH92:AK92"/>
    <mergeCell ref="AL92:BC92"/>
    <mergeCell ref="B93:C93"/>
    <mergeCell ref="D93:G93"/>
    <mergeCell ref="H93:P93"/>
    <mergeCell ref="Q93:W93"/>
    <mergeCell ref="X93:AB93"/>
    <mergeCell ref="AC93:AG93"/>
    <mergeCell ref="AH93:AK93"/>
    <mergeCell ref="AL93:BC93"/>
    <mergeCell ref="B94:C94"/>
    <mergeCell ref="E94:BC94"/>
    <mergeCell ref="B96:AA96"/>
    <mergeCell ref="AB96:BC96"/>
    <mergeCell ref="B98:F98"/>
    <mergeCell ref="H98:P98"/>
    <mergeCell ref="AA98:AE98"/>
    <mergeCell ref="AF98:AP98"/>
    <mergeCell ref="AR98:AS98"/>
    <mergeCell ref="AT98:BC98"/>
    <mergeCell ref="C101:AK101"/>
    <mergeCell ref="AL101:BC101"/>
    <mergeCell ref="B102:C102"/>
    <mergeCell ref="D102:G102"/>
    <mergeCell ref="H102:K102"/>
    <mergeCell ref="L102:AG102"/>
    <mergeCell ref="AH102:AK102"/>
    <mergeCell ref="AL102:AU102"/>
    <mergeCell ref="AV102:BC102"/>
    <mergeCell ref="B103:C103"/>
    <mergeCell ref="D103:G103"/>
    <mergeCell ref="H103:K103"/>
    <mergeCell ref="L103:AG103"/>
    <mergeCell ref="AH103:AK103"/>
    <mergeCell ref="AL103:AU103"/>
    <mergeCell ref="AV103:BC103"/>
    <mergeCell ref="B104:C104"/>
    <mergeCell ref="D104:G104"/>
    <mergeCell ref="H104:K104"/>
    <mergeCell ref="L104:AG104"/>
    <mergeCell ref="AH104:AK104"/>
    <mergeCell ref="AL104:AU104"/>
    <mergeCell ref="AV104:BC104"/>
    <mergeCell ref="B105:C105"/>
    <mergeCell ref="D105:G105"/>
    <mergeCell ref="H105:K105"/>
    <mergeCell ref="L105:AG105"/>
    <mergeCell ref="AH105:AK105"/>
    <mergeCell ref="AL105:AU105"/>
    <mergeCell ref="AV105:BC105"/>
    <mergeCell ref="B106:C106"/>
    <mergeCell ref="D106:G106"/>
    <mergeCell ref="H106:K106"/>
    <mergeCell ref="L106:AG106"/>
    <mergeCell ref="AH106:AK106"/>
    <mergeCell ref="AL106:AU106"/>
    <mergeCell ref="AV106:BC106"/>
    <mergeCell ref="B107:C107"/>
    <mergeCell ref="D107:G107"/>
    <mergeCell ref="H107:K107"/>
    <mergeCell ref="L107:AG107"/>
    <mergeCell ref="AH107:AK107"/>
    <mergeCell ref="AL107:AU107"/>
    <mergeCell ref="AV107:BC107"/>
    <mergeCell ref="B108:C108"/>
    <mergeCell ref="D108:G108"/>
    <mergeCell ref="H108:K108"/>
    <mergeCell ref="L108:AG108"/>
    <mergeCell ref="AH108:AK108"/>
    <mergeCell ref="AL108:AU108"/>
    <mergeCell ref="AV108:BC108"/>
    <mergeCell ref="B109:C109"/>
    <mergeCell ref="E109:BC109"/>
    <mergeCell ref="C111:AK111"/>
    <mergeCell ref="AL111:BC111"/>
    <mergeCell ref="B112:C112"/>
    <mergeCell ref="D112:G112"/>
    <mergeCell ref="H112:O112"/>
    <mergeCell ref="P112:S112"/>
    <mergeCell ref="T112:AE112"/>
    <mergeCell ref="AF112:BC112"/>
    <mergeCell ref="B113:C113"/>
    <mergeCell ref="D113:G113"/>
    <mergeCell ref="H113:O113"/>
    <mergeCell ref="P113:S113"/>
    <mergeCell ref="T113:AE113"/>
    <mergeCell ref="AF113:BC113"/>
    <mergeCell ref="B114:C114"/>
    <mergeCell ref="D114:G114"/>
    <mergeCell ref="H114:O114"/>
    <mergeCell ref="P114:S114"/>
    <mergeCell ref="T114:AE114"/>
    <mergeCell ref="AF114:BC114"/>
    <mergeCell ref="B115:C115"/>
    <mergeCell ref="D115:G115"/>
    <mergeCell ref="H115:O115"/>
    <mergeCell ref="P115:S115"/>
    <mergeCell ref="T115:AE115"/>
    <mergeCell ref="AF115:BC115"/>
    <mergeCell ref="B116:C116"/>
    <mergeCell ref="D116:G116"/>
    <mergeCell ref="H116:O116"/>
    <mergeCell ref="P116:S116"/>
    <mergeCell ref="T116:AE116"/>
    <mergeCell ref="AF116:BC116"/>
    <mergeCell ref="B117:C117"/>
    <mergeCell ref="D117:G117"/>
    <mergeCell ref="H117:O117"/>
    <mergeCell ref="P117:S117"/>
    <mergeCell ref="T117:AE117"/>
    <mergeCell ref="AF117:BC117"/>
    <mergeCell ref="B118:C118"/>
    <mergeCell ref="D118:G118"/>
    <mergeCell ref="H118:O118"/>
    <mergeCell ref="P118:S118"/>
    <mergeCell ref="T118:AE118"/>
    <mergeCell ref="AF118:BC118"/>
    <mergeCell ref="B119:C119"/>
    <mergeCell ref="D119:G119"/>
    <mergeCell ref="H119:O119"/>
    <mergeCell ref="P119:S119"/>
    <mergeCell ref="T119:AE119"/>
    <mergeCell ref="AF119:BC119"/>
    <mergeCell ref="B120:C120"/>
    <mergeCell ref="E120:BC120"/>
    <mergeCell ref="B122:AA122"/>
    <mergeCell ref="AB122:BC122"/>
    <mergeCell ref="B124:F124"/>
    <mergeCell ref="H124:P124"/>
    <mergeCell ref="AA124:AE124"/>
    <mergeCell ref="AF124:AP124"/>
    <mergeCell ref="AR124:AS124"/>
    <mergeCell ref="AT124:BC124"/>
    <mergeCell ref="C127:AK127"/>
    <mergeCell ref="AL127:BC127"/>
    <mergeCell ref="B128:C128"/>
    <mergeCell ref="D128:M128"/>
    <mergeCell ref="N128:U128"/>
    <mergeCell ref="V128:AU128"/>
    <mergeCell ref="AV128:BC128"/>
    <mergeCell ref="B129:C129"/>
    <mergeCell ref="D129:M129"/>
    <mergeCell ref="N129:U129"/>
    <mergeCell ref="V129:AU129"/>
    <mergeCell ref="AV129:BC129"/>
    <mergeCell ref="B130:C130"/>
    <mergeCell ref="D130:M130"/>
    <mergeCell ref="N130:U130"/>
    <mergeCell ref="V130:AU130"/>
    <mergeCell ref="AV130:BC130"/>
    <mergeCell ref="B131:C131"/>
    <mergeCell ref="D131:M131"/>
    <mergeCell ref="N131:U131"/>
    <mergeCell ref="V131:AU131"/>
    <mergeCell ref="AV131:BC131"/>
    <mergeCell ref="B132:C132"/>
    <mergeCell ref="D132:M132"/>
    <mergeCell ref="N132:U132"/>
    <mergeCell ref="V132:AU132"/>
    <mergeCell ref="AV132:BC132"/>
    <mergeCell ref="B133:C133"/>
    <mergeCell ref="D133:M133"/>
    <mergeCell ref="N133:U133"/>
    <mergeCell ref="V133:AU133"/>
    <mergeCell ref="AV133:BC133"/>
    <mergeCell ref="B134:C134"/>
    <mergeCell ref="D134:M134"/>
    <mergeCell ref="N134:U134"/>
    <mergeCell ref="V134:AU134"/>
    <mergeCell ref="AV134:BC134"/>
    <mergeCell ref="C136:AK136"/>
    <mergeCell ref="AL136:BC136"/>
    <mergeCell ref="B137:C137"/>
    <mergeCell ref="D137:L137"/>
    <mergeCell ref="M137:X137"/>
    <mergeCell ref="Y137:AO137"/>
    <mergeCell ref="AP137:BC137"/>
    <mergeCell ref="B138:C138"/>
    <mergeCell ref="D138:L138"/>
    <mergeCell ref="M138:X138"/>
    <mergeCell ref="Y138:AO138"/>
    <mergeCell ref="AP138:BC138"/>
    <mergeCell ref="B139:C139"/>
    <mergeCell ref="D139:L139"/>
    <mergeCell ref="M139:X139"/>
    <mergeCell ref="Y139:AO139"/>
    <mergeCell ref="AP139:BC139"/>
    <mergeCell ref="B140:C140"/>
    <mergeCell ref="D140:L140"/>
    <mergeCell ref="M140:X140"/>
    <mergeCell ref="Y140:AO140"/>
    <mergeCell ref="AP140:BC140"/>
    <mergeCell ref="B141:C141"/>
    <mergeCell ref="D141:L141"/>
    <mergeCell ref="M141:X141"/>
    <mergeCell ref="Y141:AO141"/>
    <mergeCell ref="AP141:BC141"/>
    <mergeCell ref="B142:C142"/>
    <mergeCell ref="D142:L142"/>
    <mergeCell ref="M142:X142"/>
    <mergeCell ref="Y142:AO142"/>
    <mergeCell ref="AP142:BC142"/>
    <mergeCell ref="B144:AA144"/>
    <mergeCell ref="AB144:BC144"/>
    <mergeCell ref="B146:F146"/>
    <mergeCell ref="H146:P146"/>
    <mergeCell ref="AA146:AE146"/>
    <mergeCell ref="AF146:AP146"/>
    <mergeCell ref="AR146:AS146"/>
    <mergeCell ref="AT146:BC146"/>
    <mergeCell ref="C149:AK149"/>
    <mergeCell ref="AL149:BC149"/>
    <mergeCell ref="B150:C150"/>
    <mergeCell ref="D150:G150"/>
    <mergeCell ref="H150:P150"/>
    <mergeCell ref="Q150:V150"/>
    <mergeCell ref="W150:BC150"/>
    <mergeCell ref="B151:C151"/>
    <mergeCell ref="D151:G151"/>
    <mergeCell ref="H151:P151"/>
    <mergeCell ref="Q151:V151"/>
    <mergeCell ref="W151:BC151"/>
    <mergeCell ref="B152:C152"/>
    <mergeCell ref="D152:G152"/>
    <mergeCell ref="H152:P152"/>
    <mergeCell ref="Q152:V152"/>
    <mergeCell ref="W152:BC152"/>
    <mergeCell ref="B153:C153"/>
    <mergeCell ref="D153:G153"/>
    <mergeCell ref="H153:P153"/>
    <mergeCell ref="Q153:V153"/>
    <mergeCell ref="W153:BC153"/>
    <mergeCell ref="B154:C154"/>
    <mergeCell ref="D154:G154"/>
    <mergeCell ref="H154:P154"/>
    <mergeCell ref="Q154:V154"/>
    <mergeCell ref="W154:BC154"/>
    <mergeCell ref="B155:C155"/>
    <mergeCell ref="E155:BC155"/>
    <mergeCell ref="C157:AE157"/>
    <mergeCell ref="AF157:BC157"/>
    <mergeCell ref="C158:M158"/>
    <mergeCell ref="Q158:AA158"/>
    <mergeCell ref="AE158:AO158"/>
    <mergeCell ref="AS158:BB158"/>
    <mergeCell ref="C159:M159"/>
    <mergeCell ref="Q159:AA159"/>
    <mergeCell ref="AE159:AO159"/>
    <mergeCell ref="AS159:AW159"/>
    <mergeCell ref="AY159:BB159"/>
    <mergeCell ref="C160:M160"/>
    <mergeCell ref="Q160:AA160"/>
    <mergeCell ref="AE160:AO160"/>
    <mergeCell ref="AS160:AW160"/>
    <mergeCell ref="AY160:BB160"/>
    <mergeCell ref="C163:M163"/>
    <mergeCell ref="Q163:AA163"/>
    <mergeCell ref="AE163:AO163"/>
    <mergeCell ref="AS163:BB163"/>
    <mergeCell ref="C164:G164"/>
    <mergeCell ref="I164:M164"/>
    <mergeCell ref="Q164:U164"/>
    <mergeCell ref="W164:AA164"/>
    <mergeCell ref="AE164:AI164"/>
    <mergeCell ref="AK164:AO164"/>
    <mergeCell ref="AS164:BB164"/>
    <mergeCell ref="C165:G165"/>
    <mergeCell ref="I165:M165"/>
    <mergeCell ref="Q165:U165"/>
    <mergeCell ref="W165:AA165"/>
    <mergeCell ref="AE165:AI165"/>
    <mergeCell ref="AK165:AO165"/>
    <mergeCell ref="AS165:BB165"/>
    <mergeCell ref="B170:P170"/>
    <mergeCell ref="Q170:AA170"/>
    <mergeCell ref="AC170:AR170"/>
    <mergeCell ref="AS170:BC170"/>
    <mergeCell ref="B171:AA171"/>
    <mergeCell ref="AB171:BC171"/>
    <mergeCell ref="C173:AQ173"/>
    <mergeCell ref="AU173:BA173"/>
    <mergeCell ref="C174:AQ174"/>
    <mergeCell ref="AR174:BA174"/>
    <mergeCell ref="C175:AQ175"/>
    <mergeCell ref="B179:S179"/>
    <mergeCell ref="U179:AE179"/>
    <mergeCell ref="AG179:AQ179"/>
    <mergeCell ref="AS179:BC179"/>
    <mergeCell ref="B180:S180"/>
    <mergeCell ref="U180:AE180"/>
    <mergeCell ref="AG180:AQ180"/>
    <mergeCell ref="AS180:BC180"/>
    <mergeCell ref="C182:BC183"/>
    <mergeCell ref="C185:AK185"/>
    <mergeCell ref="AL185:BC185"/>
    <mergeCell ref="B186:C186"/>
    <mergeCell ref="D186:G186"/>
    <mergeCell ref="H186:N186"/>
    <mergeCell ref="O186:U186"/>
    <mergeCell ref="V186:Y186"/>
    <mergeCell ref="Z186:BC186"/>
    <mergeCell ref="B187:C187"/>
    <mergeCell ref="D187:G187"/>
    <mergeCell ref="H187:N187"/>
    <mergeCell ref="O187:U187"/>
    <mergeCell ref="V187:Y187"/>
    <mergeCell ref="Z187:BC187"/>
    <mergeCell ref="B188:C188"/>
    <mergeCell ref="D188:G188"/>
    <mergeCell ref="H188:N188"/>
    <mergeCell ref="O188:U188"/>
    <mergeCell ref="V188:Y188"/>
    <mergeCell ref="Z188:BC188"/>
    <mergeCell ref="B189:C189"/>
    <mergeCell ref="D189:G189"/>
    <mergeCell ref="H189:N189"/>
    <mergeCell ref="O189:U189"/>
    <mergeCell ref="V189:Y189"/>
    <mergeCell ref="Z189:BC189"/>
    <mergeCell ref="B190:C190"/>
    <mergeCell ref="D190:G190"/>
    <mergeCell ref="H190:N190"/>
    <mergeCell ref="O190:U190"/>
    <mergeCell ref="V190:Y190"/>
    <mergeCell ref="Z190:BC190"/>
    <mergeCell ref="B191:C191"/>
    <mergeCell ref="D191:G191"/>
    <mergeCell ref="H191:N191"/>
    <mergeCell ref="O191:U191"/>
    <mergeCell ref="V191:Y191"/>
    <mergeCell ref="Z191:BC191"/>
    <mergeCell ref="B192:C192"/>
    <mergeCell ref="D192:G192"/>
    <mergeCell ref="H192:N192"/>
    <mergeCell ref="O192:U192"/>
    <mergeCell ref="V192:Y192"/>
    <mergeCell ref="Z192:BC192"/>
    <mergeCell ref="B193:C193"/>
    <mergeCell ref="D193:G193"/>
    <mergeCell ref="H193:N193"/>
    <mergeCell ref="O193:U193"/>
    <mergeCell ref="V193:Y193"/>
    <mergeCell ref="Z193:BC193"/>
    <mergeCell ref="B194:C194"/>
    <mergeCell ref="D194:G194"/>
    <mergeCell ref="H194:N194"/>
    <mergeCell ref="O194:U194"/>
    <mergeCell ref="V194:Y194"/>
    <mergeCell ref="Z194:BC194"/>
    <mergeCell ref="B195:C195"/>
    <mergeCell ref="D195:G195"/>
    <mergeCell ref="H195:N195"/>
    <mergeCell ref="O195:U195"/>
    <mergeCell ref="V195:Y195"/>
    <mergeCell ref="Z195:BC195"/>
    <mergeCell ref="B196:C196"/>
    <mergeCell ref="D196:G196"/>
    <mergeCell ref="H196:N196"/>
    <mergeCell ref="O196:U196"/>
    <mergeCell ref="V196:Y196"/>
    <mergeCell ref="Z196:BC196"/>
    <mergeCell ref="B197:C197"/>
    <mergeCell ref="D197:G197"/>
    <mergeCell ref="H197:N197"/>
    <mergeCell ref="O197:U197"/>
    <mergeCell ref="V197:Y197"/>
    <mergeCell ref="Z197:BC197"/>
    <mergeCell ref="B198:C198"/>
    <mergeCell ref="E198:BC198"/>
    <mergeCell ref="B200:AA200"/>
    <mergeCell ref="AB200:BC200"/>
    <mergeCell ref="B202:F202"/>
    <mergeCell ref="H202:P202"/>
    <mergeCell ref="AA202:AE202"/>
    <mergeCell ref="AF202:AP202"/>
    <mergeCell ref="AR202:AS202"/>
    <mergeCell ref="AT202:BC202"/>
    <mergeCell ref="C205:AK205"/>
    <mergeCell ref="AL205:BC205"/>
    <mergeCell ref="B206:C206"/>
    <mergeCell ref="D206:G206"/>
    <mergeCell ref="H206:O206"/>
    <mergeCell ref="P206:S206"/>
    <mergeCell ref="T206:AM206"/>
    <mergeCell ref="AN206:BC206"/>
    <mergeCell ref="B207:C207"/>
    <mergeCell ref="D207:G207"/>
    <mergeCell ref="H207:O207"/>
    <mergeCell ref="P207:S207"/>
    <mergeCell ref="T207:AM207"/>
    <mergeCell ref="AN207:BC207"/>
    <mergeCell ref="B208:C208"/>
    <mergeCell ref="D208:G208"/>
    <mergeCell ref="H208:O208"/>
    <mergeCell ref="P208:S208"/>
    <mergeCell ref="T208:AM208"/>
    <mergeCell ref="AN208:BC208"/>
    <mergeCell ref="B209:C209"/>
    <mergeCell ref="D209:G209"/>
    <mergeCell ref="H209:O209"/>
    <mergeCell ref="P209:S209"/>
    <mergeCell ref="T209:AM209"/>
    <mergeCell ref="AN209:BC209"/>
    <mergeCell ref="B210:C210"/>
    <mergeCell ref="D210:G210"/>
    <mergeCell ref="H210:O210"/>
    <mergeCell ref="P210:S210"/>
    <mergeCell ref="T210:AM210"/>
    <mergeCell ref="AN210:BC210"/>
    <mergeCell ref="B211:C211"/>
    <mergeCell ref="D211:G211"/>
    <mergeCell ref="H211:O211"/>
    <mergeCell ref="P211:S211"/>
    <mergeCell ref="T211:AM211"/>
    <mergeCell ref="AN211:BC211"/>
    <mergeCell ref="B212:C212"/>
    <mergeCell ref="D212:G212"/>
    <mergeCell ref="H212:O212"/>
    <mergeCell ref="P212:S212"/>
    <mergeCell ref="T212:AM212"/>
    <mergeCell ref="AN212:BC212"/>
    <mergeCell ref="B213:C213"/>
    <mergeCell ref="D213:G213"/>
    <mergeCell ref="H213:O213"/>
    <mergeCell ref="P213:S213"/>
    <mergeCell ref="T213:AM213"/>
    <mergeCell ref="AN213:BC213"/>
    <mergeCell ref="B214:C214"/>
    <mergeCell ref="D214:G214"/>
    <mergeCell ref="H214:O214"/>
    <mergeCell ref="P214:S214"/>
    <mergeCell ref="T214:AM214"/>
    <mergeCell ref="AN214:BC214"/>
    <mergeCell ref="B215:C215"/>
    <mergeCell ref="D215:G215"/>
    <mergeCell ref="H215:O215"/>
    <mergeCell ref="P215:S215"/>
    <mergeCell ref="T215:AM215"/>
    <mergeCell ref="AN215:BC215"/>
    <mergeCell ref="B216:C216"/>
    <mergeCell ref="D216:G216"/>
    <mergeCell ref="H216:O216"/>
    <mergeCell ref="P216:S216"/>
    <mergeCell ref="T216:AM216"/>
    <mergeCell ref="AN216:BC216"/>
    <mergeCell ref="B217:C217"/>
    <mergeCell ref="D217:G217"/>
    <mergeCell ref="H217:O217"/>
    <mergeCell ref="P217:S217"/>
    <mergeCell ref="T217:AM217"/>
    <mergeCell ref="AN217:BC217"/>
    <mergeCell ref="B218:C218"/>
    <mergeCell ref="E218:BC218"/>
    <mergeCell ref="B220:AA220"/>
    <mergeCell ref="AB220:BC220"/>
    <mergeCell ref="B222:F222"/>
    <mergeCell ref="H222:P222"/>
    <mergeCell ref="AA222:AE222"/>
    <mergeCell ref="AF222:AP222"/>
    <mergeCell ref="AR222:AS222"/>
    <mergeCell ref="AT222:BC222"/>
    <mergeCell ref="C225:AK225"/>
    <mergeCell ref="AL225:BC225"/>
    <mergeCell ref="B226:C226"/>
    <mergeCell ref="D226:G226"/>
    <mergeCell ref="H226:O226"/>
    <mergeCell ref="P226:V226"/>
    <mergeCell ref="W226:AB226"/>
    <mergeCell ref="AC226:AF226"/>
    <mergeCell ref="AG226:BC226"/>
    <mergeCell ref="B227:C227"/>
    <mergeCell ref="D227:G227"/>
    <mergeCell ref="H227:O227"/>
    <mergeCell ref="P227:V227"/>
    <mergeCell ref="W227:AB227"/>
    <mergeCell ref="AC227:AF227"/>
    <mergeCell ref="AG227:BC227"/>
    <mergeCell ref="B228:C228"/>
    <mergeCell ref="D228:G228"/>
    <mergeCell ref="H228:O228"/>
    <mergeCell ref="P228:V228"/>
    <mergeCell ref="W228:AB228"/>
    <mergeCell ref="AC228:AF228"/>
    <mergeCell ref="AG228:BC228"/>
    <mergeCell ref="B229:C229"/>
    <mergeCell ref="D229:G229"/>
    <mergeCell ref="H229:O229"/>
    <mergeCell ref="P229:V229"/>
    <mergeCell ref="W229:AB229"/>
    <mergeCell ref="AC229:AF229"/>
    <mergeCell ref="AG229:BC229"/>
    <mergeCell ref="B230:C230"/>
    <mergeCell ref="D230:G230"/>
    <mergeCell ref="H230:O230"/>
    <mergeCell ref="P230:V230"/>
    <mergeCell ref="W230:AB230"/>
    <mergeCell ref="AC230:AF230"/>
    <mergeCell ref="AG230:BC230"/>
    <mergeCell ref="B231:C231"/>
    <mergeCell ref="D231:G231"/>
    <mergeCell ref="H231:O231"/>
    <mergeCell ref="P231:V231"/>
    <mergeCell ref="W231:AB231"/>
    <mergeCell ref="AC231:AF231"/>
    <mergeCell ref="AG231:BC231"/>
    <mergeCell ref="B232:C232"/>
    <mergeCell ref="D232:G232"/>
    <mergeCell ref="H232:O232"/>
    <mergeCell ref="P232:V232"/>
    <mergeCell ref="W232:AB232"/>
    <mergeCell ref="AC232:AF232"/>
    <mergeCell ref="AG232:BC232"/>
    <mergeCell ref="B233:C233"/>
    <mergeCell ref="E233:BC233"/>
    <mergeCell ref="C235:AK235"/>
    <mergeCell ref="AL235:BC235"/>
    <mergeCell ref="B236:C236"/>
    <mergeCell ref="D236:G236"/>
    <mergeCell ref="H236:O236"/>
    <mergeCell ref="P236:V236"/>
    <mergeCell ref="W236:AB236"/>
    <mergeCell ref="AC236:AF236"/>
    <mergeCell ref="AG236:BC236"/>
    <mergeCell ref="B237:C237"/>
    <mergeCell ref="D237:G237"/>
    <mergeCell ref="H237:O237"/>
    <mergeCell ref="P237:V237"/>
    <mergeCell ref="W237:AB237"/>
    <mergeCell ref="AC237:AF237"/>
    <mergeCell ref="AG237:BC237"/>
    <mergeCell ref="B238:C238"/>
    <mergeCell ref="D238:G238"/>
    <mergeCell ref="H238:O238"/>
    <mergeCell ref="P238:V238"/>
    <mergeCell ref="W238:AB238"/>
    <mergeCell ref="AC238:AF238"/>
    <mergeCell ref="AG238:BC238"/>
    <mergeCell ref="B239:C239"/>
    <mergeCell ref="D239:G239"/>
    <mergeCell ref="H239:O239"/>
    <mergeCell ref="P239:V239"/>
    <mergeCell ref="W239:AB239"/>
    <mergeCell ref="AC239:AF239"/>
    <mergeCell ref="AG239:BC239"/>
    <mergeCell ref="B240:C240"/>
    <mergeCell ref="D240:G240"/>
    <mergeCell ref="H240:O240"/>
    <mergeCell ref="P240:V240"/>
    <mergeCell ref="W240:AB240"/>
    <mergeCell ref="AC240:AF240"/>
    <mergeCell ref="AG240:BC240"/>
    <mergeCell ref="B241:C241"/>
    <mergeCell ref="D241:G241"/>
    <mergeCell ref="H241:O241"/>
    <mergeCell ref="P241:V241"/>
    <mergeCell ref="W241:AB241"/>
    <mergeCell ref="AC241:AF241"/>
    <mergeCell ref="AG241:BC241"/>
    <mergeCell ref="B242:C242"/>
    <mergeCell ref="E242:BC242"/>
    <mergeCell ref="B244:AA244"/>
    <mergeCell ref="AB244:BC244"/>
    <mergeCell ref="B246:F246"/>
    <mergeCell ref="H246:P246"/>
    <mergeCell ref="AA246:AE246"/>
    <mergeCell ref="AF246:AP246"/>
    <mergeCell ref="AR246:AS246"/>
    <mergeCell ref="AT246:BC246"/>
    <mergeCell ref="C249:AK249"/>
    <mergeCell ref="AL249:BC249"/>
    <mergeCell ref="B250:C250"/>
    <mergeCell ref="D250:G250"/>
    <mergeCell ref="H250:N250"/>
    <mergeCell ref="O250:AD250"/>
    <mergeCell ref="AE250:AH250"/>
    <mergeCell ref="AI250:AV250"/>
    <mergeCell ref="AW250:BC250"/>
    <mergeCell ref="B251:C251"/>
    <mergeCell ref="D251:G251"/>
    <mergeCell ref="H251:N251"/>
    <mergeCell ref="O251:AD251"/>
    <mergeCell ref="AE251:AH251"/>
    <mergeCell ref="AI251:AV251"/>
    <mergeCell ref="AW251:BC251"/>
    <mergeCell ref="B252:C252"/>
    <mergeCell ref="D252:G252"/>
    <mergeCell ref="H252:N252"/>
    <mergeCell ref="O252:AD252"/>
    <mergeCell ref="AE252:AH252"/>
    <mergeCell ref="AI252:AV252"/>
    <mergeCell ref="AW252:BC252"/>
    <mergeCell ref="B253:C253"/>
    <mergeCell ref="D253:G253"/>
    <mergeCell ref="H253:N253"/>
    <mergeCell ref="O253:AD253"/>
    <mergeCell ref="AE253:AH253"/>
    <mergeCell ref="AI253:AV253"/>
    <mergeCell ref="AW253:BC253"/>
    <mergeCell ref="B254:C254"/>
    <mergeCell ref="D254:G254"/>
    <mergeCell ref="H254:N254"/>
    <mergeCell ref="O254:AD254"/>
    <mergeCell ref="AE254:AH254"/>
    <mergeCell ref="AI254:AV254"/>
    <mergeCell ref="AW254:BC254"/>
    <mergeCell ref="B255:C255"/>
    <mergeCell ref="D255:G255"/>
    <mergeCell ref="H255:N255"/>
    <mergeCell ref="O255:AD255"/>
    <mergeCell ref="AE255:AH255"/>
    <mergeCell ref="AI255:AV255"/>
    <mergeCell ref="AW255:BC255"/>
    <mergeCell ref="B256:C256"/>
    <mergeCell ref="E256:BC256"/>
    <mergeCell ref="C258:AK258"/>
    <mergeCell ref="AL258:BC258"/>
    <mergeCell ref="B259:C259"/>
    <mergeCell ref="D259:G259"/>
    <mergeCell ref="H259:P259"/>
    <mergeCell ref="Q259:W259"/>
    <mergeCell ref="X259:AB259"/>
    <mergeCell ref="AC259:AG259"/>
    <mergeCell ref="AH259:AK259"/>
    <mergeCell ref="AL259:BC259"/>
    <mergeCell ref="B260:C260"/>
    <mergeCell ref="D260:G260"/>
    <mergeCell ref="H260:P260"/>
    <mergeCell ref="Q260:W260"/>
    <mergeCell ref="X260:AB260"/>
    <mergeCell ref="AC260:AG260"/>
    <mergeCell ref="AH260:AK260"/>
    <mergeCell ref="AL260:BC260"/>
    <mergeCell ref="B261:C261"/>
    <mergeCell ref="D261:G261"/>
    <mergeCell ref="H261:P261"/>
    <mergeCell ref="Q261:W261"/>
    <mergeCell ref="X261:AB261"/>
    <mergeCell ref="AC261:AG261"/>
    <mergeCell ref="AH261:AK261"/>
    <mergeCell ref="AL261:BC261"/>
    <mergeCell ref="B262:C262"/>
    <mergeCell ref="D262:G262"/>
    <mergeCell ref="H262:P262"/>
    <mergeCell ref="Q262:W262"/>
    <mergeCell ref="X262:AB262"/>
    <mergeCell ref="AC262:AG262"/>
    <mergeCell ref="AH262:AK262"/>
    <mergeCell ref="AL262:BC262"/>
    <mergeCell ref="B263:C263"/>
    <mergeCell ref="D263:G263"/>
    <mergeCell ref="H263:P263"/>
    <mergeCell ref="Q263:W263"/>
    <mergeCell ref="X263:AB263"/>
    <mergeCell ref="AC263:AG263"/>
    <mergeCell ref="AH263:AK263"/>
    <mergeCell ref="AL263:BC263"/>
    <mergeCell ref="B264:C264"/>
    <mergeCell ref="D264:G264"/>
    <mergeCell ref="H264:P264"/>
    <mergeCell ref="Q264:W264"/>
    <mergeCell ref="X264:AB264"/>
    <mergeCell ref="AC264:AG264"/>
    <mergeCell ref="AH264:AK264"/>
    <mergeCell ref="AL264:BC264"/>
    <mergeCell ref="B265:C265"/>
    <mergeCell ref="E265:BC265"/>
    <mergeCell ref="B267:AA267"/>
    <mergeCell ref="AB267:BC267"/>
    <mergeCell ref="B269:F269"/>
    <mergeCell ref="H269:P269"/>
    <mergeCell ref="AA269:AE269"/>
    <mergeCell ref="AF269:AP269"/>
    <mergeCell ref="AR269:AS269"/>
    <mergeCell ref="AT269:BC269"/>
    <mergeCell ref="C272:AK272"/>
    <mergeCell ref="AL272:BC272"/>
    <mergeCell ref="B273:C273"/>
    <mergeCell ref="D273:G273"/>
    <mergeCell ref="H273:K273"/>
    <mergeCell ref="L273:AG273"/>
    <mergeCell ref="AH273:AK273"/>
    <mergeCell ref="AL273:AU273"/>
    <mergeCell ref="AV273:BC273"/>
    <mergeCell ref="B274:C274"/>
    <mergeCell ref="D274:G274"/>
    <mergeCell ref="H274:K274"/>
    <mergeCell ref="L274:AG274"/>
    <mergeCell ref="AH274:AK274"/>
    <mergeCell ref="AL274:AU274"/>
    <mergeCell ref="AV274:BC274"/>
    <mergeCell ref="B275:C275"/>
    <mergeCell ref="D275:G275"/>
    <mergeCell ref="H275:K275"/>
    <mergeCell ref="L275:AG275"/>
    <mergeCell ref="AH275:AK275"/>
    <mergeCell ref="AL275:AU275"/>
    <mergeCell ref="AV275:BC275"/>
    <mergeCell ref="B276:C276"/>
    <mergeCell ref="D276:G276"/>
    <mergeCell ref="H276:K276"/>
    <mergeCell ref="L276:AG276"/>
    <mergeCell ref="AH276:AK276"/>
    <mergeCell ref="AL276:AU276"/>
    <mergeCell ref="AV276:BC276"/>
    <mergeCell ref="B277:C277"/>
    <mergeCell ref="D277:G277"/>
    <mergeCell ref="H277:K277"/>
    <mergeCell ref="L277:AG277"/>
    <mergeCell ref="AH277:AK277"/>
    <mergeCell ref="AL277:AU277"/>
    <mergeCell ref="AV277:BC277"/>
    <mergeCell ref="B278:C278"/>
    <mergeCell ref="D278:G278"/>
    <mergeCell ref="H278:K278"/>
    <mergeCell ref="L278:AG278"/>
    <mergeCell ref="AH278:AK278"/>
    <mergeCell ref="AL278:AU278"/>
    <mergeCell ref="AV278:BC278"/>
    <mergeCell ref="B279:C279"/>
    <mergeCell ref="D279:G279"/>
    <mergeCell ref="H279:K279"/>
    <mergeCell ref="L279:AG279"/>
    <mergeCell ref="AH279:AK279"/>
    <mergeCell ref="AL279:AU279"/>
    <mergeCell ref="AV279:BC279"/>
    <mergeCell ref="B280:C280"/>
    <mergeCell ref="E280:BC280"/>
    <mergeCell ref="C282:AK282"/>
    <mergeCell ref="AL282:BC282"/>
    <mergeCell ref="B283:C283"/>
    <mergeCell ref="D283:G283"/>
    <mergeCell ref="H283:O283"/>
    <mergeCell ref="P283:S283"/>
    <mergeCell ref="T283:AE283"/>
    <mergeCell ref="AF283:BC283"/>
    <mergeCell ref="B284:C284"/>
    <mergeCell ref="D284:G284"/>
    <mergeCell ref="H284:O284"/>
    <mergeCell ref="P284:S284"/>
    <mergeCell ref="T284:AE284"/>
    <mergeCell ref="AF284:BC284"/>
    <mergeCell ref="B285:C285"/>
    <mergeCell ref="D285:G285"/>
    <mergeCell ref="H285:O285"/>
    <mergeCell ref="P285:S285"/>
    <mergeCell ref="T285:AE285"/>
    <mergeCell ref="AF285:BC285"/>
    <mergeCell ref="B286:C286"/>
    <mergeCell ref="D286:G286"/>
    <mergeCell ref="H286:O286"/>
    <mergeCell ref="P286:S286"/>
    <mergeCell ref="T286:AE286"/>
    <mergeCell ref="AF286:BC286"/>
    <mergeCell ref="B287:C287"/>
    <mergeCell ref="D287:G287"/>
    <mergeCell ref="H287:O287"/>
    <mergeCell ref="P287:S287"/>
    <mergeCell ref="T287:AE287"/>
    <mergeCell ref="AF287:BC287"/>
    <mergeCell ref="B288:C288"/>
    <mergeCell ref="D288:G288"/>
    <mergeCell ref="H288:O288"/>
    <mergeCell ref="P288:S288"/>
    <mergeCell ref="T288:AE288"/>
    <mergeCell ref="AF288:BC288"/>
    <mergeCell ref="B289:C289"/>
    <mergeCell ref="D289:G289"/>
    <mergeCell ref="H289:O289"/>
    <mergeCell ref="P289:S289"/>
    <mergeCell ref="T289:AE289"/>
    <mergeCell ref="AF289:BC289"/>
    <mergeCell ref="B290:C290"/>
    <mergeCell ref="D290:G290"/>
    <mergeCell ref="H290:O290"/>
    <mergeCell ref="P290:S290"/>
    <mergeCell ref="T290:AE290"/>
    <mergeCell ref="AF290:BC290"/>
    <mergeCell ref="B291:C291"/>
    <mergeCell ref="E291:BC291"/>
    <mergeCell ref="B293:AA293"/>
    <mergeCell ref="AB293:BC293"/>
    <mergeCell ref="B295:F295"/>
    <mergeCell ref="H295:P295"/>
    <mergeCell ref="AA295:AE295"/>
    <mergeCell ref="AF295:AP295"/>
    <mergeCell ref="AR295:AS295"/>
    <mergeCell ref="AT295:BC295"/>
    <mergeCell ref="C298:AK298"/>
    <mergeCell ref="AL298:BC298"/>
    <mergeCell ref="B299:C299"/>
    <mergeCell ref="D299:M299"/>
    <mergeCell ref="N299:U299"/>
    <mergeCell ref="V299:AU299"/>
    <mergeCell ref="AV299:BC299"/>
    <mergeCell ref="B300:C300"/>
    <mergeCell ref="D300:M300"/>
    <mergeCell ref="N300:U300"/>
    <mergeCell ref="V300:AU300"/>
    <mergeCell ref="AV300:BC300"/>
    <mergeCell ref="B301:C301"/>
    <mergeCell ref="D301:M301"/>
    <mergeCell ref="N301:U301"/>
    <mergeCell ref="V301:AU301"/>
    <mergeCell ref="AV301:BC301"/>
    <mergeCell ref="B302:C302"/>
    <mergeCell ref="D302:M302"/>
    <mergeCell ref="N302:U302"/>
    <mergeCell ref="V302:AU302"/>
    <mergeCell ref="AV302:BC302"/>
    <mergeCell ref="B303:C303"/>
    <mergeCell ref="D303:M303"/>
    <mergeCell ref="N303:U303"/>
    <mergeCell ref="V303:AU303"/>
    <mergeCell ref="AV303:BC303"/>
    <mergeCell ref="B304:C304"/>
    <mergeCell ref="D304:M304"/>
    <mergeCell ref="N304:U304"/>
    <mergeCell ref="V304:AU304"/>
    <mergeCell ref="AV304:BC304"/>
    <mergeCell ref="B305:C305"/>
    <mergeCell ref="D305:M305"/>
    <mergeCell ref="N305:U305"/>
    <mergeCell ref="V305:AU305"/>
    <mergeCell ref="AV305:BC305"/>
    <mergeCell ref="C307:AK307"/>
    <mergeCell ref="AL307:BC307"/>
    <mergeCell ref="B308:C308"/>
    <mergeCell ref="D308:L308"/>
    <mergeCell ref="M308:X308"/>
    <mergeCell ref="Y308:AO308"/>
    <mergeCell ref="AP308:BC308"/>
    <mergeCell ref="B309:C309"/>
    <mergeCell ref="D309:L309"/>
    <mergeCell ref="M309:X309"/>
    <mergeCell ref="Y309:AO309"/>
    <mergeCell ref="AP309:BC309"/>
    <mergeCell ref="B310:C310"/>
    <mergeCell ref="D310:L310"/>
    <mergeCell ref="M310:X310"/>
    <mergeCell ref="Y310:AO310"/>
    <mergeCell ref="AP310:BC310"/>
    <mergeCell ref="B311:C311"/>
    <mergeCell ref="D311:L311"/>
    <mergeCell ref="M311:X311"/>
    <mergeCell ref="Y311:AO311"/>
    <mergeCell ref="AP311:BC311"/>
    <mergeCell ref="B312:C312"/>
    <mergeCell ref="D312:L312"/>
    <mergeCell ref="M312:X312"/>
    <mergeCell ref="Y312:AO312"/>
    <mergeCell ref="AP312:BC312"/>
    <mergeCell ref="B313:C313"/>
    <mergeCell ref="D313:L313"/>
    <mergeCell ref="M313:X313"/>
    <mergeCell ref="Y313:AO313"/>
    <mergeCell ref="AP313:BC313"/>
    <mergeCell ref="B315:AA315"/>
    <mergeCell ref="AB315:BC315"/>
    <mergeCell ref="B317:F317"/>
    <mergeCell ref="H317:P317"/>
    <mergeCell ref="AA317:AE317"/>
    <mergeCell ref="AF317:AP317"/>
    <mergeCell ref="AR317:AS317"/>
    <mergeCell ref="AT317:BC317"/>
    <mergeCell ref="C320:AK320"/>
    <mergeCell ref="AL320:BC320"/>
    <mergeCell ref="B321:C321"/>
    <mergeCell ref="D321:G321"/>
    <mergeCell ref="H321:P321"/>
    <mergeCell ref="Q321:V321"/>
    <mergeCell ref="W321:BC321"/>
    <mergeCell ref="B322:C322"/>
    <mergeCell ref="D322:G322"/>
    <mergeCell ref="H322:P322"/>
    <mergeCell ref="Q322:V322"/>
    <mergeCell ref="W322:BC322"/>
    <mergeCell ref="B323:C323"/>
    <mergeCell ref="D323:G323"/>
    <mergeCell ref="H323:P323"/>
    <mergeCell ref="Q323:V323"/>
    <mergeCell ref="W323:BC323"/>
    <mergeCell ref="B324:C324"/>
    <mergeCell ref="D324:G324"/>
    <mergeCell ref="H324:P324"/>
    <mergeCell ref="Q324:V324"/>
    <mergeCell ref="W324:BC324"/>
    <mergeCell ref="B325:C325"/>
    <mergeCell ref="D325:G325"/>
    <mergeCell ref="H325:P325"/>
    <mergeCell ref="Q325:V325"/>
    <mergeCell ref="W325:BC325"/>
    <mergeCell ref="B326:C326"/>
    <mergeCell ref="E326:BC326"/>
    <mergeCell ref="C328:AE328"/>
    <mergeCell ref="AF328:BC328"/>
    <mergeCell ref="C329:M329"/>
    <mergeCell ref="Q329:AA329"/>
    <mergeCell ref="AE329:AO329"/>
    <mergeCell ref="AS329:BB329"/>
    <mergeCell ref="C330:M330"/>
    <mergeCell ref="Q330:AA330"/>
    <mergeCell ref="AE330:AO330"/>
    <mergeCell ref="AS330:AW330"/>
    <mergeCell ref="AY330:BB330"/>
    <mergeCell ref="C331:M331"/>
    <mergeCell ref="Q331:AA331"/>
    <mergeCell ref="AE331:AO331"/>
    <mergeCell ref="AS331:AW331"/>
    <mergeCell ref="AY331:BB331"/>
    <mergeCell ref="C334:M334"/>
    <mergeCell ref="Q334:AA334"/>
    <mergeCell ref="AE334:AO334"/>
    <mergeCell ref="AS334:BB334"/>
    <mergeCell ref="C335:G335"/>
    <mergeCell ref="I335:M335"/>
    <mergeCell ref="Q335:U335"/>
    <mergeCell ref="W335:AA335"/>
    <mergeCell ref="AE335:AI335"/>
    <mergeCell ref="AK335:AO335"/>
    <mergeCell ref="AS335:BB335"/>
    <mergeCell ref="C336:G336"/>
    <mergeCell ref="I336:M336"/>
    <mergeCell ref="Q336:U336"/>
    <mergeCell ref="W336:AA336"/>
    <mergeCell ref="AE336:AI336"/>
    <mergeCell ref="AK336:AO336"/>
    <mergeCell ref="AS336:BB336"/>
    <mergeCell ref="B341:P341"/>
    <mergeCell ref="Q341:AA341"/>
    <mergeCell ref="AC341:AR341"/>
    <mergeCell ref="AS341:BC341"/>
    <mergeCell ref="B342:AA342"/>
    <mergeCell ref="AB342:BC342"/>
    <mergeCell ref="C344:AQ344"/>
    <mergeCell ref="AU344:BA344"/>
    <mergeCell ref="C345:AQ345"/>
    <mergeCell ref="AR345:BA345"/>
    <mergeCell ref="C346:AQ346"/>
    <mergeCell ref="B350:S350"/>
    <mergeCell ref="U350:AE350"/>
    <mergeCell ref="AG350:AQ350"/>
    <mergeCell ref="AS350:BC350"/>
    <mergeCell ref="B351:S351"/>
    <mergeCell ref="U351:AE351"/>
    <mergeCell ref="AG351:AQ351"/>
    <mergeCell ref="AS351:BC351"/>
    <mergeCell ref="C353:BC354"/>
    <mergeCell ref="C356:AK356"/>
    <mergeCell ref="AL356:BC356"/>
    <mergeCell ref="B357:C357"/>
    <mergeCell ref="D357:G357"/>
    <mergeCell ref="H357:N357"/>
    <mergeCell ref="O357:U357"/>
    <mergeCell ref="V357:Y357"/>
    <mergeCell ref="Z357:BC357"/>
    <mergeCell ref="B358:C358"/>
    <mergeCell ref="D358:G358"/>
    <mergeCell ref="H358:N358"/>
    <mergeCell ref="O358:U358"/>
    <mergeCell ref="V358:Y358"/>
    <mergeCell ref="Z358:BC358"/>
    <mergeCell ref="B359:C359"/>
    <mergeCell ref="D359:G359"/>
    <mergeCell ref="H359:N359"/>
    <mergeCell ref="O359:U359"/>
    <mergeCell ref="V359:Y359"/>
    <mergeCell ref="Z359:BC359"/>
    <mergeCell ref="B360:C360"/>
    <mergeCell ref="D360:G360"/>
    <mergeCell ref="H360:N360"/>
    <mergeCell ref="O360:U360"/>
    <mergeCell ref="V360:Y360"/>
    <mergeCell ref="Z360:BC360"/>
    <mergeCell ref="B361:C361"/>
    <mergeCell ref="D361:G361"/>
    <mergeCell ref="H361:N361"/>
    <mergeCell ref="O361:U361"/>
    <mergeCell ref="V361:Y361"/>
    <mergeCell ref="Z361:BC361"/>
    <mergeCell ref="B362:C362"/>
    <mergeCell ref="D362:G362"/>
    <mergeCell ref="H362:N362"/>
    <mergeCell ref="O362:U362"/>
    <mergeCell ref="V362:Y362"/>
    <mergeCell ref="Z362:BC362"/>
    <mergeCell ref="B363:C363"/>
    <mergeCell ref="D363:G363"/>
    <mergeCell ref="H363:N363"/>
    <mergeCell ref="O363:U363"/>
    <mergeCell ref="V363:Y363"/>
    <mergeCell ref="Z363:BC363"/>
    <mergeCell ref="B364:C364"/>
    <mergeCell ref="D364:G364"/>
    <mergeCell ref="H364:N364"/>
    <mergeCell ref="O364:U364"/>
    <mergeCell ref="V364:Y364"/>
    <mergeCell ref="Z364:BC364"/>
    <mergeCell ref="B365:C365"/>
    <mergeCell ref="D365:G365"/>
    <mergeCell ref="H365:N365"/>
    <mergeCell ref="O365:U365"/>
    <mergeCell ref="V365:Y365"/>
    <mergeCell ref="Z365:BC365"/>
    <mergeCell ref="B366:C366"/>
    <mergeCell ref="D366:G366"/>
    <mergeCell ref="H366:N366"/>
    <mergeCell ref="O366:U366"/>
    <mergeCell ref="V366:Y366"/>
    <mergeCell ref="Z366:BC366"/>
    <mergeCell ref="B367:C367"/>
    <mergeCell ref="D367:G367"/>
    <mergeCell ref="H367:N367"/>
    <mergeCell ref="O367:U367"/>
    <mergeCell ref="V367:Y367"/>
    <mergeCell ref="Z367:BC367"/>
    <mergeCell ref="B368:C368"/>
    <mergeCell ref="D368:G368"/>
    <mergeCell ref="H368:N368"/>
    <mergeCell ref="O368:U368"/>
    <mergeCell ref="V368:Y368"/>
    <mergeCell ref="Z368:BC368"/>
    <mergeCell ref="B369:C369"/>
    <mergeCell ref="E369:BC369"/>
    <mergeCell ref="B371:AA371"/>
    <mergeCell ref="AB371:BC371"/>
    <mergeCell ref="B373:F373"/>
    <mergeCell ref="H373:P373"/>
    <mergeCell ref="AA373:AE373"/>
    <mergeCell ref="AF373:AP373"/>
    <mergeCell ref="AR373:AS373"/>
    <mergeCell ref="AT373:BC373"/>
    <mergeCell ref="C376:AK376"/>
    <mergeCell ref="AL376:BC376"/>
    <mergeCell ref="B377:C377"/>
    <mergeCell ref="D377:G377"/>
    <mergeCell ref="H377:O377"/>
    <mergeCell ref="P377:S377"/>
    <mergeCell ref="T377:AM377"/>
    <mergeCell ref="AN377:BC377"/>
    <mergeCell ref="B378:C378"/>
    <mergeCell ref="D378:G378"/>
    <mergeCell ref="H378:O378"/>
    <mergeCell ref="P378:S378"/>
    <mergeCell ref="T378:AM378"/>
    <mergeCell ref="AN378:BC378"/>
    <mergeCell ref="B379:C379"/>
    <mergeCell ref="D379:G379"/>
    <mergeCell ref="H379:O379"/>
    <mergeCell ref="P379:S379"/>
    <mergeCell ref="T379:AM379"/>
    <mergeCell ref="AN379:BC379"/>
    <mergeCell ref="B380:C380"/>
    <mergeCell ref="D380:G380"/>
    <mergeCell ref="H380:O380"/>
    <mergeCell ref="P380:S380"/>
    <mergeCell ref="T380:AM380"/>
    <mergeCell ref="AN380:BC380"/>
    <mergeCell ref="B381:C381"/>
    <mergeCell ref="D381:G381"/>
    <mergeCell ref="H381:O381"/>
    <mergeCell ref="P381:S381"/>
    <mergeCell ref="T381:AM381"/>
    <mergeCell ref="AN381:BC381"/>
    <mergeCell ref="B382:C382"/>
    <mergeCell ref="D382:G382"/>
    <mergeCell ref="H382:O382"/>
    <mergeCell ref="P382:S382"/>
    <mergeCell ref="T382:AM382"/>
    <mergeCell ref="AN382:BC382"/>
    <mergeCell ref="B383:C383"/>
    <mergeCell ref="D383:G383"/>
    <mergeCell ref="H383:O383"/>
    <mergeCell ref="P383:S383"/>
    <mergeCell ref="T383:AM383"/>
    <mergeCell ref="AN383:BC383"/>
    <mergeCell ref="B384:C384"/>
    <mergeCell ref="D384:G384"/>
    <mergeCell ref="H384:O384"/>
    <mergeCell ref="P384:S384"/>
    <mergeCell ref="T384:AM384"/>
    <mergeCell ref="AN384:BC384"/>
    <mergeCell ref="B385:C385"/>
    <mergeCell ref="D385:G385"/>
    <mergeCell ref="H385:O385"/>
    <mergeCell ref="P385:S385"/>
    <mergeCell ref="T385:AM385"/>
    <mergeCell ref="AN385:BC385"/>
    <mergeCell ref="B386:C386"/>
    <mergeCell ref="D386:G386"/>
    <mergeCell ref="H386:O386"/>
    <mergeCell ref="P386:S386"/>
    <mergeCell ref="T386:AM386"/>
    <mergeCell ref="AN386:BC386"/>
    <mergeCell ref="B387:C387"/>
    <mergeCell ref="D387:G387"/>
    <mergeCell ref="H387:O387"/>
    <mergeCell ref="P387:S387"/>
    <mergeCell ref="T387:AM387"/>
    <mergeCell ref="AN387:BC387"/>
    <mergeCell ref="B388:C388"/>
    <mergeCell ref="D388:G388"/>
    <mergeCell ref="H388:O388"/>
    <mergeCell ref="P388:S388"/>
    <mergeCell ref="T388:AM388"/>
    <mergeCell ref="AN388:BC388"/>
    <mergeCell ref="B389:C389"/>
    <mergeCell ref="E389:BC389"/>
    <mergeCell ref="B391:AA391"/>
    <mergeCell ref="AB391:BC391"/>
    <mergeCell ref="B393:F393"/>
    <mergeCell ref="H393:P393"/>
    <mergeCell ref="AA393:AE393"/>
    <mergeCell ref="AF393:AP393"/>
    <mergeCell ref="AR393:AS393"/>
    <mergeCell ref="AT393:BC393"/>
    <mergeCell ref="C396:AK396"/>
    <mergeCell ref="AL396:BC396"/>
    <mergeCell ref="B397:C397"/>
    <mergeCell ref="D397:G397"/>
    <mergeCell ref="H397:O397"/>
    <mergeCell ref="P397:V397"/>
    <mergeCell ref="W397:AB397"/>
    <mergeCell ref="AC397:AF397"/>
    <mergeCell ref="AG397:BC397"/>
    <mergeCell ref="B398:C398"/>
    <mergeCell ref="D398:G398"/>
    <mergeCell ref="H398:O398"/>
    <mergeCell ref="P398:V398"/>
    <mergeCell ref="W398:AB398"/>
    <mergeCell ref="AC398:AF398"/>
    <mergeCell ref="AG398:BC398"/>
    <mergeCell ref="B399:C399"/>
    <mergeCell ref="D399:G399"/>
    <mergeCell ref="H399:O399"/>
    <mergeCell ref="P399:V399"/>
    <mergeCell ref="W399:AB399"/>
    <mergeCell ref="AC399:AF399"/>
    <mergeCell ref="AG399:BC399"/>
    <mergeCell ref="B400:C400"/>
    <mergeCell ref="D400:G400"/>
    <mergeCell ref="H400:O400"/>
    <mergeCell ref="P400:V400"/>
    <mergeCell ref="W400:AB400"/>
    <mergeCell ref="AC400:AF400"/>
    <mergeCell ref="AG400:BC400"/>
    <mergeCell ref="B401:C401"/>
    <mergeCell ref="D401:G401"/>
    <mergeCell ref="H401:O401"/>
    <mergeCell ref="P401:V401"/>
    <mergeCell ref="W401:AB401"/>
    <mergeCell ref="AC401:AF401"/>
    <mergeCell ref="AG401:BC401"/>
    <mergeCell ref="B402:C402"/>
    <mergeCell ref="D402:G402"/>
    <mergeCell ref="H402:O402"/>
    <mergeCell ref="P402:V402"/>
    <mergeCell ref="W402:AB402"/>
    <mergeCell ref="AC402:AF402"/>
    <mergeCell ref="AG402:BC402"/>
    <mergeCell ref="B403:C403"/>
    <mergeCell ref="D403:G403"/>
    <mergeCell ref="H403:O403"/>
    <mergeCell ref="P403:V403"/>
    <mergeCell ref="W403:AB403"/>
    <mergeCell ref="AC403:AF403"/>
    <mergeCell ref="AG403:BC403"/>
    <mergeCell ref="B404:C404"/>
    <mergeCell ref="E404:BC404"/>
    <mergeCell ref="C406:AK406"/>
    <mergeCell ref="AL406:BC406"/>
    <mergeCell ref="B407:C407"/>
    <mergeCell ref="D407:G407"/>
    <mergeCell ref="H407:O407"/>
    <mergeCell ref="P407:V407"/>
    <mergeCell ref="W407:AB407"/>
    <mergeCell ref="AC407:AF407"/>
    <mergeCell ref="AG407:BC407"/>
    <mergeCell ref="B408:C408"/>
    <mergeCell ref="D408:G408"/>
    <mergeCell ref="H408:O408"/>
    <mergeCell ref="P408:V408"/>
    <mergeCell ref="W408:AB408"/>
    <mergeCell ref="AC408:AF408"/>
    <mergeCell ref="AG408:BC408"/>
    <mergeCell ref="B409:C409"/>
    <mergeCell ref="D409:G409"/>
    <mergeCell ref="H409:O409"/>
    <mergeCell ref="P409:V409"/>
    <mergeCell ref="W409:AB409"/>
    <mergeCell ref="AC409:AF409"/>
    <mergeCell ref="AG409:BC409"/>
    <mergeCell ref="B410:C410"/>
    <mergeCell ref="D410:G410"/>
    <mergeCell ref="H410:O410"/>
    <mergeCell ref="P410:V410"/>
    <mergeCell ref="W410:AB410"/>
    <mergeCell ref="AC410:AF410"/>
    <mergeCell ref="AG410:BC410"/>
    <mergeCell ref="B411:C411"/>
    <mergeCell ref="D411:G411"/>
    <mergeCell ref="H411:O411"/>
    <mergeCell ref="P411:V411"/>
    <mergeCell ref="W411:AB411"/>
    <mergeCell ref="AC411:AF411"/>
    <mergeCell ref="AG411:BC411"/>
    <mergeCell ref="B412:C412"/>
    <mergeCell ref="D412:G412"/>
    <mergeCell ref="H412:O412"/>
    <mergeCell ref="P412:V412"/>
    <mergeCell ref="W412:AB412"/>
    <mergeCell ref="AC412:AF412"/>
    <mergeCell ref="AG412:BC412"/>
    <mergeCell ref="B413:C413"/>
    <mergeCell ref="E413:BC413"/>
    <mergeCell ref="B415:AA415"/>
    <mergeCell ref="AB415:BC415"/>
    <mergeCell ref="B417:F417"/>
    <mergeCell ref="H417:P417"/>
    <mergeCell ref="AA417:AE417"/>
    <mergeCell ref="AF417:AP417"/>
    <mergeCell ref="AR417:AS417"/>
    <mergeCell ref="AT417:BC417"/>
    <mergeCell ref="C420:AK420"/>
    <mergeCell ref="AL420:BC420"/>
    <mergeCell ref="B421:C421"/>
    <mergeCell ref="D421:G421"/>
    <mergeCell ref="H421:N421"/>
    <mergeCell ref="O421:AD421"/>
    <mergeCell ref="AE421:AH421"/>
    <mergeCell ref="AI421:AV421"/>
    <mergeCell ref="AW421:BC421"/>
    <mergeCell ref="B422:C422"/>
    <mergeCell ref="D422:G422"/>
    <mergeCell ref="H422:N422"/>
    <mergeCell ref="O422:AD422"/>
    <mergeCell ref="AE422:AH422"/>
    <mergeCell ref="AI422:AV422"/>
    <mergeCell ref="AW422:BC422"/>
    <mergeCell ref="B423:C423"/>
    <mergeCell ref="D423:G423"/>
    <mergeCell ref="H423:N423"/>
    <mergeCell ref="O423:AD423"/>
    <mergeCell ref="AE423:AH423"/>
    <mergeCell ref="AI423:AV423"/>
    <mergeCell ref="AW423:BC423"/>
    <mergeCell ref="B424:C424"/>
    <mergeCell ref="D424:G424"/>
    <mergeCell ref="H424:N424"/>
    <mergeCell ref="O424:AD424"/>
    <mergeCell ref="AE424:AH424"/>
    <mergeCell ref="AI424:AV424"/>
    <mergeCell ref="AW424:BC424"/>
    <mergeCell ref="B425:C425"/>
    <mergeCell ref="D425:G425"/>
    <mergeCell ref="H425:N425"/>
    <mergeCell ref="O425:AD425"/>
    <mergeCell ref="AE425:AH425"/>
    <mergeCell ref="AI425:AV425"/>
    <mergeCell ref="AW425:BC425"/>
    <mergeCell ref="B426:C426"/>
    <mergeCell ref="D426:G426"/>
    <mergeCell ref="H426:N426"/>
    <mergeCell ref="O426:AD426"/>
    <mergeCell ref="AE426:AH426"/>
    <mergeCell ref="AI426:AV426"/>
    <mergeCell ref="AW426:BC426"/>
    <mergeCell ref="B427:C427"/>
    <mergeCell ref="E427:BC427"/>
    <mergeCell ref="C429:AK429"/>
    <mergeCell ref="AL429:BC429"/>
    <mergeCell ref="B430:C430"/>
    <mergeCell ref="D430:G430"/>
    <mergeCell ref="H430:P430"/>
    <mergeCell ref="Q430:W430"/>
    <mergeCell ref="X430:AB430"/>
    <mergeCell ref="AC430:AG430"/>
    <mergeCell ref="AH430:AK430"/>
    <mergeCell ref="AL430:BC430"/>
    <mergeCell ref="B431:C431"/>
    <mergeCell ref="D431:G431"/>
    <mergeCell ref="H431:P431"/>
    <mergeCell ref="Q431:W431"/>
    <mergeCell ref="X431:AB431"/>
    <mergeCell ref="AC431:AG431"/>
    <mergeCell ref="AH431:AK431"/>
    <mergeCell ref="AL431:BC431"/>
    <mergeCell ref="B432:C432"/>
    <mergeCell ref="D432:G432"/>
    <mergeCell ref="H432:P432"/>
    <mergeCell ref="Q432:W432"/>
    <mergeCell ref="X432:AB432"/>
    <mergeCell ref="AC432:AG432"/>
    <mergeCell ref="AH432:AK432"/>
    <mergeCell ref="AL432:BC432"/>
    <mergeCell ref="B433:C433"/>
    <mergeCell ref="D433:G433"/>
    <mergeCell ref="H433:P433"/>
    <mergeCell ref="Q433:W433"/>
    <mergeCell ref="X433:AB433"/>
    <mergeCell ref="AC433:AG433"/>
    <mergeCell ref="AH433:AK433"/>
    <mergeCell ref="AL433:BC433"/>
    <mergeCell ref="B434:C434"/>
    <mergeCell ref="D434:G434"/>
    <mergeCell ref="H434:P434"/>
    <mergeCell ref="Q434:W434"/>
    <mergeCell ref="X434:AB434"/>
    <mergeCell ref="AC434:AG434"/>
    <mergeCell ref="AH434:AK434"/>
    <mergeCell ref="AL434:BC434"/>
    <mergeCell ref="B435:C435"/>
    <mergeCell ref="D435:G435"/>
    <mergeCell ref="H435:P435"/>
    <mergeCell ref="Q435:W435"/>
    <mergeCell ref="X435:AB435"/>
    <mergeCell ref="AC435:AG435"/>
    <mergeCell ref="AH435:AK435"/>
    <mergeCell ref="AL435:BC435"/>
    <mergeCell ref="B436:C436"/>
    <mergeCell ref="E436:BC436"/>
    <mergeCell ref="B438:AA438"/>
    <mergeCell ref="AB438:BC438"/>
    <mergeCell ref="B440:F440"/>
    <mergeCell ref="H440:P440"/>
    <mergeCell ref="AA440:AE440"/>
    <mergeCell ref="AF440:AP440"/>
    <mergeCell ref="AR440:AS440"/>
    <mergeCell ref="AT440:BC440"/>
    <mergeCell ref="C443:AK443"/>
    <mergeCell ref="AL443:BC443"/>
    <mergeCell ref="B444:C444"/>
    <mergeCell ref="D444:G444"/>
    <mergeCell ref="H444:K444"/>
    <mergeCell ref="L444:AG444"/>
    <mergeCell ref="AH444:AK444"/>
    <mergeCell ref="AL444:AU444"/>
    <mergeCell ref="AV444:BC444"/>
    <mergeCell ref="B445:C445"/>
    <mergeCell ref="D445:G445"/>
    <mergeCell ref="H445:K445"/>
    <mergeCell ref="L445:AG445"/>
    <mergeCell ref="AH445:AK445"/>
    <mergeCell ref="AL445:AU445"/>
    <mergeCell ref="AV445:BC445"/>
    <mergeCell ref="B446:C446"/>
    <mergeCell ref="D446:G446"/>
    <mergeCell ref="H446:K446"/>
    <mergeCell ref="L446:AG446"/>
    <mergeCell ref="AH446:AK446"/>
    <mergeCell ref="AL446:AU446"/>
    <mergeCell ref="AV446:BC446"/>
    <mergeCell ref="B447:C447"/>
    <mergeCell ref="D447:G447"/>
    <mergeCell ref="H447:K447"/>
    <mergeCell ref="L447:AG447"/>
    <mergeCell ref="AH447:AK447"/>
    <mergeCell ref="AL447:AU447"/>
    <mergeCell ref="AV447:BC447"/>
    <mergeCell ref="B448:C448"/>
    <mergeCell ref="D448:G448"/>
    <mergeCell ref="H448:K448"/>
    <mergeCell ref="L448:AG448"/>
    <mergeCell ref="AH448:AK448"/>
    <mergeCell ref="AL448:AU448"/>
    <mergeCell ref="AV448:BC448"/>
    <mergeCell ref="B449:C449"/>
    <mergeCell ref="D449:G449"/>
    <mergeCell ref="H449:K449"/>
    <mergeCell ref="L449:AG449"/>
    <mergeCell ref="AH449:AK449"/>
    <mergeCell ref="AL449:AU449"/>
    <mergeCell ref="AV449:BC449"/>
    <mergeCell ref="B450:C450"/>
    <mergeCell ref="D450:G450"/>
    <mergeCell ref="H450:K450"/>
    <mergeCell ref="L450:AG450"/>
    <mergeCell ref="AH450:AK450"/>
    <mergeCell ref="AL450:AU450"/>
    <mergeCell ref="AV450:BC450"/>
    <mergeCell ref="B451:C451"/>
    <mergeCell ref="E451:BC451"/>
    <mergeCell ref="C453:AK453"/>
    <mergeCell ref="AL453:BC453"/>
    <mergeCell ref="B454:C454"/>
    <mergeCell ref="D454:G454"/>
    <mergeCell ref="H454:O454"/>
    <mergeCell ref="P454:S454"/>
    <mergeCell ref="T454:AE454"/>
    <mergeCell ref="AF454:BC454"/>
    <mergeCell ref="B455:C455"/>
    <mergeCell ref="D455:G455"/>
    <mergeCell ref="H455:O455"/>
    <mergeCell ref="P455:S455"/>
    <mergeCell ref="T455:AE455"/>
    <mergeCell ref="AF455:BC455"/>
    <mergeCell ref="B456:C456"/>
    <mergeCell ref="D456:G456"/>
    <mergeCell ref="H456:O456"/>
    <mergeCell ref="P456:S456"/>
    <mergeCell ref="T456:AE456"/>
    <mergeCell ref="AF456:BC456"/>
    <mergeCell ref="B457:C457"/>
    <mergeCell ref="D457:G457"/>
    <mergeCell ref="H457:O457"/>
    <mergeCell ref="P457:S457"/>
    <mergeCell ref="T457:AE457"/>
    <mergeCell ref="AF457:BC457"/>
    <mergeCell ref="B458:C458"/>
    <mergeCell ref="D458:G458"/>
    <mergeCell ref="H458:O458"/>
    <mergeCell ref="P458:S458"/>
    <mergeCell ref="T458:AE458"/>
    <mergeCell ref="AF458:BC458"/>
    <mergeCell ref="B459:C459"/>
    <mergeCell ref="D459:G459"/>
    <mergeCell ref="H459:O459"/>
    <mergeCell ref="P459:S459"/>
    <mergeCell ref="T459:AE459"/>
    <mergeCell ref="AF459:BC459"/>
    <mergeCell ref="B460:C460"/>
    <mergeCell ref="D460:G460"/>
    <mergeCell ref="H460:O460"/>
    <mergeCell ref="P460:S460"/>
    <mergeCell ref="T460:AE460"/>
    <mergeCell ref="AF460:BC460"/>
    <mergeCell ref="B461:C461"/>
    <mergeCell ref="D461:G461"/>
    <mergeCell ref="H461:O461"/>
    <mergeCell ref="P461:S461"/>
    <mergeCell ref="T461:AE461"/>
    <mergeCell ref="AF461:BC461"/>
    <mergeCell ref="B462:C462"/>
    <mergeCell ref="E462:BC462"/>
    <mergeCell ref="B464:AA464"/>
    <mergeCell ref="AB464:BC464"/>
    <mergeCell ref="B466:F466"/>
    <mergeCell ref="H466:P466"/>
    <mergeCell ref="AA466:AE466"/>
    <mergeCell ref="AF466:AP466"/>
    <mergeCell ref="AR466:AS466"/>
    <mergeCell ref="AT466:BC466"/>
    <mergeCell ref="C469:AK469"/>
    <mergeCell ref="AL469:BC469"/>
    <mergeCell ref="B470:C470"/>
    <mergeCell ref="D470:M470"/>
    <mergeCell ref="N470:U470"/>
    <mergeCell ref="V470:AU470"/>
    <mergeCell ref="AV470:BC470"/>
    <mergeCell ref="B471:C471"/>
    <mergeCell ref="D471:M471"/>
    <mergeCell ref="N471:U471"/>
    <mergeCell ref="V471:AU471"/>
    <mergeCell ref="AV471:BC471"/>
    <mergeCell ref="B472:C472"/>
    <mergeCell ref="D472:M472"/>
    <mergeCell ref="N472:U472"/>
    <mergeCell ref="V472:AU472"/>
    <mergeCell ref="AV472:BC472"/>
    <mergeCell ref="B473:C473"/>
    <mergeCell ref="D473:M473"/>
    <mergeCell ref="N473:U473"/>
    <mergeCell ref="V473:AU473"/>
    <mergeCell ref="AV473:BC473"/>
    <mergeCell ref="B474:C474"/>
    <mergeCell ref="D474:M474"/>
    <mergeCell ref="N474:U474"/>
    <mergeCell ref="V474:AU474"/>
    <mergeCell ref="AV474:BC474"/>
    <mergeCell ref="B475:C475"/>
    <mergeCell ref="D475:M475"/>
    <mergeCell ref="N475:U475"/>
    <mergeCell ref="V475:AU475"/>
    <mergeCell ref="AV475:BC475"/>
    <mergeCell ref="B476:C476"/>
    <mergeCell ref="D476:M476"/>
    <mergeCell ref="N476:U476"/>
    <mergeCell ref="V476:AU476"/>
    <mergeCell ref="AV476:BC476"/>
    <mergeCell ref="C478:AK478"/>
    <mergeCell ref="AL478:BC478"/>
    <mergeCell ref="B479:C479"/>
    <mergeCell ref="D479:L479"/>
    <mergeCell ref="M479:X479"/>
    <mergeCell ref="Y479:AO479"/>
    <mergeCell ref="AP479:BC479"/>
    <mergeCell ref="B480:C480"/>
    <mergeCell ref="D480:L480"/>
    <mergeCell ref="M480:X480"/>
    <mergeCell ref="Y480:AO480"/>
    <mergeCell ref="AP480:BC480"/>
    <mergeCell ref="B481:C481"/>
    <mergeCell ref="D481:L481"/>
    <mergeCell ref="M481:X481"/>
    <mergeCell ref="Y481:AO481"/>
    <mergeCell ref="AP481:BC481"/>
    <mergeCell ref="B482:C482"/>
    <mergeCell ref="D482:L482"/>
    <mergeCell ref="M482:X482"/>
    <mergeCell ref="Y482:AO482"/>
    <mergeCell ref="AP482:BC482"/>
    <mergeCell ref="B483:C483"/>
    <mergeCell ref="D483:L483"/>
    <mergeCell ref="M483:X483"/>
    <mergeCell ref="Y483:AO483"/>
    <mergeCell ref="AP483:BC483"/>
    <mergeCell ref="B484:C484"/>
    <mergeCell ref="D484:L484"/>
    <mergeCell ref="M484:X484"/>
    <mergeCell ref="Y484:AO484"/>
    <mergeCell ref="AP484:BC484"/>
    <mergeCell ref="B486:AA486"/>
    <mergeCell ref="AB486:BC486"/>
    <mergeCell ref="B488:F488"/>
    <mergeCell ref="H488:P488"/>
    <mergeCell ref="AA488:AE488"/>
    <mergeCell ref="AF488:AP488"/>
    <mergeCell ref="AR488:AS488"/>
    <mergeCell ref="AT488:BC488"/>
    <mergeCell ref="C491:AK491"/>
    <mergeCell ref="AL491:BC491"/>
    <mergeCell ref="B492:C492"/>
    <mergeCell ref="D492:G492"/>
    <mergeCell ref="H492:P492"/>
    <mergeCell ref="Q492:V492"/>
    <mergeCell ref="W492:BC492"/>
    <mergeCell ref="B493:C493"/>
    <mergeCell ref="D493:G493"/>
    <mergeCell ref="H493:P493"/>
    <mergeCell ref="Q493:V493"/>
    <mergeCell ref="W493:BC493"/>
    <mergeCell ref="B494:C494"/>
    <mergeCell ref="D494:G494"/>
    <mergeCell ref="H494:P494"/>
    <mergeCell ref="Q494:V494"/>
    <mergeCell ref="W494:BC494"/>
    <mergeCell ref="B495:C495"/>
    <mergeCell ref="D495:G495"/>
    <mergeCell ref="H495:P495"/>
    <mergeCell ref="Q495:V495"/>
    <mergeCell ref="W495:BC495"/>
    <mergeCell ref="B496:C496"/>
    <mergeCell ref="D496:G496"/>
    <mergeCell ref="H496:P496"/>
    <mergeCell ref="Q496:V496"/>
    <mergeCell ref="W496:BC496"/>
    <mergeCell ref="B497:C497"/>
    <mergeCell ref="E497:BC497"/>
    <mergeCell ref="C499:AE499"/>
    <mergeCell ref="AF499:BC499"/>
    <mergeCell ref="C500:M500"/>
    <mergeCell ref="Q500:AA500"/>
    <mergeCell ref="AE500:AO500"/>
    <mergeCell ref="AS500:BB500"/>
    <mergeCell ref="C501:M501"/>
    <mergeCell ref="Q501:AA501"/>
    <mergeCell ref="AE501:AO501"/>
    <mergeCell ref="AS501:AW501"/>
    <mergeCell ref="AY501:BB501"/>
    <mergeCell ref="C502:M502"/>
    <mergeCell ref="Q502:AA502"/>
    <mergeCell ref="AE502:AO502"/>
    <mergeCell ref="AS502:AW502"/>
    <mergeCell ref="AY502:BB502"/>
    <mergeCell ref="C505:M505"/>
    <mergeCell ref="Q505:AA505"/>
    <mergeCell ref="AE505:AO505"/>
    <mergeCell ref="AS505:BB505"/>
    <mergeCell ref="C506:G506"/>
    <mergeCell ref="I506:M506"/>
    <mergeCell ref="Q506:U506"/>
    <mergeCell ref="W506:AA506"/>
    <mergeCell ref="AE506:AI506"/>
    <mergeCell ref="AK506:AO506"/>
    <mergeCell ref="AS506:BB506"/>
    <mergeCell ref="C507:G507"/>
    <mergeCell ref="I507:M507"/>
    <mergeCell ref="Q507:U507"/>
    <mergeCell ref="W507:AA507"/>
    <mergeCell ref="AE507:AI507"/>
    <mergeCell ref="AK507:AO507"/>
    <mergeCell ref="AS507:BB507"/>
    <mergeCell ref="B512:P512"/>
    <mergeCell ref="Q512:AA512"/>
    <mergeCell ref="AC512:AR512"/>
    <mergeCell ref="AS512:BC512"/>
    <mergeCell ref="B513:AA513"/>
    <mergeCell ref="AB513:BC513"/>
    <mergeCell ref="C515:AQ515"/>
    <mergeCell ref="AU515:BA515"/>
    <mergeCell ref="C516:AQ516"/>
    <mergeCell ref="AR516:BA516"/>
    <mergeCell ref="C517:AQ517"/>
    <mergeCell ref="B521:S521"/>
    <mergeCell ref="U521:AE521"/>
    <mergeCell ref="AG521:AQ521"/>
    <mergeCell ref="AS521:BC521"/>
    <mergeCell ref="B522:S522"/>
    <mergeCell ref="U522:AE522"/>
    <mergeCell ref="AG522:AQ522"/>
    <mergeCell ref="AS522:BC522"/>
    <mergeCell ref="C524:BC525"/>
    <mergeCell ref="C527:AK527"/>
    <mergeCell ref="AL527:BC527"/>
    <mergeCell ref="B528:C528"/>
    <mergeCell ref="D528:G528"/>
    <mergeCell ref="H528:N528"/>
    <mergeCell ref="O528:U528"/>
    <mergeCell ref="V528:Y528"/>
    <mergeCell ref="Z528:BC528"/>
    <mergeCell ref="B529:C529"/>
    <mergeCell ref="D529:G529"/>
    <mergeCell ref="H529:N529"/>
    <mergeCell ref="O529:U529"/>
    <mergeCell ref="V529:Y529"/>
    <mergeCell ref="Z529:BC529"/>
    <mergeCell ref="B530:C530"/>
    <mergeCell ref="D530:G530"/>
    <mergeCell ref="H530:N530"/>
    <mergeCell ref="O530:U530"/>
    <mergeCell ref="V530:Y530"/>
    <mergeCell ref="Z530:BC530"/>
    <mergeCell ref="B531:C531"/>
    <mergeCell ref="D531:G531"/>
    <mergeCell ref="H531:N531"/>
    <mergeCell ref="O531:U531"/>
    <mergeCell ref="V531:Y531"/>
    <mergeCell ref="Z531:BC531"/>
    <mergeCell ref="B532:C532"/>
    <mergeCell ref="D532:G532"/>
    <mergeCell ref="H532:N532"/>
    <mergeCell ref="O532:U532"/>
    <mergeCell ref="V532:Y532"/>
    <mergeCell ref="Z532:BC532"/>
    <mergeCell ref="B533:C533"/>
    <mergeCell ref="D533:G533"/>
    <mergeCell ref="H533:N533"/>
    <mergeCell ref="O533:U533"/>
    <mergeCell ref="V533:Y533"/>
    <mergeCell ref="Z533:BC533"/>
    <mergeCell ref="B534:C534"/>
    <mergeCell ref="D534:G534"/>
    <mergeCell ref="H534:N534"/>
    <mergeCell ref="O534:U534"/>
    <mergeCell ref="V534:Y534"/>
    <mergeCell ref="Z534:BC534"/>
    <mergeCell ref="B535:C535"/>
    <mergeCell ref="D535:G535"/>
    <mergeCell ref="H535:N535"/>
    <mergeCell ref="O535:U535"/>
    <mergeCell ref="V535:Y535"/>
    <mergeCell ref="Z535:BC535"/>
    <mergeCell ref="B536:C536"/>
    <mergeCell ref="D536:G536"/>
    <mergeCell ref="H536:N536"/>
    <mergeCell ref="O536:U536"/>
    <mergeCell ref="V536:Y536"/>
    <mergeCell ref="Z536:BC536"/>
    <mergeCell ref="B537:C537"/>
    <mergeCell ref="D537:G537"/>
    <mergeCell ref="H537:N537"/>
    <mergeCell ref="O537:U537"/>
    <mergeCell ref="V537:Y537"/>
    <mergeCell ref="Z537:BC537"/>
    <mergeCell ref="B538:C538"/>
    <mergeCell ref="D538:G538"/>
    <mergeCell ref="H538:N538"/>
    <mergeCell ref="O538:U538"/>
    <mergeCell ref="V538:Y538"/>
    <mergeCell ref="Z538:BC538"/>
    <mergeCell ref="B539:C539"/>
    <mergeCell ref="D539:G539"/>
    <mergeCell ref="H539:N539"/>
    <mergeCell ref="O539:U539"/>
    <mergeCell ref="V539:Y539"/>
    <mergeCell ref="Z539:BC539"/>
    <mergeCell ref="B540:C540"/>
    <mergeCell ref="E540:BC540"/>
    <mergeCell ref="B542:AA542"/>
    <mergeCell ref="AB542:BC542"/>
    <mergeCell ref="B544:F544"/>
    <mergeCell ref="H544:P544"/>
    <mergeCell ref="AA544:AE544"/>
    <mergeCell ref="AF544:AP544"/>
    <mergeCell ref="AR544:AS544"/>
    <mergeCell ref="AT544:BC544"/>
    <mergeCell ref="C547:AK547"/>
    <mergeCell ref="AL547:BC547"/>
    <mergeCell ref="B548:C548"/>
    <mergeCell ref="D548:G548"/>
    <mergeCell ref="H548:O548"/>
    <mergeCell ref="P548:S548"/>
    <mergeCell ref="T548:AM548"/>
    <mergeCell ref="AN548:BC548"/>
    <mergeCell ref="B549:C549"/>
    <mergeCell ref="D549:G549"/>
    <mergeCell ref="H549:O549"/>
    <mergeCell ref="P549:S549"/>
    <mergeCell ref="T549:AM549"/>
    <mergeCell ref="AN549:BC549"/>
    <mergeCell ref="B550:C550"/>
    <mergeCell ref="D550:G550"/>
    <mergeCell ref="H550:O550"/>
    <mergeCell ref="P550:S550"/>
    <mergeCell ref="T550:AM550"/>
    <mergeCell ref="AN550:BC550"/>
    <mergeCell ref="B551:C551"/>
    <mergeCell ref="D551:G551"/>
    <mergeCell ref="H551:O551"/>
    <mergeCell ref="P551:S551"/>
    <mergeCell ref="T551:AM551"/>
    <mergeCell ref="AN551:BC551"/>
    <mergeCell ref="B552:C552"/>
    <mergeCell ref="D552:G552"/>
    <mergeCell ref="H552:O552"/>
    <mergeCell ref="P552:S552"/>
    <mergeCell ref="T552:AM552"/>
    <mergeCell ref="AN552:BC552"/>
    <mergeCell ref="B553:C553"/>
    <mergeCell ref="D553:G553"/>
    <mergeCell ref="H553:O553"/>
    <mergeCell ref="P553:S553"/>
    <mergeCell ref="T553:AM553"/>
    <mergeCell ref="AN553:BC553"/>
    <mergeCell ref="B554:C554"/>
    <mergeCell ref="D554:G554"/>
    <mergeCell ref="H554:O554"/>
    <mergeCell ref="P554:S554"/>
    <mergeCell ref="T554:AM554"/>
    <mergeCell ref="AN554:BC554"/>
    <mergeCell ref="B555:C555"/>
    <mergeCell ref="D555:G555"/>
    <mergeCell ref="H555:O555"/>
    <mergeCell ref="P555:S555"/>
    <mergeCell ref="T555:AM555"/>
    <mergeCell ref="AN555:BC555"/>
    <mergeCell ref="B556:C556"/>
    <mergeCell ref="D556:G556"/>
    <mergeCell ref="H556:O556"/>
    <mergeCell ref="P556:S556"/>
    <mergeCell ref="T556:AM556"/>
    <mergeCell ref="AN556:BC556"/>
    <mergeCell ref="B557:C557"/>
    <mergeCell ref="D557:G557"/>
    <mergeCell ref="H557:O557"/>
    <mergeCell ref="P557:S557"/>
    <mergeCell ref="T557:AM557"/>
    <mergeCell ref="AN557:BC557"/>
    <mergeCell ref="B558:C558"/>
    <mergeCell ref="D558:G558"/>
    <mergeCell ref="H558:O558"/>
    <mergeCell ref="P558:S558"/>
    <mergeCell ref="T558:AM558"/>
    <mergeCell ref="AN558:BC558"/>
    <mergeCell ref="B559:C559"/>
    <mergeCell ref="D559:G559"/>
    <mergeCell ref="H559:O559"/>
    <mergeCell ref="P559:S559"/>
    <mergeCell ref="T559:AM559"/>
    <mergeCell ref="AN559:BC559"/>
    <mergeCell ref="B560:C560"/>
    <mergeCell ref="E560:BC560"/>
    <mergeCell ref="B562:AA562"/>
    <mergeCell ref="AB562:BC562"/>
    <mergeCell ref="B564:F564"/>
    <mergeCell ref="H564:P564"/>
    <mergeCell ref="AA564:AE564"/>
    <mergeCell ref="AF564:AP564"/>
    <mergeCell ref="AR564:AS564"/>
    <mergeCell ref="AT564:BC564"/>
    <mergeCell ref="C567:AK567"/>
    <mergeCell ref="AL567:BC567"/>
    <mergeCell ref="B568:C568"/>
    <mergeCell ref="D568:G568"/>
    <mergeCell ref="H568:O568"/>
    <mergeCell ref="P568:V568"/>
    <mergeCell ref="W568:AB568"/>
    <mergeCell ref="AC568:AF568"/>
    <mergeCell ref="AG568:BC568"/>
    <mergeCell ref="B569:C569"/>
    <mergeCell ref="D569:G569"/>
    <mergeCell ref="H569:O569"/>
    <mergeCell ref="P569:V569"/>
    <mergeCell ref="W569:AB569"/>
    <mergeCell ref="AC569:AF569"/>
    <mergeCell ref="AG569:BC569"/>
    <mergeCell ref="B570:C570"/>
    <mergeCell ref="D570:G570"/>
    <mergeCell ref="H570:O570"/>
    <mergeCell ref="P570:V570"/>
    <mergeCell ref="W570:AB570"/>
    <mergeCell ref="AC570:AF570"/>
    <mergeCell ref="AG570:BC570"/>
    <mergeCell ref="B571:C571"/>
    <mergeCell ref="D571:G571"/>
    <mergeCell ref="H571:O571"/>
    <mergeCell ref="P571:V571"/>
    <mergeCell ref="W571:AB571"/>
    <mergeCell ref="AC571:AF571"/>
    <mergeCell ref="AG571:BC571"/>
    <mergeCell ref="B572:C572"/>
    <mergeCell ref="D572:G572"/>
    <mergeCell ref="H572:O572"/>
    <mergeCell ref="P572:V572"/>
    <mergeCell ref="W572:AB572"/>
    <mergeCell ref="AC572:AF572"/>
    <mergeCell ref="AG572:BC572"/>
    <mergeCell ref="B573:C573"/>
    <mergeCell ref="D573:G573"/>
    <mergeCell ref="H573:O573"/>
    <mergeCell ref="P573:V573"/>
    <mergeCell ref="W573:AB573"/>
    <mergeCell ref="AC573:AF573"/>
    <mergeCell ref="AG573:BC573"/>
    <mergeCell ref="B574:C574"/>
    <mergeCell ref="D574:G574"/>
    <mergeCell ref="H574:O574"/>
    <mergeCell ref="P574:V574"/>
    <mergeCell ref="W574:AB574"/>
    <mergeCell ref="AC574:AF574"/>
    <mergeCell ref="AG574:BC574"/>
    <mergeCell ref="B575:C575"/>
    <mergeCell ref="E575:BC575"/>
    <mergeCell ref="C577:AK577"/>
    <mergeCell ref="AL577:BC577"/>
    <mergeCell ref="B578:C578"/>
    <mergeCell ref="D578:G578"/>
    <mergeCell ref="H578:O578"/>
    <mergeCell ref="P578:V578"/>
    <mergeCell ref="W578:AB578"/>
    <mergeCell ref="AC578:AF578"/>
    <mergeCell ref="AG578:BC578"/>
    <mergeCell ref="B579:C579"/>
    <mergeCell ref="D579:G579"/>
    <mergeCell ref="H579:O579"/>
    <mergeCell ref="P579:V579"/>
    <mergeCell ref="W579:AB579"/>
    <mergeCell ref="AC579:AF579"/>
    <mergeCell ref="AG579:BC579"/>
    <mergeCell ref="B580:C580"/>
    <mergeCell ref="D580:G580"/>
    <mergeCell ref="H580:O580"/>
    <mergeCell ref="P580:V580"/>
    <mergeCell ref="W580:AB580"/>
    <mergeCell ref="AC580:AF580"/>
    <mergeCell ref="AG580:BC580"/>
    <mergeCell ref="B581:C581"/>
    <mergeCell ref="D581:G581"/>
    <mergeCell ref="H581:O581"/>
    <mergeCell ref="P581:V581"/>
    <mergeCell ref="W581:AB581"/>
    <mergeCell ref="AC581:AF581"/>
    <mergeCell ref="AG581:BC581"/>
    <mergeCell ref="B582:C582"/>
    <mergeCell ref="D582:G582"/>
    <mergeCell ref="H582:O582"/>
    <mergeCell ref="P582:V582"/>
    <mergeCell ref="W582:AB582"/>
    <mergeCell ref="AC582:AF582"/>
    <mergeCell ref="AG582:BC582"/>
    <mergeCell ref="B583:C583"/>
    <mergeCell ref="D583:G583"/>
    <mergeCell ref="H583:O583"/>
    <mergeCell ref="P583:V583"/>
    <mergeCell ref="W583:AB583"/>
    <mergeCell ref="AC583:AF583"/>
    <mergeCell ref="AG583:BC583"/>
    <mergeCell ref="B584:C584"/>
    <mergeCell ref="E584:BC584"/>
    <mergeCell ref="B586:AA586"/>
    <mergeCell ref="AB586:BC586"/>
    <mergeCell ref="B588:F588"/>
    <mergeCell ref="H588:P588"/>
    <mergeCell ref="AA588:AE588"/>
    <mergeCell ref="AF588:AP588"/>
    <mergeCell ref="AR588:AS588"/>
    <mergeCell ref="AT588:BC588"/>
    <mergeCell ref="C591:AK591"/>
    <mergeCell ref="AL591:BC591"/>
    <mergeCell ref="B592:C592"/>
    <mergeCell ref="D592:G592"/>
    <mergeCell ref="H592:N592"/>
    <mergeCell ref="O592:AD592"/>
    <mergeCell ref="AE592:AH592"/>
    <mergeCell ref="AI592:AV592"/>
    <mergeCell ref="AW592:BC592"/>
    <mergeCell ref="B593:C593"/>
    <mergeCell ref="D593:G593"/>
    <mergeCell ref="H593:N593"/>
    <mergeCell ref="O593:AD593"/>
    <mergeCell ref="AE593:AH593"/>
    <mergeCell ref="AI593:AV593"/>
    <mergeCell ref="AW593:BC593"/>
    <mergeCell ref="B594:C594"/>
    <mergeCell ref="D594:G594"/>
    <mergeCell ref="H594:N594"/>
    <mergeCell ref="O594:AD594"/>
    <mergeCell ref="AE594:AH594"/>
    <mergeCell ref="AI594:AV594"/>
    <mergeCell ref="AW594:BC594"/>
    <mergeCell ref="B595:C595"/>
    <mergeCell ref="D595:G595"/>
    <mergeCell ref="H595:N595"/>
    <mergeCell ref="O595:AD595"/>
    <mergeCell ref="AE595:AH595"/>
    <mergeCell ref="AI595:AV595"/>
    <mergeCell ref="AW595:BC595"/>
    <mergeCell ref="B596:C596"/>
    <mergeCell ref="D596:G596"/>
    <mergeCell ref="H596:N596"/>
    <mergeCell ref="O596:AD596"/>
    <mergeCell ref="AE596:AH596"/>
    <mergeCell ref="AI596:AV596"/>
    <mergeCell ref="AW596:BC596"/>
    <mergeCell ref="B597:C597"/>
    <mergeCell ref="D597:G597"/>
    <mergeCell ref="H597:N597"/>
    <mergeCell ref="O597:AD597"/>
    <mergeCell ref="AE597:AH597"/>
    <mergeCell ref="AI597:AV597"/>
    <mergeCell ref="AW597:BC597"/>
    <mergeCell ref="B598:C598"/>
    <mergeCell ref="E598:BC598"/>
    <mergeCell ref="C600:AK600"/>
    <mergeCell ref="AL600:BC600"/>
    <mergeCell ref="B601:C601"/>
    <mergeCell ref="D601:G601"/>
    <mergeCell ref="H601:P601"/>
    <mergeCell ref="Q601:W601"/>
    <mergeCell ref="X601:AB601"/>
    <mergeCell ref="AC601:AG601"/>
    <mergeCell ref="AH601:AK601"/>
    <mergeCell ref="AL601:BC601"/>
    <mergeCell ref="B602:C602"/>
    <mergeCell ref="D602:G602"/>
    <mergeCell ref="H602:P602"/>
    <mergeCell ref="Q602:W602"/>
    <mergeCell ref="X602:AB602"/>
    <mergeCell ref="AC602:AG602"/>
    <mergeCell ref="AH602:AK602"/>
    <mergeCell ref="AL602:BC602"/>
    <mergeCell ref="B603:C603"/>
    <mergeCell ref="D603:G603"/>
    <mergeCell ref="H603:P603"/>
    <mergeCell ref="Q603:W603"/>
    <mergeCell ref="X603:AB603"/>
    <mergeCell ref="AC603:AG603"/>
    <mergeCell ref="AH603:AK603"/>
    <mergeCell ref="AL603:BC603"/>
    <mergeCell ref="B604:C604"/>
    <mergeCell ref="D604:G604"/>
    <mergeCell ref="H604:P604"/>
    <mergeCell ref="Q604:W604"/>
    <mergeCell ref="X604:AB604"/>
    <mergeCell ref="AC604:AG604"/>
    <mergeCell ref="AH604:AK604"/>
    <mergeCell ref="AL604:BC604"/>
    <mergeCell ref="B605:C605"/>
    <mergeCell ref="D605:G605"/>
    <mergeCell ref="H605:P605"/>
    <mergeCell ref="Q605:W605"/>
    <mergeCell ref="X605:AB605"/>
    <mergeCell ref="AC605:AG605"/>
    <mergeCell ref="AH605:AK605"/>
    <mergeCell ref="AL605:BC605"/>
    <mergeCell ref="B606:C606"/>
    <mergeCell ref="D606:G606"/>
    <mergeCell ref="H606:P606"/>
    <mergeCell ref="Q606:W606"/>
    <mergeCell ref="X606:AB606"/>
    <mergeCell ref="AC606:AG606"/>
    <mergeCell ref="AH606:AK606"/>
    <mergeCell ref="AL606:BC606"/>
    <mergeCell ref="B607:C607"/>
    <mergeCell ref="E607:BC607"/>
    <mergeCell ref="B609:AA609"/>
    <mergeCell ref="AB609:BC609"/>
    <mergeCell ref="B611:F611"/>
    <mergeCell ref="H611:P611"/>
    <mergeCell ref="AA611:AE611"/>
    <mergeCell ref="AF611:AP611"/>
    <mergeCell ref="AR611:AS611"/>
    <mergeCell ref="AT611:BC611"/>
    <mergeCell ref="C614:AK614"/>
    <mergeCell ref="AL614:BC614"/>
    <mergeCell ref="B615:C615"/>
    <mergeCell ref="D615:G615"/>
    <mergeCell ref="H615:K615"/>
    <mergeCell ref="L615:AG615"/>
    <mergeCell ref="AH615:AK615"/>
    <mergeCell ref="AL615:AU615"/>
    <mergeCell ref="AV615:BC615"/>
    <mergeCell ref="B616:C616"/>
    <mergeCell ref="D616:G616"/>
    <mergeCell ref="H616:K616"/>
    <mergeCell ref="L616:AG616"/>
    <mergeCell ref="AH616:AK616"/>
    <mergeCell ref="AL616:AU616"/>
    <mergeCell ref="AV616:BC616"/>
    <mergeCell ref="B617:C617"/>
    <mergeCell ref="D617:G617"/>
    <mergeCell ref="H617:K617"/>
    <mergeCell ref="L617:AG617"/>
    <mergeCell ref="AH617:AK617"/>
    <mergeCell ref="AL617:AU617"/>
    <mergeCell ref="AV617:BC617"/>
    <mergeCell ref="B618:C618"/>
    <mergeCell ref="D618:G618"/>
    <mergeCell ref="H618:K618"/>
    <mergeCell ref="L618:AG618"/>
    <mergeCell ref="AH618:AK618"/>
    <mergeCell ref="AL618:AU618"/>
    <mergeCell ref="AV618:BC618"/>
    <mergeCell ref="B619:C619"/>
    <mergeCell ref="D619:G619"/>
    <mergeCell ref="H619:K619"/>
    <mergeCell ref="L619:AG619"/>
    <mergeCell ref="AH619:AK619"/>
    <mergeCell ref="AL619:AU619"/>
    <mergeCell ref="AV619:BC619"/>
    <mergeCell ref="B620:C620"/>
    <mergeCell ref="D620:G620"/>
    <mergeCell ref="H620:K620"/>
    <mergeCell ref="L620:AG620"/>
    <mergeCell ref="AH620:AK620"/>
    <mergeCell ref="AL620:AU620"/>
    <mergeCell ref="AV620:BC620"/>
    <mergeCell ref="B621:C621"/>
    <mergeCell ref="D621:G621"/>
    <mergeCell ref="H621:K621"/>
    <mergeCell ref="L621:AG621"/>
    <mergeCell ref="AH621:AK621"/>
    <mergeCell ref="AL621:AU621"/>
    <mergeCell ref="AV621:BC621"/>
    <mergeCell ref="B622:C622"/>
    <mergeCell ref="E622:BC622"/>
    <mergeCell ref="C624:AK624"/>
    <mergeCell ref="AL624:BC624"/>
    <mergeCell ref="B625:C625"/>
    <mergeCell ref="D625:G625"/>
    <mergeCell ref="H625:O625"/>
    <mergeCell ref="P625:S625"/>
    <mergeCell ref="T625:AE625"/>
    <mergeCell ref="AF625:BC625"/>
    <mergeCell ref="B626:C626"/>
    <mergeCell ref="D626:G626"/>
    <mergeCell ref="H626:O626"/>
    <mergeCell ref="P626:S626"/>
    <mergeCell ref="T626:AE626"/>
    <mergeCell ref="AF626:BC626"/>
    <mergeCell ref="B627:C627"/>
    <mergeCell ref="D627:G627"/>
    <mergeCell ref="H627:O627"/>
    <mergeCell ref="P627:S627"/>
    <mergeCell ref="T627:AE627"/>
    <mergeCell ref="AF627:BC627"/>
    <mergeCell ref="B628:C628"/>
    <mergeCell ref="D628:G628"/>
    <mergeCell ref="H628:O628"/>
    <mergeCell ref="P628:S628"/>
    <mergeCell ref="T628:AE628"/>
    <mergeCell ref="AF628:BC628"/>
    <mergeCell ref="B629:C629"/>
    <mergeCell ref="D629:G629"/>
    <mergeCell ref="H629:O629"/>
    <mergeCell ref="P629:S629"/>
    <mergeCell ref="T629:AE629"/>
    <mergeCell ref="AF629:BC629"/>
    <mergeCell ref="B630:C630"/>
    <mergeCell ref="D630:G630"/>
    <mergeCell ref="H630:O630"/>
    <mergeCell ref="P630:S630"/>
    <mergeCell ref="T630:AE630"/>
    <mergeCell ref="AF630:BC630"/>
    <mergeCell ref="B631:C631"/>
    <mergeCell ref="D631:G631"/>
    <mergeCell ref="H631:O631"/>
    <mergeCell ref="P631:S631"/>
    <mergeCell ref="T631:AE631"/>
    <mergeCell ref="AF631:BC631"/>
    <mergeCell ref="B632:C632"/>
    <mergeCell ref="D632:G632"/>
    <mergeCell ref="H632:O632"/>
    <mergeCell ref="P632:S632"/>
    <mergeCell ref="T632:AE632"/>
    <mergeCell ref="AF632:BC632"/>
    <mergeCell ref="B633:C633"/>
    <mergeCell ref="E633:BC633"/>
    <mergeCell ref="B635:AA635"/>
    <mergeCell ref="AB635:BC635"/>
    <mergeCell ref="B637:F637"/>
    <mergeCell ref="H637:P637"/>
    <mergeCell ref="AA637:AE637"/>
    <mergeCell ref="AF637:AP637"/>
    <mergeCell ref="AR637:AS637"/>
    <mergeCell ref="AT637:BC637"/>
    <mergeCell ref="C640:AK640"/>
    <mergeCell ref="AL640:BC640"/>
    <mergeCell ref="B641:C641"/>
    <mergeCell ref="D641:M641"/>
    <mergeCell ref="N641:U641"/>
    <mergeCell ref="V641:AU641"/>
    <mergeCell ref="AV641:BC641"/>
    <mergeCell ref="B642:C642"/>
    <mergeCell ref="D642:M642"/>
    <mergeCell ref="N642:U642"/>
    <mergeCell ref="V642:AU642"/>
    <mergeCell ref="AV642:BC642"/>
    <mergeCell ref="B643:C643"/>
    <mergeCell ref="D643:M643"/>
    <mergeCell ref="N643:U643"/>
    <mergeCell ref="V643:AU643"/>
    <mergeCell ref="AV643:BC643"/>
    <mergeCell ref="B644:C644"/>
    <mergeCell ref="D644:M644"/>
    <mergeCell ref="N644:U644"/>
    <mergeCell ref="V644:AU644"/>
    <mergeCell ref="AV644:BC644"/>
    <mergeCell ref="B645:C645"/>
    <mergeCell ref="D645:M645"/>
    <mergeCell ref="N645:U645"/>
    <mergeCell ref="V645:AU645"/>
    <mergeCell ref="AV645:BC645"/>
    <mergeCell ref="B646:C646"/>
    <mergeCell ref="D646:M646"/>
    <mergeCell ref="N646:U646"/>
    <mergeCell ref="V646:AU646"/>
    <mergeCell ref="AV646:BC646"/>
    <mergeCell ref="B647:C647"/>
    <mergeCell ref="D647:M647"/>
    <mergeCell ref="N647:U647"/>
    <mergeCell ref="V647:AU647"/>
    <mergeCell ref="AV647:BC647"/>
    <mergeCell ref="C649:AK649"/>
    <mergeCell ref="AL649:BC649"/>
    <mergeCell ref="B650:C650"/>
    <mergeCell ref="D650:L650"/>
    <mergeCell ref="M650:X650"/>
    <mergeCell ref="Y650:AO650"/>
    <mergeCell ref="AP650:BC650"/>
    <mergeCell ref="B651:C651"/>
    <mergeCell ref="D651:L651"/>
    <mergeCell ref="M651:X651"/>
    <mergeCell ref="Y651:AO651"/>
    <mergeCell ref="AP651:BC651"/>
    <mergeCell ref="B652:C652"/>
    <mergeCell ref="D652:L652"/>
    <mergeCell ref="M652:X652"/>
    <mergeCell ref="Y652:AO652"/>
    <mergeCell ref="AP652:BC652"/>
    <mergeCell ref="B653:C653"/>
    <mergeCell ref="D653:L653"/>
    <mergeCell ref="M653:X653"/>
    <mergeCell ref="Y653:AO653"/>
    <mergeCell ref="AP653:BC653"/>
    <mergeCell ref="B654:C654"/>
    <mergeCell ref="D654:L654"/>
    <mergeCell ref="M654:X654"/>
    <mergeCell ref="Y654:AO654"/>
    <mergeCell ref="AP654:BC654"/>
    <mergeCell ref="B655:C655"/>
    <mergeCell ref="D655:L655"/>
    <mergeCell ref="M655:X655"/>
    <mergeCell ref="Y655:AO655"/>
    <mergeCell ref="AP655:BC655"/>
    <mergeCell ref="B657:AA657"/>
    <mergeCell ref="AB657:BC657"/>
    <mergeCell ref="B659:F659"/>
    <mergeCell ref="H659:P659"/>
    <mergeCell ref="AA659:AE659"/>
    <mergeCell ref="AF659:AP659"/>
    <mergeCell ref="AR659:AS659"/>
    <mergeCell ref="AT659:BC659"/>
    <mergeCell ref="C662:AK662"/>
    <mergeCell ref="AL662:BC662"/>
    <mergeCell ref="B663:C663"/>
    <mergeCell ref="D663:G663"/>
    <mergeCell ref="H663:P663"/>
    <mergeCell ref="Q663:V663"/>
    <mergeCell ref="W663:BC663"/>
    <mergeCell ref="B664:C664"/>
    <mergeCell ref="D664:G664"/>
    <mergeCell ref="H664:P664"/>
    <mergeCell ref="Q664:V664"/>
    <mergeCell ref="W664:BC664"/>
    <mergeCell ref="B665:C665"/>
    <mergeCell ref="D665:G665"/>
    <mergeCell ref="H665:P665"/>
    <mergeCell ref="Q665:V665"/>
    <mergeCell ref="W665:BC665"/>
    <mergeCell ref="B666:C666"/>
    <mergeCell ref="D666:G666"/>
    <mergeCell ref="H666:P666"/>
    <mergeCell ref="Q666:V666"/>
    <mergeCell ref="W666:BC666"/>
    <mergeCell ref="B667:C667"/>
    <mergeCell ref="D667:G667"/>
    <mergeCell ref="H667:P667"/>
    <mergeCell ref="Q667:V667"/>
    <mergeCell ref="W667:BC667"/>
    <mergeCell ref="B668:C668"/>
    <mergeCell ref="E668:BC668"/>
    <mergeCell ref="C670:AE670"/>
    <mergeCell ref="AF670:BC670"/>
    <mergeCell ref="C671:M671"/>
    <mergeCell ref="Q671:AA671"/>
    <mergeCell ref="AE671:AO671"/>
    <mergeCell ref="AS671:BB671"/>
    <mergeCell ref="C672:M672"/>
    <mergeCell ref="Q672:AA672"/>
    <mergeCell ref="AE672:AO672"/>
    <mergeCell ref="AS672:AW672"/>
    <mergeCell ref="AY672:BB672"/>
    <mergeCell ref="C673:M673"/>
    <mergeCell ref="Q673:AA673"/>
    <mergeCell ref="AE673:AO673"/>
    <mergeCell ref="AS673:AW673"/>
    <mergeCell ref="AY673:BB673"/>
    <mergeCell ref="C676:M676"/>
    <mergeCell ref="Q676:AA676"/>
    <mergeCell ref="AE676:AO676"/>
    <mergeCell ref="AS676:BB676"/>
    <mergeCell ref="C677:G677"/>
    <mergeCell ref="I677:M677"/>
    <mergeCell ref="Q677:U677"/>
    <mergeCell ref="W677:AA677"/>
    <mergeCell ref="AE677:AI677"/>
    <mergeCell ref="AK677:AO677"/>
    <mergeCell ref="AS677:BB677"/>
    <mergeCell ref="C678:G678"/>
    <mergeCell ref="I678:M678"/>
    <mergeCell ref="Q678:U678"/>
    <mergeCell ref="W678:AA678"/>
    <mergeCell ref="AE678:AI678"/>
    <mergeCell ref="AK678:AO678"/>
    <mergeCell ref="AS678:BB678"/>
    <mergeCell ref="B683:P683"/>
    <mergeCell ref="Q683:AA683"/>
    <mergeCell ref="AC683:AR683"/>
    <mergeCell ref="AS683:BC683"/>
    <mergeCell ref="B684:AA684"/>
    <mergeCell ref="AB684:BC684"/>
    <mergeCell ref="C686:AQ686"/>
    <mergeCell ref="AU686:BA686"/>
    <mergeCell ref="C687:AQ687"/>
    <mergeCell ref="AR687:BA687"/>
    <mergeCell ref="C688:AQ688"/>
    <mergeCell ref="B692:S692"/>
    <mergeCell ref="U692:AE692"/>
    <mergeCell ref="AG692:AQ692"/>
    <mergeCell ref="AS692:BC692"/>
    <mergeCell ref="B693:S693"/>
    <mergeCell ref="U693:AE693"/>
    <mergeCell ref="AG693:AQ693"/>
    <mergeCell ref="AS693:BC693"/>
    <mergeCell ref="C695:BC696"/>
    <mergeCell ref="C698:AK698"/>
    <mergeCell ref="AL698:BC698"/>
    <mergeCell ref="B699:C699"/>
    <mergeCell ref="D699:G699"/>
    <mergeCell ref="H699:N699"/>
    <mergeCell ref="O699:U699"/>
    <mergeCell ref="V699:Y699"/>
    <mergeCell ref="Z699:BC699"/>
    <mergeCell ref="B700:C700"/>
    <mergeCell ref="D700:G700"/>
    <mergeCell ref="H700:N700"/>
    <mergeCell ref="O700:U700"/>
    <mergeCell ref="V700:Y700"/>
    <mergeCell ref="Z700:BC700"/>
    <mergeCell ref="B701:C701"/>
    <mergeCell ref="D701:G701"/>
    <mergeCell ref="H701:N701"/>
    <mergeCell ref="O701:U701"/>
    <mergeCell ref="V701:Y701"/>
    <mergeCell ref="Z701:BC701"/>
    <mergeCell ref="B702:C702"/>
    <mergeCell ref="D702:G702"/>
    <mergeCell ref="H702:N702"/>
    <mergeCell ref="O702:U702"/>
    <mergeCell ref="V702:Y702"/>
    <mergeCell ref="Z702:BC702"/>
    <mergeCell ref="B703:C703"/>
    <mergeCell ref="D703:G703"/>
    <mergeCell ref="H703:N703"/>
    <mergeCell ref="O703:U703"/>
    <mergeCell ref="V703:Y703"/>
    <mergeCell ref="Z703:BC703"/>
    <mergeCell ref="B704:C704"/>
    <mergeCell ref="D704:G704"/>
    <mergeCell ref="H704:N704"/>
    <mergeCell ref="O704:U704"/>
    <mergeCell ref="V704:Y704"/>
    <mergeCell ref="Z704:BC704"/>
    <mergeCell ref="B705:C705"/>
    <mergeCell ref="D705:G705"/>
    <mergeCell ref="H705:N705"/>
    <mergeCell ref="O705:U705"/>
    <mergeCell ref="V705:Y705"/>
    <mergeCell ref="Z705:BC705"/>
    <mergeCell ref="B706:C706"/>
    <mergeCell ref="D706:G706"/>
    <mergeCell ref="H706:N706"/>
    <mergeCell ref="O706:U706"/>
    <mergeCell ref="V706:Y706"/>
    <mergeCell ref="Z706:BC706"/>
    <mergeCell ref="B707:C707"/>
    <mergeCell ref="D707:G707"/>
    <mergeCell ref="H707:N707"/>
    <mergeCell ref="O707:U707"/>
    <mergeCell ref="V707:Y707"/>
    <mergeCell ref="Z707:BC707"/>
    <mergeCell ref="B708:C708"/>
    <mergeCell ref="D708:G708"/>
    <mergeCell ref="H708:N708"/>
    <mergeCell ref="O708:U708"/>
    <mergeCell ref="V708:Y708"/>
    <mergeCell ref="Z708:BC708"/>
    <mergeCell ref="B709:C709"/>
    <mergeCell ref="D709:G709"/>
    <mergeCell ref="H709:N709"/>
    <mergeCell ref="O709:U709"/>
    <mergeCell ref="V709:Y709"/>
    <mergeCell ref="Z709:BC709"/>
    <mergeCell ref="B710:C710"/>
    <mergeCell ref="D710:G710"/>
    <mergeCell ref="H710:N710"/>
    <mergeCell ref="O710:U710"/>
    <mergeCell ref="V710:Y710"/>
    <mergeCell ref="Z710:BC710"/>
    <mergeCell ref="B711:C711"/>
    <mergeCell ref="E711:BC711"/>
    <mergeCell ref="B713:AA713"/>
    <mergeCell ref="AB713:BC713"/>
    <mergeCell ref="B715:F715"/>
    <mergeCell ref="H715:P715"/>
    <mergeCell ref="AA715:AE715"/>
    <mergeCell ref="AF715:AP715"/>
    <mergeCell ref="AR715:AS715"/>
    <mergeCell ref="AT715:BC715"/>
    <mergeCell ref="C718:AK718"/>
    <mergeCell ref="AL718:BC718"/>
    <mergeCell ref="B719:C719"/>
    <mergeCell ref="D719:G719"/>
    <mergeCell ref="H719:O719"/>
    <mergeCell ref="P719:S719"/>
    <mergeCell ref="T719:AM719"/>
    <mergeCell ref="AN719:BC719"/>
    <mergeCell ref="B720:C720"/>
    <mergeCell ref="D720:G720"/>
    <mergeCell ref="H720:O720"/>
    <mergeCell ref="P720:S720"/>
    <mergeCell ref="T720:AM720"/>
    <mergeCell ref="AN720:BC720"/>
    <mergeCell ref="B721:C721"/>
    <mergeCell ref="D721:G721"/>
    <mergeCell ref="H721:O721"/>
    <mergeCell ref="P721:S721"/>
    <mergeCell ref="T721:AM721"/>
    <mergeCell ref="AN721:BC721"/>
    <mergeCell ref="B722:C722"/>
    <mergeCell ref="D722:G722"/>
    <mergeCell ref="H722:O722"/>
    <mergeCell ref="P722:S722"/>
    <mergeCell ref="T722:AM722"/>
    <mergeCell ref="AN722:BC722"/>
    <mergeCell ref="B723:C723"/>
    <mergeCell ref="D723:G723"/>
    <mergeCell ref="H723:O723"/>
    <mergeCell ref="P723:S723"/>
    <mergeCell ref="T723:AM723"/>
    <mergeCell ref="AN723:BC723"/>
    <mergeCell ref="B724:C724"/>
    <mergeCell ref="D724:G724"/>
    <mergeCell ref="H724:O724"/>
    <mergeCell ref="P724:S724"/>
    <mergeCell ref="T724:AM724"/>
    <mergeCell ref="AN724:BC724"/>
    <mergeCell ref="B725:C725"/>
    <mergeCell ref="D725:G725"/>
    <mergeCell ref="H725:O725"/>
    <mergeCell ref="P725:S725"/>
    <mergeCell ref="T725:AM725"/>
    <mergeCell ref="AN725:BC725"/>
    <mergeCell ref="B726:C726"/>
    <mergeCell ref="D726:G726"/>
    <mergeCell ref="H726:O726"/>
    <mergeCell ref="P726:S726"/>
    <mergeCell ref="T726:AM726"/>
    <mergeCell ref="AN726:BC726"/>
    <mergeCell ref="B727:C727"/>
    <mergeCell ref="D727:G727"/>
    <mergeCell ref="H727:O727"/>
    <mergeCell ref="P727:S727"/>
    <mergeCell ref="T727:AM727"/>
    <mergeCell ref="AN727:BC727"/>
    <mergeCell ref="B728:C728"/>
    <mergeCell ref="D728:G728"/>
    <mergeCell ref="H728:O728"/>
    <mergeCell ref="P728:S728"/>
    <mergeCell ref="T728:AM728"/>
    <mergeCell ref="AN728:BC728"/>
    <mergeCell ref="B729:C729"/>
    <mergeCell ref="D729:G729"/>
    <mergeCell ref="H729:O729"/>
    <mergeCell ref="P729:S729"/>
    <mergeCell ref="T729:AM729"/>
    <mergeCell ref="AN729:BC729"/>
    <mergeCell ref="B730:C730"/>
    <mergeCell ref="D730:G730"/>
    <mergeCell ref="H730:O730"/>
    <mergeCell ref="P730:S730"/>
    <mergeCell ref="T730:AM730"/>
    <mergeCell ref="AN730:BC730"/>
    <mergeCell ref="B731:C731"/>
    <mergeCell ref="E731:BC731"/>
    <mergeCell ref="B733:AA733"/>
    <mergeCell ref="AB733:BC733"/>
    <mergeCell ref="B735:F735"/>
    <mergeCell ref="H735:P735"/>
    <mergeCell ref="AA735:AE735"/>
    <mergeCell ref="AF735:AP735"/>
    <mergeCell ref="AR735:AS735"/>
    <mergeCell ref="AT735:BC735"/>
    <mergeCell ref="C738:AK738"/>
    <mergeCell ref="AL738:BC738"/>
    <mergeCell ref="B739:C739"/>
    <mergeCell ref="D739:G739"/>
    <mergeCell ref="H739:O739"/>
    <mergeCell ref="P739:V739"/>
    <mergeCell ref="W739:AB739"/>
    <mergeCell ref="AC739:AF739"/>
    <mergeCell ref="AG739:BC739"/>
    <mergeCell ref="B740:C740"/>
    <mergeCell ref="D740:G740"/>
    <mergeCell ref="H740:O740"/>
    <mergeCell ref="P740:V740"/>
    <mergeCell ref="W740:AB740"/>
    <mergeCell ref="AC740:AF740"/>
    <mergeCell ref="AG740:BC740"/>
    <mergeCell ref="B741:C741"/>
    <mergeCell ref="D741:G741"/>
    <mergeCell ref="H741:O741"/>
    <mergeCell ref="P741:V741"/>
    <mergeCell ref="W741:AB741"/>
    <mergeCell ref="AC741:AF741"/>
    <mergeCell ref="AG741:BC741"/>
    <mergeCell ref="B742:C742"/>
    <mergeCell ref="D742:G742"/>
    <mergeCell ref="H742:O742"/>
    <mergeCell ref="P742:V742"/>
    <mergeCell ref="W742:AB742"/>
    <mergeCell ref="AC742:AF742"/>
    <mergeCell ref="AG742:BC742"/>
    <mergeCell ref="B743:C743"/>
    <mergeCell ref="D743:G743"/>
    <mergeCell ref="H743:O743"/>
    <mergeCell ref="P743:V743"/>
    <mergeCell ref="W743:AB743"/>
    <mergeCell ref="AC743:AF743"/>
    <mergeCell ref="AG743:BC743"/>
    <mergeCell ref="B744:C744"/>
    <mergeCell ref="D744:G744"/>
    <mergeCell ref="H744:O744"/>
    <mergeCell ref="P744:V744"/>
    <mergeCell ref="W744:AB744"/>
    <mergeCell ref="AC744:AF744"/>
    <mergeCell ref="AG744:BC744"/>
    <mergeCell ref="B745:C745"/>
    <mergeCell ref="D745:G745"/>
    <mergeCell ref="H745:O745"/>
    <mergeCell ref="P745:V745"/>
    <mergeCell ref="W745:AB745"/>
    <mergeCell ref="AC745:AF745"/>
    <mergeCell ref="AG745:BC745"/>
    <mergeCell ref="B746:C746"/>
    <mergeCell ref="E746:BC746"/>
    <mergeCell ref="C748:AK748"/>
    <mergeCell ref="AL748:BC748"/>
    <mergeCell ref="B749:C749"/>
    <mergeCell ref="D749:G749"/>
    <mergeCell ref="H749:O749"/>
    <mergeCell ref="P749:V749"/>
    <mergeCell ref="W749:AB749"/>
    <mergeCell ref="AC749:AF749"/>
    <mergeCell ref="AG749:BC749"/>
    <mergeCell ref="B750:C750"/>
    <mergeCell ref="D750:G750"/>
    <mergeCell ref="H750:O750"/>
    <mergeCell ref="P750:V750"/>
    <mergeCell ref="W750:AB750"/>
    <mergeCell ref="AC750:AF750"/>
    <mergeCell ref="AG750:BC750"/>
    <mergeCell ref="B751:C751"/>
    <mergeCell ref="D751:G751"/>
    <mergeCell ref="H751:O751"/>
    <mergeCell ref="P751:V751"/>
    <mergeCell ref="W751:AB751"/>
    <mergeCell ref="AC751:AF751"/>
    <mergeCell ref="AG751:BC751"/>
    <mergeCell ref="B752:C752"/>
    <mergeCell ref="D752:G752"/>
    <mergeCell ref="H752:O752"/>
    <mergeCell ref="P752:V752"/>
    <mergeCell ref="W752:AB752"/>
    <mergeCell ref="AC752:AF752"/>
    <mergeCell ref="AG752:BC752"/>
    <mergeCell ref="B753:C753"/>
    <mergeCell ref="D753:G753"/>
    <mergeCell ref="H753:O753"/>
    <mergeCell ref="P753:V753"/>
    <mergeCell ref="W753:AB753"/>
    <mergeCell ref="AC753:AF753"/>
    <mergeCell ref="AG753:BC753"/>
    <mergeCell ref="B754:C754"/>
    <mergeCell ref="D754:G754"/>
    <mergeCell ref="H754:O754"/>
    <mergeCell ref="P754:V754"/>
    <mergeCell ref="W754:AB754"/>
    <mergeCell ref="AC754:AF754"/>
    <mergeCell ref="AG754:BC754"/>
    <mergeCell ref="B755:C755"/>
    <mergeCell ref="E755:BC755"/>
    <mergeCell ref="B757:AA757"/>
    <mergeCell ref="AB757:BC757"/>
    <mergeCell ref="B759:F759"/>
    <mergeCell ref="H759:P759"/>
    <mergeCell ref="AA759:AE759"/>
    <mergeCell ref="AF759:AP759"/>
    <mergeCell ref="AR759:AS759"/>
    <mergeCell ref="AT759:BC759"/>
    <mergeCell ref="C762:AK762"/>
    <mergeCell ref="AL762:BC762"/>
    <mergeCell ref="B763:C763"/>
    <mergeCell ref="D763:G763"/>
    <mergeCell ref="H763:N763"/>
    <mergeCell ref="O763:AD763"/>
    <mergeCell ref="AE763:AH763"/>
    <mergeCell ref="AI763:AV763"/>
    <mergeCell ref="AW763:BC763"/>
    <mergeCell ref="B764:C764"/>
    <mergeCell ref="D764:G764"/>
    <mergeCell ref="H764:N764"/>
    <mergeCell ref="O764:AD764"/>
    <mergeCell ref="AE764:AH764"/>
    <mergeCell ref="AI764:AV764"/>
    <mergeCell ref="AW764:BC764"/>
    <mergeCell ref="B765:C765"/>
    <mergeCell ref="D765:G765"/>
    <mergeCell ref="H765:N765"/>
    <mergeCell ref="O765:AD765"/>
    <mergeCell ref="AE765:AH765"/>
    <mergeCell ref="AI765:AV765"/>
    <mergeCell ref="AW765:BC765"/>
    <mergeCell ref="B766:C766"/>
    <mergeCell ref="D766:G766"/>
    <mergeCell ref="H766:N766"/>
    <mergeCell ref="O766:AD766"/>
    <mergeCell ref="AE766:AH766"/>
    <mergeCell ref="AI766:AV766"/>
    <mergeCell ref="AW766:BC766"/>
    <mergeCell ref="B767:C767"/>
    <mergeCell ref="D767:G767"/>
    <mergeCell ref="H767:N767"/>
    <mergeCell ref="O767:AD767"/>
    <mergeCell ref="AE767:AH767"/>
    <mergeCell ref="AI767:AV767"/>
    <mergeCell ref="AW767:BC767"/>
    <mergeCell ref="B768:C768"/>
    <mergeCell ref="D768:G768"/>
    <mergeCell ref="H768:N768"/>
    <mergeCell ref="O768:AD768"/>
    <mergeCell ref="AE768:AH768"/>
    <mergeCell ref="AI768:AV768"/>
    <mergeCell ref="AW768:BC768"/>
    <mergeCell ref="B769:C769"/>
    <mergeCell ref="E769:BC769"/>
    <mergeCell ref="C771:AK771"/>
    <mergeCell ref="AL771:BC771"/>
    <mergeCell ref="B772:C772"/>
    <mergeCell ref="D772:G772"/>
    <mergeCell ref="H772:P772"/>
    <mergeCell ref="Q772:W772"/>
    <mergeCell ref="X772:AB772"/>
    <mergeCell ref="AC772:AG772"/>
    <mergeCell ref="AH772:AK772"/>
    <mergeCell ref="AL772:BC772"/>
    <mergeCell ref="B773:C773"/>
    <mergeCell ref="D773:G773"/>
    <mergeCell ref="H773:P773"/>
    <mergeCell ref="Q773:W773"/>
    <mergeCell ref="X773:AB773"/>
    <mergeCell ref="AC773:AG773"/>
    <mergeCell ref="AH773:AK773"/>
    <mergeCell ref="AL773:BC773"/>
    <mergeCell ref="B774:C774"/>
    <mergeCell ref="D774:G774"/>
    <mergeCell ref="H774:P774"/>
    <mergeCell ref="Q774:W774"/>
    <mergeCell ref="X774:AB774"/>
    <mergeCell ref="AC774:AG774"/>
    <mergeCell ref="AH774:AK774"/>
    <mergeCell ref="AL774:BC774"/>
    <mergeCell ref="B775:C775"/>
    <mergeCell ref="D775:G775"/>
    <mergeCell ref="H775:P775"/>
    <mergeCell ref="Q775:W775"/>
    <mergeCell ref="X775:AB775"/>
    <mergeCell ref="AC775:AG775"/>
    <mergeCell ref="AH775:AK775"/>
    <mergeCell ref="AL775:BC775"/>
    <mergeCell ref="B776:C776"/>
    <mergeCell ref="D776:G776"/>
    <mergeCell ref="H776:P776"/>
    <mergeCell ref="Q776:W776"/>
    <mergeCell ref="X776:AB776"/>
    <mergeCell ref="AC776:AG776"/>
    <mergeCell ref="AH776:AK776"/>
    <mergeCell ref="AL776:BC776"/>
    <mergeCell ref="B777:C777"/>
    <mergeCell ref="D777:G777"/>
    <mergeCell ref="H777:P777"/>
    <mergeCell ref="Q777:W777"/>
    <mergeCell ref="X777:AB777"/>
    <mergeCell ref="AC777:AG777"/>
    <mergeCell ref="AH777:AK777"/>
    <mergeCell ref="AL777:BC777"/>
    <mergeCell ref="B778:C778"/>
    <mergeCell ref="E778:BC778"/>
    <mergeCell ref="B780:AA780"/>
    <mergeCell ref="AB780:BC780"/>
    <mergeCell ref="B782:F782"/>
    <mergeCell ref="H782:P782"/>
    <mergeCell ref="AA782:AE782"/>
    <mergeCell ref="AF782:AP782"/>
    <mergeCell ref="AR782:AS782"/>
    <mergeCell ref="AT782:BC782"/>
    <mergeCell ref="C785:AK785"/>
    <mergeCell ref="AL785:BC785"/>
    <mergeCell ref="B786:C786"/>
    <mergeCell ref="D786:G786"/>
    <mergeCell ref="H786:K786"/>
    <mergeCell ref="L786:AG786"/>
    <mergeCell ref="AH786:AK786"/>
    <mergeCell ref="AL786:AU786"/>
    <mergeCell ref="AV786:BC786"/>
    <mergeCell ref="B787:C787"/>
    <mergeCell ref="D787:G787"/>
    <mergeCell ref="H787:K787"/>
    <mergeCell ref="L787:AG787"/>
    <mergeCell ref="AH787:AK787"/>
    <mergeCell ref="AL787:AU787"/>
    <mergeCell ref="AV787:BC787"/>
    <mergeCell ref="B788:C788"/>
    <mergeCell ref="D788:G788"/>
    <mergeCell ref="H788:K788"/>
    <mergeCell ref="L788:AG788"/>
    <mergeCell ref="AH788:AK788"/>
    <mergeCell ref="AL788:AU788"/>
    <mergeCell ref="AV788:BC788"/>
    <mergeCell ref="B789:C789"/>
    <mergeCell ref="D789:G789"/>
    <mergeCell ref="H789:K789"/>
    <mergeCell ref="L789:AG789"/>
    <mergeCell ref="AH789:AK789"/>
    <mergeCell ref="AL789:AU789"/>
    <mergeCell ref="AV789:BC789"/>
    <mergeCell ref="B790:C790"/>
    <mergeCell ref="D790:G790"/>
    <mergeCell ref="H790:K790"/>
    <mergeCell ref="L790:AG790"/>
    <mergeCell ref="AH790:AK790"/>
    <mergeCell ref="AL790:AU790"/>
    <mergeCell ref="AV790:BC790"/>
    <mergeCell ref="B791:C791"/>
    <mergeCell ref="D791:G791"/>
    <mergeCell ref="H791:K791"/>
    <mergeCell ref="L791:AG791"/>
    <mergeCell ref="AH791:AK791"/>
    <mergeCell ref="AL791:AU791"/>
    <mergeCell ref="AV791:BC791"/>
    <mergeCell ref="B792:C792"/>
    <mergeCell ref="D792:G792"/>
    <mergeCell ref="H792:K792"/>
    <mergeCell ref="L792:AG792"/>
    <mergeCell ref="AH792:AK792"/>
    <mergeCell ref="AL792:AU792"/>
    <mergeCell ref="AV792:BC792"/>
    <mergeCell ref="B793:C793"/>
    <mergeCell ref="E793:BC793"/>
    <mergeCell ref="C795:AK795"/>
    <mergeCell ref="AL795:BC795"/>
    <mergeCell ref="B796:C796"/>
    <mergeCell ref="D796:G796"/>
    <mergeCell ref="H796:O796"/>
    <mergeCell ref="P796:S796"/>
    <mergeCell ref="T796:AE796"/>
    <mergeCell ref="AF796:BC796"/>
    <mergeCell ref="B797:C797"/>
    <mergeCell ref="D797:G797"/>
    <mergeCell ref="H797:O797"/>
    <mergeCell ref="P797:S797"/>
    <mergeCell ref="T797:AE797"/>
    <mergeCell ref="AF797:BC797"/>
    <mergeCell ref="B798:C798"/>
    <mergeCell ref="D798:G798"/>
    <mergeCell ref="H798:O798"/>
    <mergeCell ref="P798:S798"/>
    <mergeCell ref="T798:AE798"/>
    <mergeCell ref="AF798:BC798"/>
    <mergeCell ref="B799:C799"/>
    <mergeCell ref="D799:G799"/>
    <mergeCell ref="H799:O799"/>
    <mergeCell ref="P799:S799"/>
    <mergeCell ref="T799:AE799"/>
    <mergeCell ref="AF799:BC799"/>
    <mergeCell ref="B800:C800"/>
    <mergeCell ref="D800:G800"/>
    <mergeCell ref="H800:O800"/>
    <mergeCell ref="P800:S800"/>
    <mergeCell ref="T800:AE800"/>
    <mergeCell ref="AF800:BC800"/>
    <mergeCell ref="B801:C801"/>
    <mergeCell ref="D801:G801"/>
    <mergeCell ref="H801:O801"/>
    <mergeCell ref="P801:S801"/>
    <mergeCell ref="T801:AE801"/>
    <mergeCell ref="AF801:BC801"/>
    <mergeCell ref="B802:C802"/>
    <mergeCell ref="D802:G802"/>
    <mergeCell ref="H802:O802"/>
    <mergeCell ref="P802:S802"/>
    <mergeCell ref="T802:AE802"/>
    <mergeCell ref="AF802:BC802"/>
    <mergeCell ref="B803:C803"/>
    <mergeCell ref="D803:G803"/>
    <mergeCell ref="H803:O803"/>
    <mergeCell ref="P803:S803"/>
    <mergeCell ref="T803:AE803"/>
    <mergeCell ref="AF803:BC803"/>
    <mergeCell ref="B804:C804"/>
    <mergeCell ref="E804:BC804"/>
    <mergeCell ref="B806:AA806"/>
    <mergeCell ref="AB806:BC806"/>
    <mergeCell ref="B808:F808"/>
    <mergeCell ref="H808:P808"/>
    <mergeCell ref="AA808:AE808"/>
    <mergeCell ref="AF808:AP808"/>
    <mergeCell ref="AR808:AS808"/>
    <mergeCell ref="AT808:BC808"/>
    <mergeCell ref="C811:AK811"/>
    <mergeCell ref="AL811:BC811"/>
    <mergeCell ref="B812:C812"/>
    <mergeCell ref="D812:M812"/>
    <mergeCell ref="N812:U812"/>
    <mergeCell ref="V812:AU812"/>
    <mergeCell ref="AV812:BC812"/>
    <mergeCell ref="B813:C813"/>
    <mergeCell ref="D813:M813"/>
    <mergeCell ref="N813:U813"/>
    <mergeCell ref="V813:AU813"/>
    <mergeCell ref="AV813:BC813"/>
    <mergeCell ref="B814:C814"/>
    <mergeCell ref="D814:M814"/>
    <mergeCell ref="N814:U814"/>
    <mergeCell ref="V814:AU814"/>
    <mergeCell ref="AV814:BC814"/>
    <mergeCell ref="B815:C815"/>
    <mergeCell ref="D815:M815"/>
    <mergeCell ref="N815:U815"/>
    <mergeCell ref="V815:AU815"/>
    <mergeCell ref="AV815:BC815"/>
    <mergeCell ref="B816:C816"/>
    <mergeCell ref="D816:M816"/>
    <mergeCell ref="N816:U816"/>
    <mergeCell ref="V816:AU816"/>
    <mergeCell ref="AV816:BC816"/>
    <mergeCell ref="B817:C817"/>
    <mergeCell ref="D817:M817"/>
    <mergeCell ref="N817:U817"/>
    <mergeCell ref="V817:AU817"/>
    <mergeCell ref="AV817:BC817"/>
    <mergeCell ref="B818:C818"/>
    <mergeCell ref="D818:M818"/>
    <mergeCell ref="N818:U818"/>
    <mergeCell ref="V818:AU818"/>
    <mergeCell ref="AV818:BC818"/>
    <mergeCell ref="C820:AK820"/>
    <mergeCell ref="AL820:BC820"/>
    <mergeCell ref="B821:C821"/>
    <mergeCell ref="D821:L821"/>
    <mergeCell ref="M821:X821"/>
    <mergeCell ref="Y821:AO821"/>
    <mergeCell ref="AP821:BC821"/>
    <mergeCell ref="B822:C822"/>
    <mergeCell ref="D822:L822"/>
    <mergeCell ref="M822:X822"/>
    <mergeCell ref="Y822:AO822"/>
    <mergeCell ref="AP822:BC822"/>
    <mergeCell ref="B823:C823"/>
    <mergeCell ref="D823:L823"/>
    <mergeCell ref="M823:X823"/>
    <mergeCell ref="Y823:AO823"/>
    <mergeCell ref="AP823:BC823"/>
    <mergeCell ref="B824:C824"/>
    <mergeCell ref="D824:L824"/>
    <mergeCell ref="M824:X824"/>
    <mergeCell ref="Y824:AO824"/>
    <mergeCell ref="AP824:BC824"/>
    <mergeCell ref="B825:C825"/>
    <mergeCell ref="D825:L825"/>
    <mergeCell ref="M825:X825"/>
    <mergeCell ref="Y825:AO825"/>
    <mergeCell ref="AP825:BC825"/>
    <mergeCell ref="B826:C826"/>
    <mergeCell ref="D826:L826"/>
    <mergeCell ref="M826:X826"/>
    <mergeCell ref="Y826:AO826"/>
    <mergeCell ref="AP826:BC826"/>
    <mergeCell ref="B828:AA828"/>
    <mergeCell ref="AB828:BC828"/>
    <mergeCell ref="B830:F830"/>
    <mergeCell ref="H830:P830"/>
    <mergeCell ref="AA830:AE830"/>
    <mergeCell ref="AF830:AP830"/>
    <mergeCell ref="AR830:AS830"/>
    <mergeCell ref="AT830:BC830"/>
    <mergeCell ref="C833:AK833"/>
    <mergeCell ref="AL833:BC833"/>
    <mergeCell ref="B834:C834"/>
    <mergeCell ref="D834:G834"/>
    <mergeCell ref="H834:P834"/>
    <mergeCell ref="Q834:V834"/>
    <mergeCell ref="W834:BC834"/>
    <mergeCell ref="B835:C835"/>
    <mergeCell ref="D835:G835"/>
    <mergeCell ref="H835:P835"/>
    <mergeCell ref="Q835:V835"/>
    <mergeCell ref="W835:BC835"/>
    <mergeCell ref="B836:C836"/>
    <mergeCell ref="D836:G836"/>
    <mergeCell ref="H836:P836"/>
    <mergeCell ref="Q836:V836"/>
    <mergeCell ref="W836:BC836"/>
    <mergeCell ref="B837:C837"/>
    <mergeCell ref="D837:G837"/>
    <mergeCell ref="H837:P837"/>
    <mergeCell ref="Q837:V837"/>
    <mergeCell ref="W837:BC837"/>
    <mergeCell ref="B838:C838"/>
    <mergeCell ref="D838:G838"/>
    <mergeCell ref="H838:P838"/>
    <mergeCell ref="Q838:V838"/>
    <mergeCell ref="W838:BC838"/>
    <mergeCell ref="B839:C839"/>
    <mergeCell ref="E839:BC839"/>
    <mergeCell ref="C841:AE841"/>
    <mergeCell ref="AF841:BC841"/>
    <mergeCell ref="C842:M842"/>
    <mergeCell ref="Q842:AA842"/>
    <mergeCell ref="AE842:AO842"/>
    <mergeCell ref="AS842:BB842"/>
    <mergeCell ref="C843:M843"/>
    <mergeCell ref="Q843:AA843"/>
    <mergeCell ref="AE843:AO843"/>
    <mergeCell ref="AS843:AW843"/>
    <mergeCell ref="AY843:BB843"/>
    <mergeCell ref="C844:M844"/>
    <mergeCell ref="Q844:AA844"/>
    <mergeCell ref="AE844:AO844"/>
    <mergeCell ref="AS844:AW844"/>
    <mergeCell ref="AY844:BB844"/>
    <mergeCell ref="C847:M847"/>
    <mergeCell ref="Q847:AA847"/>
    <mergeCell ref="AE847:AO847"/>
    <mergeCell ref="AS847:BB847"/>
    <mergeCell ref="C848:G848"/>
    <mergeCell ref="I848:M848"/>
    <mergeCell ref="Q848:U848"/>
    <mergeCell ref="W848:AA848"/>
    <mergeCell ref="AE848:AI848"/>
    <mergeCell ref="AK848:AO848"/>
    <mergeCell ref="AS848:BB848"/>
    <mergeCell ref="C849:G849"/>
    <mergeCell ref="I849:M849"/>
    <mergeCell ref="Q849:U849"/>
    <mergeCell ref="W849:AA849"/>
    <mergeCell ref="AE849:AI849"/>
    <mergeCell ref="AK849:AO849"/>
    <mergeCell ref="AS849:BB849"/>
    <mergeCell ref="B854:P854"/>
    <mergeCell ref="Q854:AA854"/>
    <mergeCell ref="AC854:AR854"/>
    <mergeCell ref="AS854:BC854"/>
    <mergeCell ref="B855:AA855"/>
    <mergeCell ref="AB855:BC855"/>
  </mergeCells>
  <dataValidations count="100">
    <dataValidation allowBlank="true" errorStyle="stop" operator="between" showDropDown="false" showErrorMessage="false" showInputMessage="false" sqref="H16:H26" type="list">
      <formula1>Dashboard!$B$28:$B$35</formula1>
      <formula2>0</formula2>
    </dataValidation>
    <dataValidation allowBlank="true" errorStyle="stop" operator="between" showDropDown="false" showErrorMessage="false" showInputMessage="false" sqref="V16:V26" type="list">
      <formula1>"GT,QL,PI,PQ,OH,NC,SR,NF,GC,PB,OT"</formula1>
      <formula2>0</formula2>
    </dataValidation>
    <dataValidation allowBlank="true" errorStyle="stop" operator="between" showDropDown="false" showErrorMessage="false" showInputMessage="false" sqref="H36:H46" type="list">
      <formula1>Dashboard!$B$28:$B$35</formula1>
      <formula2>0</formula2>
    </dataValidation>
    <dataValidation allowBlank="true" errorStyle="stop" operator="between" showDropDown="false" showErrorMessage="false" showInputMessage="false" sqref="P36:P46" type="list">
      <formula1>"SK,TP,BH,WB,OT"</formula1>
      <formula2>0</formula2>
    </dataValidation>
    <dataValidation allowBlank="true" errorStyle="stop" operator="between" showDropDown="false" showErrorMessage="false" showInputMessage="false" sqref="P56:P61" type="list">
      <formula1>Dashboard!$B$28:$B$35</formula1>
      <formula2>0</formula2>
    </dataValidation>
    <dataValidation allowBlank="true" errorStyle="stop" operator="between" showDropDown="false" showErrorMessage="false" showInputMessage="false" sqref="AC56:AC61" type="list">
      <formula1>"PR,CM,NR,TM,BG,NF,PY,OT"</formula1>
      <formula2>0</formula2>
    </dataValidation>
    <dataValidation allowBlank="true" errorStyle="stop" operator="between" showDropDown="false" showErrorMessage="false" showInputMessage="false" sqref="P66:P70" type="list">
      <formula1>Dashboard!$B$28:$B$35</formula1>
      <formula2>0</formula2>
    </dataValidation>
    <dataValidation allowBlank="true" errorStyle="stop" operator="between" showDropDown="false" showErrorMessage="false" showInputMessage="false" sqref="AC66:AC70" type="list">
      <formula1>"CC,ND,WQ,DP,CO,OT"</formula1>
      <formula2>0</formula2>
    </dataValidation>
    <dataValidation allowBlank="true" errorStyle="stop" operator="between" showDropDown="false" showErrorMessage="false" showInputMessage="false" sqref="H80:H84" type="list">
      <formula1>Dashboard!$B$28:$B$35</formula1>
      <formula2>0</formula2>
    </dataValidation>
    <dataValidation allowBlank="true" errorStyle="stop" operator="between" showDropDown="false" showErrorMessage="false" showInputMessage="false" sqref="AE80:AE84" type="list">
      <formula1>"AM,PG,SB,PO,CU,OT"</formula1>
      <formula2>0</formula2>
    </dataValidation>
    <dataValidation allowBlank="true" errorStyle="stop" operator="between" showDropDown="false" showErrorMessage="false" showInputMessage="false" sqref="AW80:AW84" type="list">
      <formula1>"O,C"</formula1>
      <formula2>0</formula2>
    </dataValidation>
    <dataValidation allowBlank="true" errorStyle="stop" operator="between" showDropDown="false" showErrorMessage="false" showInputMessage="false" sqref="Q89:Q93" type="list">
      <formula1>Dashboard!$B$28:$B$35</formula1>
      <formula2>0</formula2>
    </dataValidation>
    <dataValidation allowBlank="true" errorStyle="stop" operator="between" showDropDown="false" showErrorMessage="false" showInputMessage="false" sqref="AH89:AH93" type="list">
      <formula1>"CP,BV,LC,CL,OT"</formula1>
      <formula2>0</formula2>
    </dataValidation>
    <dataValidation allowBlank="true" errorStyle="stop" operator="between" showDropDown="false" showErrorMessage="false" showInputMessage="false" sqref="AL89:AL93" type="list">
      <formula1>"W,L,O"</formula1>
      <formula2>0</formula2>
    </dataValidation>
    <dataValidation allowBlank="true" errorStyle="stop" operator="between" showDropDown="false" showErrorMessage="false" showInputMessage="false" sqref="H103:H108" type="list">
      <formula1>"BOT,CRM,DB,LD"</formula1>
      <formula2>0</formula2>
    </dataValidation>
    <dataValidation allowBlank="true" errorStyle="stop" operator="between" showDropDown="false" showErrorMessage="false" showInputMessage="false" sqref="AH103:AH108" type="list">
      <formula1>"B,S,M"</formula1>
      <formula2>0</formula2>
    </dataValidation>
    <dataValidation allowBlank="true" errorStyle="stop" operator="between" showDropDown="false" showErrorMessage="false" showInputMessage="false" sqref="AV103:AV108" type="list">
      <formula1>"O,F"</formula1>
      <formula2>0</formula2>
    </dataValidation>
    <dataValidation allowBlank="true" errorStyle="stop" operator="between" showDropDown="false" showErrorMessage="false" showInputMessage="false" sqref="N129:N134" type="list">
      <formula1>Dashboard!$B$28:$B$35</formula1>
      <formula2>0</formula2>
    </dataValidation>
    <dataValidation allowBlank="true" errorStyle="stop" operator="between" showDropDown="false" showErrorMessage="false" showInputMessage="false" sqref="D138:D142" type="list">
      <formula1>Dashboard!$B$28:$B$35</formula1>
      <formula2>0</formula2>
    </dataValidation>
    <dataValidation allowBlank="true" errorStyle="stop" operator="between" showDropDown="false" showErrorMessage="false" showInputMessage="false" sqref="Q151:Q154" type="list">
      <formula1>"Y,N"</formula1>
      <formula2>0</formula2>
    </dataValidation>
    <dataValidation allowBlank="true" errorStyle="stop" operator="between" showDropDown="false" showErrorMessage="false" showInputMessage="false" sqref="H187:H197" type="list">
      <formula1>Dashboard!$B$28:$B$35</formula1>
      <formula2>0</formula2>
    </dataValidation>
    <dataValidation allowBlank="true" errorStyle="stop" operator="between" showDropDown="false" showErrorMessage="false" showInputMessage="false" sqref="V187:V197" type="list">
      <formula1>"GT,QL,PI,PQ,OH,NC,SR,NF,GC,PB,OT"</formula1>
      <formula2>0</formula2>
    </dataValidation>
    <dataValidation allowBlank="true" errorStyle="stop" operator="between" showDropDown="false" showErrorMessage="false" showInputMessage="false" sqref="H207:H217" type="list">
      <formula1>Dashboard!$B$28:$B$35</formula1>
      <formula2>0</formula2>
    </dataValidation>
    <dataValidation allowBlank="true" errorStyle="stop" operator="between" showDropDown="false" showErrorMessage="false" showInputMessage="false" sqref="P207:P217" type="list">
      <formula1>"SK,TP,BH,WB,OT"</formula1>
      <formula2>0</formula2>
    </dataValidation>
    <dataValidation allowBlank="true" errorStyle="stop" operator="between" showDropDown="false" showErrorMessage="false" showInputMessage="false" sqref="P227:P232" type="list">
      <formula1>Dashboard!$B$28:$B$35</formula1>
      <formula2>0</formula2>
    </dataValidation>
    <dataValidation allowBlank="true" errorStyle="stop" operator="between" showDropDown="false" showErrorMessage="false" showInputMessage="false" sqref="AC227:AC232" type="list">
      <formula1>"PR,CM,NR,TM,BG,NF,PY,OT"</formula1>
      <formula2>0</formula2>
    </dataValidation>
    <dataValidation allowBlank="true" errorStyle="stop" operator="between" showDropDown="false" showErrorMessage="false" showInputMessage="false" sqref="P237:P241" type="list">
      <formula1>Dashboard!$B$28:$B$35</formula1>
      <formula2>0</formula2>
    </dataValidation>
    <dataValidation allowBlank="true" errorStyle="stop" operator="between" showDropDown="false" showErrorMessage="false" showInputMessage="false" sqref="AC237:AC241" type="list">
      <formula1>"CC,ND,WQ,DP,CO,OT"</formula1>
      <formula2>0</formula2>
    </dataValidation>
    <dataValidation allowBlank="true" errorStyle="stop" operator="between" showDropDown="false" showErrorMessage="false" showInputMessage="false" sqref="H251:H255" type="list">
      <formula1>Dashboard!$B$28:$B$35</formula1>
      <formula2>0</formula2>
    </dataValidation>
    <dataValidation allowBlank="true" errorStyle="stop" operator="between" showDropDown="false" showErrorMessage="false" showInputMessage="false" sqref="AE251:AE255" type="list">
      <formula1>"AM,PG,SB,PO,CU,OT"</formula1>
      <formula2>0</formula2>
    </dataValidation>
    <dataValidation allowBlank="true" errorStyle="stop" operator="between" showDropDown="false" showErrorMessage="false" showInputMessage="false" sqref="AW251:AW255" type="list">
      <formula1>"O,C"</formula1>
      <formula2>0</formula2>
    </dataValidation>
    <dataValidation allowBlank="true" errorStyle="stop" operator="between" showDropDown="false" showErrorMessage="false" showInputMessage="false" sqref="Q260:Q264" type="list">
      <formula1>Dashboard!$B$28:$B$35</formula1>
      <formula2>0</formula2>
    </dataValidation>
    <dataValidation allowBlank="true" errorStyle="stop" operator="between" showDropDown="false" showErrorMessage="false" showInputMessage="false" sqref="AH260:AH264" type="list">
      <formula1>"CP,BV,LC,CL,OT"</formula1>
      <formula2>0</formula2>
    </dataValidation>
    <dataValidation allowBlank="true" errorStyle="stop" operator="between" showDropDown="false" showErrorMessage="false" showInputMessage="false" sqref="AL260:AL264" type="list">
      <formula1>"W,L,O"</formula1>
      <formula2>0</formula2>
    </dataValidation>
    <dataValidation allowBlank="true" errorStyle="stop" operator="between" showDropDown="false" showErrorMessage="false" showInputMessage="false" sqref="H274:H279" type="list">
      <formula1>"BOT,CRM,DB,LD"</formula1>
      <formula2>0</formula2>
    </dataValidation>
    <dataValidation allowBlank="true" errorStyle="stop" operator="between" showDropDown="false" showErrorMessage="false" showInputMessage="false" sqref="AH274:AH279" type="list">
      <formula1>"B,S,M"</formula1>
      <formula2>0</formula2>
    </dataValidation>
    <dataValidation allowBlank="true" errorStyle="stop" operator="between" showDropDown="false" showErrorMessage="false" showInputMessage="false" sqref="AV274:AV279" type="list">
      <formula1>"O,F"</formula1>
      <formula2>0</formula2>
    </dataValidation>
    <dataValidation allowBlank="true" errorStyle="stop" operator="between" showDropDown="false" showErrorMessage="false" showInputMessage="false" sqref="N300:N305" type="list">
      <formula1>Dashboard!$B$28:$B$35</formula1>
      <formula2>0</formula2>
    </dataValidation>
    <dataValidation allowBlank="true" errorStyle="stop" operator="between" showDropDown="false" showErrorMessage="false" showInputMessage="false" sqref="D309:D313" type="list">
      <formula1>Dashboard!$B$28:$B$35</formula1>
      <formula2>0</formula2>
    </dataValidation>
    <dataValidation allowBlank="true" errorStyle="stop" operator="between" showDropDown="false" showErrorMessage="false" showInputMessage="false" sqref="Q322:Q325" type="list">
      <formula1>"Y,N"</formula1>
      <formula2>0</formula2>
    </dataValidation>
    <dataValidation allowBlank="true" errorStyle="stop" operator="between" showDropDown="false" showErrorMessage="false" showInputMessage="false" sqref="H358:H368" type="list">
      <formula1>Dashboard!$B$28:$B$35</formula1>
      <formula2>0</formula2>
    </dataValidation>
    <dataValidation allowBlank="true" errorStyle="stop" operator="between" showDropDown="false" showErrorMessage="false" showInputMessage="false" sqref="V358:V368" type="list">
      <formula1>"GT,QL,PI,PQ,OH,NC,SR,NF,GC,PB,OT"</formula1>
      <formula2>0</formula2>
    </dataValidation>
    <dataValidation allowBlank="true" errorStyle="stop" operator="between" showDropDown="false" showErrorMessage="false" showInputMessage="false" sqref="H378:H388" type="list">
      <formula1>Dashboard!$B$28:$B$35</formula1>
      <formula2>0</formula2>
    </dataValidation>
    <dataValidation allowBlank="true" errorStyle="stop" operator="between" showDropDown="false" showErrorMessage="false" showInputMessage="false" sqref="P378:P388" type="list">
      <formula1>"SK,TP,BH,WB,OT"</formula1>
      <formula2>0</formula2>
    </dataValidation>
    <dataValidation allowBlank="true" errorStyle="stop" operator="between" showDropDown="false" showErrorMessage="false" showInputMessage="false" sqref="P398:P403" type="list">
      <formula1>Dashboard!$B$28:$B$35</formula1>
      <formula2>0</formula2>
    </dataValidation>
    <dataValidation allowBlank="true" errorStyle="stop" operator="between" showDropDown="false" showErrorMessage="false" showInputMessage="false" sqref="AC398:AC403" type="list">
      <formula1>"PR,CM,NR,TM,BG,NF,PY,OT"</formula1>
      <formula2>0</formula2>
    </dataValidation>
    <dataValidation allowBlank="true" errorStyle="stop" operator="between" showDropDown="false" showErrorMessage="false" showInputMessage="false" sqref="P408:P412" type="list">
      <formula1>Dashboard!$B$28:$B$35</formula1>
      <formula2>0</formula2>
    </dataValidation>
    <dataValidation allowBlank="true" errorStyle="stop" operator="between" showDropDown="false" showErrorMessage="false" showInputMessage="false" sqref="AC408:AC412" type="list">
      <formula1>"CC,ND,WQ,DP,CO,OT"</formula1>
      <formula2>0</formula2>
    </dataValidation>
    <dataValidation allowBlank="true" errorStyle="stop" operator="between" showDropDown="false" showErrorMessage="false" showInputMessage="false" sqref="H422:H426" type="list">
      <formula1>Dashboard!$B$28:$B$35</formula1>
      <formula2>0</formula2>
    </dataValidation>
    <dataValidation allowBlank="true" errorStyle="stop" operator="between" showDropDown="false" showErrorMessage="false" showInputMessage="false" sqref="AE422:AE426" type="list">
      <formula1>"AM,PG,SB,PO,CU,OT"</formula1>
      <formula2>0</formula2>
    </dataValidation>
    <dataValidation allowBlank="true" errorStyle="stop" operator="between" showDropDown="false" showErrorMessage="false" showInputMessage="false" sqref="AW422:AW426" type="list">
      <formula1>"O,C"</formula1>
      <formula2>0</formula2>
    </dataValidation>
    <dataValidation allowBlank="true" errorStyle="stop" operator="between" showDropDown="false" showErrorMessage="false" showInputMessage="false" sqref="Q431:Q435" type="list">
      <formula1>Dashboard!$B$28:$B$35</formula1>
      <formula2>0</formula2>
    </dataValidation>
    <dataValidation allowBlank="true" errorStyle="stop" operator="between" showDropDown="false" showErrorMessage="false" showInputMessage="false" sqref="AH431:AH435" type="list">
      <formula1>"CP,BV,LC,CL,OT"</formula1>
      <formula2>0</formula2>
    </dataValidation>
    <dataValidation allowBlank="true" errorStyle="stop" operator="between" showDropDown="false" showErrorMessage="false" showInputMessage="false" sqref="AL431:AL435" type="list">
      <formula1>"W,L,O"</formula1>
      <formula2>0</formula2>
    </dataValidation>
    <dataValidation allowBlank="true" errorStyle="stop" operator="between" showDropDown="false" showErrorMessage="false" showInputMessage="false" sqref="H445:H450" type="list">
      <formula1>"BOT,CRM,DB,LD"</formula1>
      <formula2>0</formula2>
    </dataValidation>
    <dataValidation allowBlank="true" errorStyle="stop" operator="between" showDropDown="false" showErrorMessage="false" showInputMessage="false" sqref="AH445:AH450" type="list">
      <formula1>"B,S,M"</formula1>
      <formula2>0</formula2>
    </dataValidation>
    <dataValidation allowBlank="true" errorStyle="stop" operator="between" showDropDown="false" showErrorMessage="false" showInputMessage="false" sqref="AV445:AV450" type="list">
      <formula1>"O,F"</formula1>
      <formula2>0</formula2>
    </dataValidation>
    <dataValidation allowBlank="true" errorStyle="stop" operator="between" showDropDown="false" showErrorMessage="false" showInputMessage="false" sqref="N471:N476" type="list">
      <formula1>Dashboard!$B$28:$B$35</formula1>
      <formula2>0</formula2>
    </dataValidation>
    <dataValidation allowBlank="true" errorStyle="stop" operator="between" showDropDown="false" showErrorMessage="false" showInputMessage="false" sqref="D480:D484" type="list">
      <formula1>Dashboard!$B$28:$B$35</formula1>
      <formula2>0</formula2>
    </dataValidation>
    <dataValidation allowBlank="true" errorStyle="stop" operator="between" showDropDown="false" showErrorMessage="false" showInputMessage="false" sqref="Q493:Q496" type="list">
      <formula1>"Y,N"</formula1>
      <formula2>0</formula2>
    </dataValidation>
    <dataValidation allowBlank="true" errorStyle="stop" operator="between" showDropDown="false" showErrorMessage="false" showInputMessage="false" sqref="H529:H539" type="list">
      <formula1>Dashboard!$B$28:$B$35</formula1>
      <formula2>0</formula2>
    </dataValidation>
    <dataValidation allowBlank="true" errorStyle="stop" operator="between" showDropDown="false" showErrorMessage="false" showInputMessage="false" sqref="V529:V539" type="list">
      <formula1>"GT,QL,PI,PQ,OH,NC,SR,NF,GC,PB,OT"</formula1>
      <formula2>0</formula2>
    </dataValidation>
    <dataValidation allowBlank="true" errorStyle="stop" operator="between" showDropDown="false" showErrorMessage="false" showInputMessage="false" sqref="H549:H559" type="list">
      <formula1>Dashboard!$B$28:$B$35</formula1>
      <formula2>0</formula2>
    </dataValidation>
    <dataValidation allowBlank="true" errorStyle="stop" operator="between" showDropDown="false" showErrorMessage="false" showInputMessage="false" sqref="P549:P559" type="list">
      <formula1>"SK,TP,BH,WB,OT"</formula1>
      <formula2>0</formula2>
    </dataValidation>
    <dataValidation allowBlank="true" errorStyle="stop" operator="between" showDropDown="false" showErrorMessage="false" showInputMessage="false" sqref="P569:P574" type="list">
      <formula1>Dashboard!$B$28:$B$35</formula1>
      <formula2>0</formula2>
    </dataValidation>
    <dataValidation allowBlank="true" errorStyle="stop" operator="between" showDropDown="false" showErrorMessage="false" showInputMessage="false" sqref="AC569:AC574" type="list">
      <formula1>"PR,CM,NR,TM,BG,NF,PY,OT"</formula1>
      <formula2>0</formula2>
    </dataValidation>
    <dataValidation allowBlank="true" errorStyle="stop" operator="between" showDropDown="false" showErrorMessage="false" showInputMessage="false" sqref="P579:P583" type="list">
      <formula1>Dashboard!$B$28:$B$35</formula1>
      <formula2>0</formula2>
    </dataValidation>
    <dataValidation allowBlank="true" errorStyle="stop" operator="between" showDropDown="false" showErrorMessage="false" showInputMessage="false" sqref="AC579:AC583" type="list">
      <formula1>"CC,ND,WQ,DP,CO,OT"</formula1>
      <formula2>0</formula2>
    </dataValidation>
    <dataValidation allowBlank="true" errorStyle="stop" operator="between" showDropDown="false" showErrorMessage="false" showInputMessage="false" sqref="H593:H597" type="list">
      <formula1>Dashboard!$B$28:$B$35</formula1>
      <formula2>0</formula2>
    </dataValidation>
    <dataValidation allowBlank="true" errorStyle="stop" operator="between" showDropDown="false" showErrorMessage="false" showInputMessage="false" sqref="AE593:AE597" type="list">
      <formula1>"AM,PG,SB,PO,CU,OT"</formula1>
      <formula2>0</formula2>
    </dataValidation>
    <dataValidation allowBlank="true" errorStyle="stop" operator="between" showDropDown="false" showErrorMessage="false" showInputMessage="false" sqref="AW593:AW597" type="list">
      <formula1>"O,C"</formula1>
      <formula2>0</formula2>
    </dataValidation>
    <dataValidation allowBlank="true" errorStyle="stop" operator="between" showDropDown="false" showErrorMessage="false" showInputMessage="false" sqref="Q602:Q606" type="list">
      <formula1>Dashboard!$B$28:$B$35</formula1>
      <formula2>0</formula2>
    </dataValidation>
    <dataValidation allowBlank="true" errorStyle="stop" operator="between" showDropDown="false" showErrorMessage="false" showInputMessage="false" sqref="AH602:AH606" type="list">
      <formula1>"CP,BV,LC,CL,OT"</formula1>
      <formula2>0</formula2>
    </dataValidation>
    <dataValidation allowBlank="true" errorStyle="stop" operator="between" showDropDown="false" showErrorMessage="false" showInputMessage="false" sqref="AL602:AL606" type="list">
      <formula1>"W,L,O"</formula1>
      <formula2>0</formula2>
    </dataValidation>
    <dataValidation allowBlank="true" errorStyle="stop" operator="between" showDropDown="false" showErrorMessage="false" showInputMessage="false" sqref="H616:H621" type="list">
      <formula1>"BOT,CRM,DB,LD"</formula1>
      <formula2>0</formula2>
    </dataValidation>
    <dataValidation allowBlank="true" errorStyle="stop" operator="between" showDropDown="false" showErrorMessage="false" showInputMessage="false" sqref="AH616:AH621" type="list">
      <formula1>"B,S,M"</formula1>
      <formula2>0</formula2>
    </dataValidation>
    <dataValidation allowBlank="true" errorStyle="stop" operator="between" showDropDown="false" showErrorMessage="false" showInputMessage="false" sqref="AV616:AV621" type="list">
      <formula1>"O,F"</formula1>
      <formula2>0</formula2>
    </dataValidation>
    <dataValidation allowBlank="true" errorStyle="stop" operator="between" showDropDown="false" showErrorMessage="false" showInputMessage="false" sqref="N642:N647" type="list">
      <formula1>Dashboard!$B$28:$B$35</formula1>
      <formula2>0</formula2>
    </dataValidation>
    <dataValidation allowBlank="true" errorStyle="stop" operator="between" showDropDown="false" showErrorMessage="false" showInputMessage="false" sqref="D651:D655" type="list">
      <formula1>Dashboard!$B$28:$B$35</formula1>
      <formula2>0</formula2>
    </dataValidation>
    <dataValidation allowBlank="true" errorStyle="stop" operator="between" showDropDown="false" showErrorMessage="false" showInputMessage="false" sqref="Q664:Q667" type="list">
      <formula1>"Y,N"</formula1>
      <formula2>0</formula2>
    </dataValidation>
    <dataValidation allowBlank="true" errorStyle="stop" operator="between" showDropDown="false" showErrorMessage="false" showInputMessage="false" sqref="H700:H710" type="list">
      <formula1>Dashboard!$B$28:$B$35</formula1>
      <formula2>0</formula2>
    </dataValidation>
    <dataValidation allowBlank="true" errorStyle="stop" operator="between" showDropDown="false" showErrorMessage="false" showInputMessage="false" sqref="V700:V710" type="list">
      <formula1>"GT,QL,PI,PQ,OH,NC,SR,NF,GC,PB,OT"</formula1>
      <formula2>0</formula2>
    </dataValidation>
    <dataValidation allowBlank="true" errorStyle="stop" operator="between" showDropDown="false" showErrorMessage="false" showInputMessage="false" sqref="H720:H730" type="list">
      <formula1>Dashboard!$B$28:$B$35</formula1>
      <formula2>0</formula2>
    </dataValidation>
    <dataValidation allowBlank="true" errorStyle="stop" operator="between" showDropDown="false" showErrorMessage="false" showInputMessage="false" sqref="P720:P730" type="list">
      <formula1>"SK,TP,BH,WB,OT"</formula1>
      <formula2>0</formula2>
    </dataValidation>
    <dataValidation allowBlank="true" errorStyle="stop" operator="between" showDropDown="false" showErrorMessage="false" showInputMessage="false" sqref="P740:P745" type="list">
      <formula1>Dashboard!$B$28:$B$35</formula1>
      <formula2>0</formula2>
    </dataValidation>
    <dataValidation allowBlank="true" errorStyle="stop" operator="between" showDropDown="false" showErrorMessage="false" showInputMessage="false" sqref="AC740:AC745" type="list">
      <formula1>"PR,CM,NR,TM,BG,NF,PY,OT"</formula1>
      <formula2>0</formula2>
    </dataValidation>
    <dataValidation allowBlank="true" errorStyle="stop" operator="between" showDropDown="false" showErrorMessage="false" showInputMessage="false" sqref="P750:P754" type="list">
      <formula1>Dashboard!$B$28:$B$35</formula1>
      <formula2>0</formula2>
    </dataValidation>
    <dataValidation allowBlank="true" errorStyle="stop" operator="between" showDropDown="false" showErrorMessage="false" showInputMessage="false" sqref="AC750:AC754" type="list">
      <formula1>"CC,ND,WQ,DP,CO,OT"</formula1>
      <formula2>0</formula2>
    </dataValidation>
    <dataValidation allowBlank="true" errorStyle="stop" operator="between" showDropDown="false" showErrorMessage="false" showInputMessage="false" sqref="H764:H768" type="list">
      <formula1>Dashboard!$B$28:$B$35</formula1>
      <formula2>0</formula2>
    </dataValidation>
    <dataValidation allowBlank="true" errorStyle="stop" operator="between" showDropDown="false" showErrorMessage="false" showInputMessage="false" sqref="AE764:AE768" type="list">
      <formula1>"AM,PG,SB,PO,CU,OT"</formula1>
      <formula2>0</formula2>
    </dataValidation>
    <dataValidation allowBlank="true" errorStyle="stop" operator="between" showDropDown="false" showErrorMessage="false" showInputMessage="false" sqref="AW764:AW768" type="list">
      <formula1>"O,C"</formula1>
      <formula2>0</formula2>
    </dataValidation>
    <dataValidation allowBlank="true" errorStyle="stop" operator="between" showDropDown="false" showErrorMessage="false" showInputMessage="false" sqref="Q773:Q777" type="list">
      <formula1>Dashboard!$B$28:$B$35</formula1>
      <formula2>0</formula2>
    </dataValidation>
    <dataValidation allowBlank="true" errorStyle="stop" operator="between" showDropDown="false" showErrorMessage="false" showInputMessage="false" sqref="AH773:AH777" type="list">
      <formula1>"CP,BV,LC,CL,OT"</formula1>
      <formula2>0</formula2>
    </dataValidation>
    <dataValidation allowBlank="true" errorStyle="stop" operator="between" showDropDown="false" showErrorMessage="false" showInputMessage="false" sqref="AL773:AL777" type="list">
      <formula1>"W,L,O"</formula1>
      <formula2>0</formula2>
    </dataValidation>
    <dataValidation allowBlank="true" errorStyle="stop" operator="between" showDropDown="false" showErrorMessage="false" showInputMessage="false" sqref="H787:H792" type="list">
      <formula1>"BOT,CRM,DB,LD"</formula1>
      <formula2>0</formula2>
    </dataValidation>
    <dataValidation allowBlank="true" errorStyle="stop" operator="between" showDropDown="false" showErrorMessage="false" showInputMessage="false" sqref="AH787:AH792" type="list">
      <formula1>"B,S,M"</formula1>
      <formula2>0</formula2>
    </dataValidation>
    <dataValidation allowBlank="true" errorStyle="stop" operator="between" showDropDown="false" showErrorMessage="false" showInputMessage="false" sqref="AV787:AV792" type="list">
      <formula1>"O,F"</formula1>
      <formula2>0</formula2>
    </dataValidation>
    <dataValidation allowBlank="true" errorStyle="stop" operator="between" showDropDown="false" showErrorMessage="false" showInputMessage="false" sqref="N813:N818" type="list">
      <formula1>Dashboard!$B$28:$B$35</formula1>
      <formula2>0</formula2>
    </dataValidation>
    <dataValidation allowBlank="true" errorStyle="stop" operator="between" showDropDown="false" showErrorMessage="false" showInputMessage="false" sqref="D822:D826" type="list">
      <formula1>Dashboard!$B$28:$B$35</formula1>
      <formula2>0</formula2>
    </dataValidation>
    <dataValidation allowBlank="true" errorStyle="stop" operator="between" showDropDown="false" showErrorMessage="false" showInputMessage="false" sqref="Q835:Q838" type="list">
      <formula1>"Y,N"</formula1>
      <formula2>0</formula2>
    </dataValidation>
  </dataValidations>
  <printOptions headings="false" gridLines="false" gridLinesSet="true" horizontalCentered="true" verticalCentered="false"/>
  <pageMargins left="0.3" right="0.3" top="0.3" bottom="0.3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35" manualBreakCount="35">
    <brk id="29" man="true" max="16383" min="0"/>
    <brk id="49" man="true" max="16383" min="0"/>
    <brk id="73" man="true" max="16383" min="0"/>
    <brk id="96" man="true" max="16383" min="0"/>
    <brk id="122" man="true" max="16383" min="0"/>
    <brk id="144" man="true" max="16383" min="0"/>
    <brk id="171" man="true" max="16383" min="0"/>
    <brk id="200" man="true" max="16383" min="0"/>
    <brk id="220" man="true" max="16383" min="0"/>
    <brk id="244" man="true" max="16383" min="0"/>
    <brk id="267" man="true" max="16383" min="0"/>
    <brk id="293" man="true" max="16383" min="0"/>
    <brk id="315" man="true" max="16383" min="0"/>
    <brk id="342" man="true" max="16383" min="0"/>
    <brk id="371" man="true" max="16383" min="0"/>
    <brk id="391" man="true" max="16383" min="0"/>
    <brk id="415" man="true" max="16383" min="0"/>
    <brk id="438" man="true" max="16383" min="0"/>
    <brk id="464" man="true" max="16383" min="0"/>
    <brk id="486" man="true" max="16383" min="0"/>
    <brk id="513" man="true" max="16383" min="0"/>
    <brk id="542" man="true" max="16383" min="0"/>
    <brk id="562" man="true" max="16383" min="0"/>
    <brk id="586" man="true" max="16383" min="0"/>
    <brk id="609" man="true" max="16383" min="0"/>
    <brk id="635" man="true" max="16383" min="0"/>
    <brk id="657" man="true" max="16383" min="0"/>
    <brk id="684" man="true" max="16383" min="0"/>
    <brk id="713" man="true" max="16383" min="0"/>
    <brk id="733" man="true" max="16383" min="0"/>
    <brk id="757" man="true" max="16383" min="0"/>
    <brk id="780" man="true" max="16383" min="0"/>
    <brk id="806" man="true" max="16383" min="0"/>
    <brk id="828" man="true" max="16383" min="0"/>
    <brk id="855" man="true" max="16383" min="0"/>
  </row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AM2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39" min="2" style="0" width="2.3"/>
    <col collapsed="false" customWidth="true" hidden="false" outlineLevel="0" max="40" min="40" style="0" width="1.2"/>
  </cols>
  <sheetData>
    <row r="1" customFormat="false" ht="7.5" hidden="false" customHeight="true" outlineLevel="0" collapsed="false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customFormat="false" ht="19.5" hidden="false" customHeight="true" outlineLevel="0" collapsed="false">
      <c r="B2" s="1"/>
      <c r="C2" s="51" t="s">
        <v>209</v>
      </c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1"/>
      <c r="AC2" s="1"/>
      <c r="AD2" s="1"/>
      <c r="AE2" s="52" t="s">
        <v>210</v>
      </c>
      <c r="AF2" s="52"/>
      <c r="AG2" s="52"/>
      <c r="AH2" s="52"/>
      <c r="AI2" s="52"/>
      <c r="AJ2" s="52"/>
      <c r="AK2" s="52"/>
      <c r="AL2" s="1"/>
      <c r="AM2" s="1"/>
    </row>
    <row r="3" customFormat="false" ht="30" hidden="false" customHeight="true" outlineLevel="0" collapsed="false">
      <c r="B3" s="1"/>
      <c r="C3" s="53" t="s">
        <v>211</v>
      </c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4" t="s">
        <v>212</v>
      </c>
      <c r="AC3" s="54"/>
      <c r="AD3" s="54"/>
      <c r="AE3" s="54"/>
      <c r="AF3" s="54"/>
      <c r="AG3" s="54"/>
      <c r="AH3" s="54"/>
      <c r="AI3" s="54"/>
      <c r="AJ3" s="54"/>
      <c r="AK3" s="54"/>
      <c r="AL3" s="1"/>
      <c r="AM3" s="1"/>
    </row>
    <row r="4" customFormat="false" ht="15.75" hidden="false" customHeight="true" outlineLevel="0" collapsed="false">
      <c r="B4" s="1"/>
      <c r="C4" s="55" t="s">
        <v>213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customFormat="false" ht="9.75" hidden="false" customHeight="true" outlineLevel="0" collapsed="false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customFormat="false" ht="3.75" hidden="false" customHeight="true" outlineLevel="0" collapsed="false"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</row>
    <row r="7" customFormat="false" ht="7.5" hidden="false" customHeight="true" outlineLevel="0" collapsed="false"/>
    <row r="8" customFormat="false" ht="13.5" hidden="false" customHeight="true" outlineLevel="0" collapsed="false">
      <c r="B8" s="56" t="s">
        <v>83</v>
      </c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O8" s="56" t="s">
        <v>84</v>
      </c>
      <c r="P8" s="56"/>
      <c r="Q8" s="56"/>
      <c r="R8" s="56"/>
      <c r="S8" s="56"/>
      <c r="T8" s="56"/>
      <c r="U8" s="56"/>
      <c r="V8" s="56"/>
      <c r="X8" s="56" t="s">
        <v>119</v>
      </c>
      <c r="Y8" s="56"/>
      <c r="Z8" s="56"/>
      <c r="AA8" s="56"/>
      <c r="AB8" s="56"/>
      <c r="AC8" s="56"/>
      <c r="AD8" s="56"/>
      <c r="AE8" s="56"/>
      <c r="AG8" s="56" t="s">
        <v>120</v>
      </c>
      <c r="AH8" s="56"/>
      <c r="AI8" s="56"/>
      <c r="AJ8" s="56"/>
      <c r="AK8" s="56"/>
      <c r="AL8" s="56"/>
      <c r="AM8" s="56"/>
    </row>
    <row r="9" customFormat="false" ht="21.75" hidden="false" customHeight="true" outlineLevel="0" collapsed="false">
      <c r="B9" s="57" t="str">
        <f aca="false">Dashboard!$C$6</f>
        <v>Bindhya TB</v>
      </c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O9" s="57" t="str">
        <f aca="false">Dashboard!$C$7</f>
        <v>Tourism &amp; Business</v>
      </c>
      <c r="P9" s="57"/>
      <c r="Q9" s="57"/>
      <c r="R9" s="57"/>
      <c r="S9" s="57"/>
      <c r="T9" s="57"/>
      <c r="U9" s="57"/>
      <c r="V9" s="57"/>
      <c r="X9" s="58" t="n">
        <f aca="false">Cal!$H$2</f>
        <v>46296</v>
      </c>
      <c r="Y9" s="58"/>
      <c r="Z9" s="58"/>
      <c r="AA9" s="58"/>
      <c r="AB9" s="58"/>
      <c r="AC9" s="58"/>
      <c r="AD9" s="58"/>
      <c r="AE9" s="58"/>
      <c r="AG9" s="58" t="n">
        <f aca="false">Cal!$I$2</f>
        <v>46298</v>
      </c>
      <c r="AH9" s="58"/>
      <c r="AI9" s="58"/>
      <c r="AJ9" s="58"/>
      <c r="AK9" s="58"/>
      <c r="AL9" s="58"/>
      <c r="AM9" s="58"/>
    </row>
    <row r="10" customFormat="false" ht="9.75" hidden="false" customHeight="true" outlineLevel="0" collapsed="false"/>
    <row r="11" customFormat="false" ht="21.75" hidden="false" customHeight="true" outlineLevel="0" collapsed="false">
      <c r="B11" s="6"/>
      <c r="C11" s="19" t="s">
        <v>214</v>
      </c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</row>
    <row r="12" customFormat="false" ht="19.5" hidden="false" customHeight="true" outlineLevel="0" collapsed="false">
      <c r="B12" s="60"/>
      <c r="C12" s="61" t="n">
        <v>1</v>
      </c>
      <c r="D12" s="62" t="s">
        <v>215</v>
      </c>
      <c r="E12" s="62"/>
      <c r="F12" s="62"/>
      <c r="G12" s="62"/>
      <c r="H12" s="62"/>
      <c r="I12" s="62"/>
      <c r="J12" s="62"/>
      <c r="K12" s="62"/>
      <c r="L12" s="62"/>
      <c r="M12" s="62"/>
      <c r="O12" s="60"/>
      <c r="P12" s="61" t="n">
        <v>2</v>
      </c>
      <c r="Q12" s="62" t="s">
        <v>216</v>
      </c>
      <c r="R12" s="62"/>
      <c r="S12" s="62"/>
      <c r="T12" s="62"/>
      <c r="U12" s="62"/>
      <c r="V12" s="62"/>
      <c r="W12" s="62"/>
      <c r="X12" s="62"/>
      <c r="Y12" s="62"/>
      <c r="Z12" s="62"/>
      <c r="AB12" s="60"/>
      <c r="AC12" s="61" t="n">
        <v>3</v>
      </c>
      <c r="AD12" s="62" t="s">
        <v>14</v>
      </c>
      <c r="AE12" s="62"/>
      <c r="AF12" s="62"/>
      <c r="AG12" s="62"/>
      <c r="AH12" s="62"/>
      <c r="AI12" s="62"/>
      <c r="AJ12" s="62"/>
      <c r="AK12" s="62"/>
      <c r="AL12" s="62"/>
      <c r="AM12" s="62"/>
    </row>
    <row r="13" customFormat="false" ht="25.5" hidden="false" customHeight="true" outlineLevel="0" collapsed="false">
      <c r="B13" s="63"/>
      <c r="C13" s="97" t="str">
        <f aca="false">IF(OR(Dashboard!$C$9="",Dashboard!$C$10=0),"",Dashboard!$C$9/Dashboard!$C$10*Cal!$J$2)</f>
        <v/>
      </c>
      <c r="D13" s="97"/>
      <c r="E13" s="97"/>
      <c r="F13" s="97"/>
      <c r="G13" s="97"/>
      <c r="H13" s="97"/>
      <c r="I13" s="97"/>
      <c r="J13" s="97"/>
      <c r="K13" s="97"/>
      <c r="L13" s="97"/>
      <c r="M13" s="65"/>
      <c r="O13" s="63"/>
      <c r="P13" s="97" t="n">
        <f aca="false">SUMIFS(Dashboard!$L$74:$L$104,Dashboard!$B$74:$B$104,"&gt;="&amp;Cal!$H$2,Dashboard!$B$74:$B$104,"&lt;="&amp;Cal!$I$2)</f>
        <v>0</v>
      </c>
      <c r="Q13" s="97"/>
      <c r="R13" s="97"/>
      <c r="S13" s="97"/>
      <c r="T13" s="97"/>
      <c r="U13" s="97"/>
      <c r="V13" s="97"/>
      <c r="W13" s="97"/>
      <c r="X13" s="97"/>
      <c r="Y13" s="97"/>
      <c r="Z13" s="65"/>
      <c r="AB13" s="63"/>
      <c r="AC13" s="98" t="str">
        <f aca="false">IF(OR(C13="",P13=""),"",P13/C13)</f>
        <v/>
      </c>
      <c r="AD13" s="98"/>
      <c r="AE13" s="98"/>
      <c r="AF13" s="98"/>
      <c r="AG13" s="98"/>
      <c r="AH13" s="98"/>
      <c r="AI13" s="98"/>
      <c r="AJ13" s="98"/>
      <c r="AK13" s="98"/>
      <c r="AL13" s="98"/>
      <c r="AM13" s="65"/>
    </row>
    <row r="14" customFormat="false" ht="6" hidden="false" customHeight="true" outlineLevel="0" collapsed="false">
      <c r="B14" s="67"/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9"/>
      <c r="O14" s="67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9"/>
      <c r="AB14" s="67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9"/>
    </row>
    <row r="15" customFormat="false" ht="9.75" hidden="false" customHeight="true" outlineLevel="0" collapsed="false"/>
    <row r="16" customFormat="false" ht="21.75" hidden="false" customHeight="true" outlineLevel="0" collapsed="false">
      <c r="B16" s="6"/>
      <c r="C16" s="19" t="s">
        <v>217</v>
      </c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</row>
    <row r="17" customFormat="false" ht="27.75" hidden="false" customHeight="true" outlineLevel="0" collapsed="false">
      <c r="B17" s="79" t="s">
        <v>124</v>
      </c>
      <c r="C17" s="79"/>
      <c r="D17" s="80" t="s">
        <v>126</v>
      </c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 t="s">
        <v>218</v>
      </c>
      <c r="S17" s="80"/>
      <c r="T17" s="80"/>
      <c r="U17" s="80"/>
      <c r="V17" s="80"/>
      <c r="W17" s="80"/>
      <c r="X17" s="80"/>
      <c r="Y17" s="80"/>
      <c r="Z17" s="80" t="s">
        <v>219</v>
      </c>
      <c r="AA17" s="80"/>
      <c r="AB17" s="80"/>
      <c r="AC17" s="80"/>
      <c r="AD17" s="80"/>
      <c r="AE17" s="80"/>
      <c r="AF17" s="80"/>
      <c r="AG17" s="80"/>
      <c r="AH17" s="80" t="s">
        <v>220</v>
      </c>
      <c r="AI17" s="80"/>
      <c r="AJ17" s="80"/>
      <c r="AK17" s="80"/>
      <c r="AL17" s="80"/>
      <c r="AM17" s="80"/>
    </row>
    <row r="18" customFormat="false" ht="21.75" hidden="false" customHeight="true" outlineLevel="0" collapsed="false">
      <c r="B18" s="81" t="n">
        <v>1</v>
      </c>
      <c r="C18" s="81"/>
      <c r="D18" s="99" t="str">
        <f aca="false">Dashboard!$B$28</f>
        <v>Alshima</v>
      </c>
      <c r="E18" s="99"/>
      <c r="F18" s="99"/>
      <c r="G18" s="99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100" t="str">
        <f aca="false">IF(OR(Dashboard!$C$28="",Dashboard!$C$10=0),"",Dashboard!$C$28/Dashboard!$C$10*Cal!$J$2)</f>
        <v/>
      </c>
      <c r="S18" s="100"/>
      <c r="T18" s="100"/>
      <c r="U18" s="100"/>
      <c r="V18" s="100"/>
      <c r="W18" s="100"/>
      <c r="X18" s="100"/>
      <c r="Y18" s="100"/>
      <c r="Z18" s="100" t="n">
        <f aca="false">SUMPRODUCT((Dashboard!$D$73:$K$73=$D18)*(Dashboard!$B$74:$B$104&gt;=Cal!$H$2)*(Dashboard!$B$74:$B$104&lt;=Cal!$I$2)*Dashboard!$D$74:$K$104)</f>
        <v>0</v>
      </c>
      <c r="AA18" s="100"/>
      <c r="AB18" s="100"/>
      <c r="AC18" s="100"/>
      <c r="AD18" s="100"/>
      <c r="AE18" s="100"/>
      <c r="AF18" s="100"/>
      <c r="AG18" s="100"/>
      <c r="AH18" s="101" t="str">
        <f aca="false">IF(OR(R18="",Z18=""),"",Z18/R18)</f>
        <v/>
      </c>
      <c r="AI18" s="101"/>
      <c r="AJ18" s="101"/>
      <c r="AK18" s="101"/>
      <c r="AL18" s="101"/>
      <c r="AM18" s="101"/>
    </row>
    <row r="19" customFormat="false" ht="21.75" hidden="false" customHeight="true" outlineLevel="0" collapsed="false">
      <c r="B19" s="81" t="n">
        <v>2</v>
      </c>
      <c r="C19" s="81"/>
      <c r="D19" s="99" t="str">
        <f aca="false">Dashboard!$B$29</f>
        <v>Chaima</v>
      </c>
      <c r="E19" s="99"/>
      <c r="F19" s="99"/>
      <c r="G19" s="99"/>
      <c r="H19" s="99"/>
      <c r="I19" s="99"/>
      <c r="J19" s="99"/>
      <c r="K19" s="99"/>
      <c r="L19" s="99"/>
      <c r="M19" s="99"/>
      <c r="N19" s="99"/>
      <c r="O19" s="99"/>
      <c r="P19" s="99"/>
      <c r="Q19" s="99"/>
      <c r="R19" s="100" t="str">
        <f aca="false">IF(OR(Dashboard!$C$29="",Dashboard!$C$10=0),"",Dashboard!$C$29/Dashboard!$C$10*Cal!$J$2)</f>
        <v/>
      </c>
      <c r="S19" s="100"/>
      <c r="T19" s="100"/>
      <c r="U19" s="100"/>
      <c r="V19" s="100"/>
      <c r="W19" s="100"/>
      <c r="X19" s="100"/>
      <c r="Y19" s="100"/>
      <c r="Z19" s="100" t="n">
        <f aca="false">SUMPRODUCT((Dashboard!$D$73:$K$73=$D19)*(Dashboard!$B$74:$B$104&gt;=Cal!$H$2)*(Dashboard!$B$74:$B$104&lt;=Cal!$I$2)*Dashboard!$D$74:$K$104)</f>
        <v>0</v>
      </c>
      <c r="AA19" s="100"/>
      <c r="AB19" s="100"/>
      <c r="AC19" s="100"/>
      <c r="AD19" s="100"/>
      <c r="AE19" s="100"/>
      <c r="AF19" s="100"/>
      <c r="AG19" s="100"/>
      <c r="AH19" s="101" t="str">
        <f aca="false">IF(OR(R19="",Z19=""),"",Z19/R19)</f>
        <v/>
      </c>
      <c r="AI19" s="101"/>
      <c r="AJ19" s="101"/>
      <c r="AK19" s="101"/>
      <c r="AL19" s="101"/>
      <c r="AM19" s="101"/>
    </row>
    <row r="20" customFormat="false" ht="21.75" hidden="false" customHeight="true" outlineLevel="0" collapsed="false">
      <c r="B20" s="81" t="n">
        <v>3</v>
      </c>
      <c r="C20" s="81"/>
      <c r="D20" s="99" t="str">
        <f aca="false">Dashboard!$B$30</f>
        <v>Harinder</v>
      </c>
      <c r="E20" s="99"/>
      <c r="F20" s="99"/>
      <c r="G20" s="99"/>
      <c r="H20" s="99"/>
      <c r="I20" s="99"/>
      <c r="J20" s="99"/>
      <c r="K20" s="99"/>
      <c r="L20" s="99"/>
      <c r="M20" s="99"/>
      <c r="N20" s="99"/>
      <c r="O20" s="99"/>
      <c r="P20" s="99"/>
      <c r="Q20" s="99"/>
      <c r="R20" s="100" t="str">
        <f aca="false">IF(OR(Dashboard!$C$30="",Dashboard!$C$10=0),"",Dashboard!$C$30/Dashboard!$C$10*Cal!$J$2)</f>
        <v/>
      </c>
      <c r="S20" s="100"/>
      <c r="T20" s="100"/>
      <c r="U20" s="100"/>
      <c r="V20" s="100"/>
      <c r="W20" s="100"/>
      <c r="X20" s="100"/>
      <c r="Y20" s="100"/>
      <c r="Z20" s="100" t="n">
        <f aca="false">SUMPRODUCT((Dashboard!$D$73:$K$73=$D20)*(Dashboard!$B$74:$B$104&gt;=Cal!$H$2)*(Dashboard!$B$74:$B$104&lt;=Cal!$I$2)*Dashboard!$D$74:$K$104)</f>
        <v>0</v>
      </c>
      <c r="AA20" s="100"/>
      <c r="AB20" s="100"/>
      <c r="AC20" s="100"/>
      <c r="AD20" s="100"/>
      <c r="AE20" s="100"/>
      <c r="AF20" s="100"/>
      <c r="AG20" s="100"/>
      <c r="AH20" s="101" t="str">
        <f aca="false">IF(OR(R20="",Z20=""),"",Z20/R20)</f>
        <v/>
      </c>
      <c r="AI20" s="101"/>
      <c r="AJ20" s="101"/>
      <c r="AK20" s="101"/>
      <c r="AL20" s="101"/>
      <c r="AM20" s="101"/>
    </row>
    <row r="21" customFormat="false" ht="21.75" hidden="false" customHeight="true" outlineLevel="0" collapsed="false">
      <c r="B21" s="81" t="n">
        <v>4</v>
      </c>
      <c r="C21" s="81"/>
      <c r="D21" s="99" t="str">
        <f aca="false">Dashboard!$B$31</f>
        <v>Ibrahim</v>
      </c>
      <c r="E21" s="99"/>
      <c r="F21" s="99"/>
      <c r="G21" s="99"/>
      <c r="H21" s="99"/>
      <c r="I21" s="99"/>
      <c r="J21" s="99"/>
      <c r="K21" s="99"/>
      <c r="L21" s="99"/>
      <c r="M21" s="99"/>
      <c r="N21" s="99"/>
      <c r="O21" s="99"/>
      <c r="P21" s="99"/>
      <c r="Q21" s="99"/>
      <c r="R21" s="100" t="str">
        <f aca="false">IF(OR(Dashboard!$C$31="",Dashboard!$C$10=0),"",Dashboard!$C$31/Dashboard!$C$10*Cal!$J$2)</f>
        <v/>
      </c>
      <c r="S21" s="100"/>
      <c r="T21" s="100"/>
      <c r="U21" s="100"/>
      <c r="V21" s="100"/>
      <c r="W21" s="100"/>
      <c r="X21" s="100"/>
      <c r="Y21" s="100"/>
      <c r="Z21" s="100" t="n">
        <f aca="false">SUMPRODUCT((Dashboard!$D$73:$K$73=$D21)*(Dashboard!$B$74:$B$104&gt;=Cal!$H$2)*(Dashboard!$B$74:$B$104&lt;=Cal!$I$2)*Dashboard!$D$74:$K$104)</f>
        <v>0</v>
      </c>
      <c r="AA21" s="100"/>
      <c r="AB21" s="100"/>
      <c r="AC21" s="100"/>
      <c r="AD21" s="100"/>
      <c r="AE21" s="100"/>
      <c r="AF21" s="100"/>
      <c r="AG21" s="100"/>
      <c r="AH21" s="101" t="str">
        <f aca="false">IF(OR(R21="",Z21=""),"",Z21/R21)</f>
        <v/>
      </c>
      <c r="AI21" s="101"/>
      <c r="AJ21" s="101"/>
      <c r="AK21" s="101"/>
      <c r="AL21" s="101"/>
      <c r="AM21" s="101"/>
    </row>
    <row r="22" customFormat="false" ht="21.75" hidden="false" customHeight="true" outlineLevel="0" collapsed="false">
      <c r="B22" s="81" t="n">
        <v>5</v>
      </c>
      <c r="C22" s="81"/>
      <c r="D22" s="99" t="str">
        <f aca="false">Dashboard!$B$32</f>
        <v>Khozema</v>
      </c>
      <c r="E22" s="99"/>
      <c r="F22" s="99"/>
      <c r="G22" s="99"/>
      <c r="H22" s="99"/>
      <c r="I22" s="99"/>
      <c r="J22" s="99"/>
      <c r="K22" s="99"/>
      <c r="L22" s="99"/>
      <c r="M22" s="99"/>
      <c r="N22" s="99"/>
      <c r="O22" s="99"/>
      <c r="P22" s="99"/>
      <c r="Q22" s="99"/>
      <c r="R22" s="100" t="str">
        <f aca="false">IF(OR(Dashboard!$C$32="",Dashboard!$C$10=0),"",Dashboard!$C$32/Dashboard!$C$10*Cal!$J$2)</f>
        <v/>
      </c>
      <c r="S22" s="100"/>
      <c r="T22" s="100"/>
      <c r="U22" s="100"/>
      <c r="V22" s="100"/>
      <c r="W22" s="100"/>
      <c r="X22" s="100"/>
      <c r="Y22" s="100"/>
      <c r="Z22" s="100" t="n">
        <f aca="false">SUMPRODUCT((Dashboard!$D$73:$K$73=$D22)*(Dashboard!$B$74:$B$104&gt;=Cal!$H$2)*(Dashboard!$B$74:$B$104&lt;=Cal!$I$2)*Dashboard!$D$74:$K$104)</f>
        <v>0</v>
      </c>
      <c r="AA22" s="100"/>
      <c r="AB22" s="100"/>
      <c r="AC22" s="100"/>
      <c r="AD22" s="100"/>
      <c r="AE22" s="100"/>
      <c r="AF22" s="100"/>
      <c r="AG22" s="100"/>
      <c r="AH22" s="101" t="str">
        <f aca="false">IF(OR(R22="",Z22=""),"",Z22/R22)</f>
        <v/>
      </c>
      <c r="AI22" s="101"/>
      <c r="AJ22" s="101"/>
      <c r="AK22" s="101"/>
      <c r="AL22" s="101"/>
      <c r="AM22" s="101"/>
    </row>
    <row r="23" customFormat="false" ht="21.75" hidden="false" customHeight="true" outlineLevel="0" collapsed="false">
      <c r="B23" s="81" t="n">
        <v>6</v>
      </c>
      <c r="C23" s="81"/>
      <c r="D23" s="99" t="str">
        <f aca="false">Dashboard!$B$33</f>
        <v>Layan</v>
      </c>
      <c r="E23" s="99"/>
      <c r="F23" s="99"/>
      <c r="G23" s="99"/>
      <c r="H23" s="99"/>
      <c r="I23" s="99"/>
      <c r="J23" s="99"/>
      <c r="K23" s="99"/>
      <c r="L23" s="99"/>
      <c r="M23" s="99"/>
      <c r="N23" s="99"/>
      <c r="O23" s="99"/>
      <c r="P23" s="99"/>
      <c r="Q23" s="99"/>
      <c r="R23" s="100" t="str">
        <f aca="false">IF(OR(Dashboard!$C$33="",Dashboard!$C$10=0),"",Dashboard!$C$33/Dashboard!$C$10*Cal!$J$2)</f>
        <v/>
      </c>
      <c r="S23" s="100"/>
      <c r="T23" s="100"/>
      <c r="U23" s="100"/>
      <c r="V23" s="100"/>
      <c r="W23" s="100"/>
      <c r="X23" s="100"/>
      <c r="Y23" s="100"/>
      <c r="Z23" s="100" t="n">
        <f aca="false">SUMPRODUCT((Dashboard!$D$73:$K$73=$D23)*(Dashboard!$B$74:$B$104&gt;=Cal!$H$2)*(Dashboard!$B$74:$B$104&lt;=Cal!$I$2)*Dashboard!$D$74:$K$104)</f>
        <v>0</v>
      </c>
      <c r="AA23" s="100"/>
      <c r="AB23" s="100"/>
      <c r="AC23" s="100"/>
      <c r="AD23" s="100"/>
      <c r="AE23" s="100"/>
      <c r="AF23" s="100"/>
      <c r="AG23" s="100"/>
      <c r="AH23" s="101" t="str">
        <f aca="false">IF(OR(R23="",Z23=""),"",Z23/R23)</f>
        <v/>
      </c>
      <c r="AI23" s="101"/>
      <c r="AJ23" s="101"/>
      <c r="AK23" s="101"/>
      <c r="AL23" s="101"/>
      <c r="AM23" s="101"/>
    </row>
    <row r="24" customFormat="false" ht="21.75" hidden="false" customHeight="true" outlineLevel="0" collapsed="false">
      <c r="B24" s="81" t="n">
        <v>7</v>
      </c>
      <c r="C24" s="81"/>
      <c r="D24" s="99" t="str">
        <f aca="false">Dashboard!$B$34</f>
        <v>Rihab</v>
      </c>
      <c r="E24" s="99"/>
      <c r="F24" s="99"/>
      <c r="G24" s="99"/>
      <c r="H24" s="99"/>
      <c r="I24" s="99"/>
      <c r="J24" s="99"/>
      <c r="K24" s="99"/>
      <c r="L24" s="99"/>
      <c r="M24" s="99"/>
      <c r="N24" s="99"/>
      <c r="O24" s="99"/>
      <c r="P24" s="99"/>
      <c r="Q24" s="99"/>
      <c r="R24" s="100" t="str">
        <f aca="false">IF(OR(Dashboard!$C$34="",Dashboard!$C$10=0),"",Dashboard!$C$34/Dashboard!$C$10*Cal!$J$2)</f>
        <v/>
      </c>
      <c r="S24" s="100"/>
      <c r="T24" s="100"/>
      <c r="U24" s="100"/>
      <c r="V24" s="100"/>
      <c r="W24" s="100"/>
      <c r="X24" s="100"/>
      <c r="Y24" s="100"/>
      <c r="Z24" s="100" t="n">
        <f aca="false">SUMPRODUCT((Dashboard!$D$73:$K$73=$D24)*(Dashboard!$B$74:$B$104&gt;=Cal!$H$2)*(Dashboard!$B$74:$B$104&lt;=Cal!$I$2)*Dashboard!$D$74:$K$104)</f>
        <v>0</v>
      </c>
      <c r="AA24" s="100"/>
      <c r="AB24" s="100"/>
      <c r="AC24" s="100"/>
      <c r="AD24" s="100"/>
      <c r="AE24" s="100"/>
      <c r="AF24" s="100"/>
      <c r="AG24" s="100"/>
      <c r="AH24" s="101" t="str">
        <f aca="false">IF(OR(R24="",Z24=""),"",Z24/R24)</f>
        <v/>
      </c>
      <c r="AI24" s="101"/>
      <c r="AJ24" s="101"/>
      <c r="AK24" s="101"/>
      <c r="AL24" s="101"/>
      <c r="AM24" s="101"/>
    </row>
    <row r="25" customFormat="false" ht="21.75" hidden="false" customHeight="true" outlineLevel="0" collapsed="false">
      <c r="B25" s="81" t="n">
        <v>8</v>
      </c>
      <c r="C25" s="81"/>
      <c r="D25" s="99" t="str">
        <f aca="false">Dashboard!$B$35</f>
        <v>Saha</v>
      </c>
      <c r="E25" s="99"/>
      <c r="F25" s="99"/>
      <c r="G25" s="99"/>
      <c r="H25" s="99"/>
      <c r="I25" s="99"/>
      <c r="J25" s="99"/>
      <c r="K25" s="99"/>
      <c r="L25" s="99"/>
      <c r="M25" s="99"/>
      <c r="N25" s="99"/>
      <c r="O25" s="99"/>
      <c r="P25" s="99"/>
      <c r="Q25" s="99"/>
      <c r="R25" s="100" t="str">
        <f aca="false">IF(OR(Dashboard!$C$35="",Dashboard!$C$10=0),"",Dashboard!$C$35/Dashboard!$C$10*Cal!$J$2)</f>
        <v/>
      </c>
      <c r="S25" s="100"/>
      <c r="T25" s="100"/>
      <c r="U25" s="100"/>
      <c r="V25" s="100"/>
      <c r="W25" s="100"/>
      <c r="X25" s="100"/>
      <c r="Y25" s="100"/>
      <c r="Z25" s="100" t="n">
        <f aca="false">SUMPRODUCT((Dashboard!$D$73:$K$73=$D25)*(Dashboard!$B$74:$B$104&gt;=Cal!$H$2)*(Dashboard!$B$74:$B$104&lt;=Cal!$I$2)*Dashboard!$D$74:$K$104)</f>
        <v>0</v>
      </c>
      <c r="AA25" s="100"/>
      <c r="AB25" s="100"/>
      <c r="AC25" s="100"/>
      <c r="AD25" s="100"/>
      <c r="AE25" s="100"/>
      <c r="AF25" s="100"/>
      <c r="AG25" s="100"/>
      <c r="AH25" s="101" t="str">
        <f aca="false">IF(OR(R25="",Z25=""),"",Z25/R25)</f>
        <v/>
      </c>
      <c r="AI25" s="101"/>
      <c r="AJ25" s="101"/>
      <c r="AK25" s="101"/>
      <c r="AL25" s="101"/>
      <c r="AM25" s="101"/>
    </row>
    <row r="26" customFormat="false" ht="21.75" hidden="false" customHeight="true" outlineLevel="0" collapsed="false">
      <c r="B26" s="81" t="n">
        <v>9</v>
      </c>
      <c r="C26" s="81"/>
      <c r="D26" s="102"/>
      <c r="E26" s="102"/>
      <c r="F26" s="102"/>
      <c r="G26" s="102"/>
      <c r="H26" s="102"/>
      <c r="I26" s="102"/>
      <c r="J26" s="102"/>
      <c r="K26" s="102"/>
      <c r="L26" s="102"/>
      <c r="M26" s="102"/>
      <c r="N26" s="102"/>
      <c r="O26" s="102"/>
      <c r="P26" s="102"/>
      <c r="Q26" s="102"/>
      <c r="R26" s="102"/>
      <c r="S26" s="102"/>
      <c r="T26" s="102"/>
      <c r="U26" s="102"/>
      <c r="V26" s="102"/>
      <c r="W26" s="102"/>
      <c r="X26" s="102"/>
      <c r="Y26" s="102"/>
      <c r="Z26" s="102"/>
      <c r="AA26" s="102"/>
      <c r="AB26" s="102"/>
      <c r="AC26" s="102"/>
      <c r="AD26" s="102"/>
      <c r="AE26" s="102"/>
      <c r="AF26" s="102"/>
      <c r="AG26" s="102"/>
      <c r="AH26" s="102"/>
      <c r="AI26" s="102"/>
      <c r="AJ26" s="102"/>
      <c r="AK26" s="102"/>
      <c r="AL26" s="102"/>
      <c r="AM26" s="102"/>
    </row>
    <row r="27" customFormat="false" ht="9.75" hidden="false" customHeight="true" outlineLevel="0" collapsed="false"/>
    <row r="28" customFormat="false" ht="21.75" hidden="false" customHeight="true" outlineLevel="0" collapsed="false">
      <c r="B28" s="6"/>
      <c r="C28" s="19" t="s">
        <v>221</v>
      </c>
      <c r="D28" s="19"/>
      <c r="E28" s="19"/>
      <c r="F28" s="19"/>
      <c r="G28" s="19"/>
      <c r="H28" s="19"/>
      <c r="I28" s="19"/>
      <c r="J28" s="59" t="s">
        <v>222</v>
      </c>
      <c r="K28" s="59"/>
      <c r="L28" s="59"/>
      <c r="M28" s="59"/>
      <c r="N28" s="59"/>
      <c r="O28" s="59"/>
      <c r="P28" s="59"/>
      <c r="Q28" s="59"/>
      <c r="S28" s="6"/>
      <c r="T28" s="19" t="s">
        <v>223</v>
      </c>
      <c r="U28" s="19"/>
      <c r="V28" s="19"/>
      <c r="W28" s="19"/>
      <c r="X28" s="19"/>
      <c r="Y28" s="19"/>
      <c r="Z28" s="59" t="s">
        <v>224</v>
      </c>
      <c r="AA28" s="59"/>
      <c r="AB28" s="59"/>
      <c r="AC28" s="59"/>
      <c r="AD28" s="59"/>
      <c r="AE28" s="59"/>
      <c r="AF28" s="59"/>
      <c r="AG28" s="59"/>
      <c r="AH28" s="59"/>
      <c r="AI28" s="59"/>
      <c r="AJ28" s="59"/>
      <c r="AK28" s="59"/>
      <c r="AL28" s="59"/>
      <c r="AM28" s="59"/>
    </row>
    <row r="29" customFormat="false" ht="36" hidden="false" customHeight="true" outlineLevel="0" collapsed="false">
      <c r="B29" s="60"/>
      <c r="C29" s="61" t="n">
        <v>4</v>
      </c>
      <c r="D29" s="62" t="s">
        <v>225</v>
      </c>
      <c r="E29" s="62"/>
      <c r="F29" s="62"/>
      <c r="G29" s="62"/>
      <c r="H29" s="62"/>
      <c r="I29" s="62"/>
      <c r="K29" s="60"/>
      <c r="L29" s="61" t="n">
        <v>5</v>
      </c>
      <c r="M29" s="62" t="s">
        <v>226</v>
      </c>
      <c r="N29" s="62"/>
      <c r="O29" s="62"/>
      <c r="P29" s="62"/>
      <c r="Q29" s="62"/>
      <c r="S29" s="60"/>
      <c r="T29" s="61" t="n">
        <v>6</v>
      </c>
      <c r="U29" s="62" t="s">
        <v>227</v>
      </c>
      <c r="V29" s="62"/>
      <c r="W29" s="62"/>
      <c r="X29" s="62"/>
      <c r="Y29" s="62"/>
      <c r="AA29" s="60"/>
      <c r="AB29" s="61" t="n">
        <v>7</v>
      </c>
      <c r="AC29" s="62" t="s">
        <v>228</v>
      </c>
      <c r="AD29" s="62"/>
      <c r="AE29" s="62"/>
      <c r="AF29" s="62"/>
      <c r="AH29" s="60"/>
      <c r="AI29" s="61" t="n">
        <v>8</v>
      </c>
      <c r="AJ29" s="62" t="s">
        <v>229</v>
      </c>
      <c r="AK29" s="62"/>
      <c r="AL29" s="62"/>
      <c r="AM29" s="62"/>
    </row>
    <row r="30" customFormat="false" ht="25.5" hidden="false" customHeight="true" outlineLevel="0" collapsed="false">
      <c r="B30" s="63"/>
      <c r="C30" s="103" t="n">
        <f aca="false">COUNTA('Form 2 Case Log'!D129:D134)</f>
        <v>0</v>
      </c>
      <c r="D30" s="103"/>
      <c r="E30" s="103"/>
      <c r="F30" s="103"/>
      <c r="G30" s="103"/>
      <c r="H30" s="103"/>
      <c r="I30" s="65"/>
      <c r="K30" s="63"/>
      <c r="L30" s="103" t="n">
        <f aca="false">COUNTIFS('Form 2 Case Log'!AV129:AV134,"&gt;"&amp;Cal!$I$2,'Form 2 Case Log'!AV129:AV134,"&lt;="&amp;(Cal!$I$2+7))</f>
        <v>0</v>
      </c>
      <c r="M30" s="103"/>
      <c r="N30" s="103"/>
      <c r="O30" s="103"/>
      <c r="P30" s="103"/>
      <c r="Q30" s="65"/>
      <c r="S30" s="63"/>
      <c r="T30" s="64"/>
      <c r="U30" s="64"/>
      <c r="V30" s="64"/>
      <c r="W30" s="64"/>
      <c r="X30" s="64"/>
      <c r="Y30" s="65"/>
      <c r="AA30" s="63"/>
      <c r="AB30" s="64"/>
      <c r="AC30" s="64"/>
      <c r="AD30" s="64"/>
      <c r="AE30" s="64"/>
      <c r="AF30" s="65"/>
      <c r="AH30" s="63"/>
      <c r="AI30" s="64"/>
      <c r="AJ30" s="64"/>
      <c r="AK30" s="64"/>
      <c r="AL30" s="64"/>
      <c r="AM30" s="65"/>
    </row>
    <row r="31" customFormat="false" ht="6" hidden="false" customHeight="true" outlineLevel="0" collapsed="false">
      <c r="B31" s="67"/>
      <c r="C31" s="68"/>
      <c r="D31" s="68"/>
      <c r="E31" s="68"/>
      <c r="F31" s="68"/>
      <c r="G31" s="68"/>
      <c r="H31" s="68"/>
      <c r="I31" s="69"/>
      <c r="K31" s="67"/>
      <c r="L31" s="68"/>
      <c r="M31" s="68"/>
      <c r="N31" s="68"/>
      <c r="O31" s="68"/>
      <c r="P31" s="68"/>
      <c r="Q31" s="69"/>
      <c r="S31" s="67"/>
      <c r="T31" s="68"/>
      <c r="U31" s="68"/>
      <c r="V31" s="68"/>
      <c r="W31" s="68"/>
      <c r="X31" s="68"/>
      <c r="Y31" s="69"/>
      <c r="AA31" s="67"/>
      <c r="AB31" s="68"/>
      <c r="AC31" s="68"/>
      <c r="AD31" s="68"/>
      <c r="AE31" s="68"/>
      <c r="AF31" s="69"/>
      <c r="AH31" s="67"/>
      <c r="AI31" s="68"/>
      <c r="AJ31" s="68"/>
      <c r="AK31" s="68"/>
      <c r="AL31" s="68"/>
      <c r="AM31" s="69"/>
    </row>
    <row r="32" customFormat="false" ht="9.75" hidden="false" customHeight="true" outlineLevel="0" collapsed="false"/>
    <row r="33" customFormat="false" ht="21.75" hidden="false" customHeight="true" outlineLevel="0" collapsed="false">
      <c r="B33" s="6"/>
      <c r="C33" s="19" t="s">
        <v>230</v>
      </c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</row>
    <row r="34" customFormat="false" ht="24" hidden="false" customHeight="true" outlineLevel="0" collapsed="false">
      <c r="B34" s="104" t="n">
        <v>1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  <c r="AA34" s="72"/>
      <c r="AB34" s="72"/>
      <c r="AC34" s="72"/>
      <c r="AD34" s="72"/>
      <c r="AE34" s="72"/>
      <c r="AF34" s="72"/>
      <c r="AG34" s="72"/>
      <c r="AH34" s="72"/>
      <c r="AI34" s="72"/>
      <c r="AJ34" s="72"/>
      <c r="AK34" s="72"/>
      <c r="AL34" s="72"/>
      <c r="AM34" s="72"/>
    </row>
    <row r="35" customFormat="false" ht="24" hidden="false" customHeight="true" outlineLevel="0" collapsed="false">
      <c r="B35" s="104" t="n">
        <v>2</v>
      </c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  <c r="AA35" s="72"/>
      <c r="AB35" s="72"/>
      <c r="AC35" s="72"/>
      <c r="AD35" s="72"/>
      <c r="AE35" s="72"/>
      <c r="AF35" s="72"/>
      <c r="AG35" s="72"/>
      <c r="AH35" s="72"/>
      <c r="AI35" s="72"/>
      <c r="AJ35" s="72"/>
      <c r="AK35" s="72"/>
      <c r="AL35" s="72"/>
      <c r="AM35" s="72"/>
    </row>
    <row r="36" customFormat="false" ht="24" hidden="false" customHeight="true" outlineLevel="0" collapsed="false">
      <c r="B36" s="104" t="n">
        <v>3</v>
      </c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  <c r="AA36" s="72"/>
      <c r="AB36" s="72"/>
      <c r="AC36" s="72"/>
      <c r="AD36" s="72"/>
      <c r="AE36" s="72"/>
      <c r="AF36" s="72"/>
      <c r="AG36" s="72"/>
      <c r="AH36" s="72"/>
      <c r="AI36" s="72"/>
      <c r="AJ36" s="72"/>
      <c r="AK36" s="72"/>
      <c r="AL36" s="72"/>
      <c r="AM36" s="72"/>
    </row>
    <row r="37" customFormat="false" ht="9.75" hidden="false" customHeight="true" outlineLevel="0" collapsed="false"/>
    <row r="38" customFormat="false" ht="25.5" hidden="false" customHeight="true" outlineLevel="0" collapsed="false">
      <c r="B38" s="6"/>
      <c r="C38" s="105" t="s">
        <v>231</v>
      </c>
      <c r="D38" s="105"/>
      <c r="E38" s="105"/>
      <c r="F38" s="105"/>
      <c r="G38" s="105"/>
      <c r="H38" s="105"/>
      <c r="I38" s="105"/>
      <c r="J38" s="105"/>
      <c r="K38" s="105"/>
      <c r="L38" s="105"/>
      <c r="M38" s="105"/>
      <c r="N38" s="105"/>
      <c r="O38" s="105"/>
      <c r="P38" s="105"/>
      <c r="Q38" s="105"/>
      <c r="R38" s="105"/>
      <c r="S38" s="105"/>
      <c r="T38" s="105"/>
      <c r="U38" s="105"/>
      <c r="V38" s="105"/>
      <c r="W38" s="105"/>
      <c r="X38" s="105"/>
      <c r="Y38" s="105"/>
      <c r="Z38" s="105"/>
      <c r="AA38" s="105"/>
      <c r="AB38" s="105"/>
      <c r="AC38" s="105"/>
      <c r="AD38" s="105"/>
      <c r="AE38" s="105"/>
      <c r="AF38" s="105"/>
      <c r="AG38" s="105"/>
      <c r="AH38" s="105"/>
      <c r="AI38" s="105"/>
      <c r="AJ38" s="105"/>
      <c r="AK38" s="105"/>
      <c r="AL38" s="105"/>
      <c r="AM38" s="105"/>
    </row>
    <row r="39" customFormat="false" ht="109.5" hidden="false" customHeight="true" outlineLevel="0" collapsed="false"/>
    <row r="40" customFormat="false" ht="6" hidden="false" customHeight="true" outlineLevel="0" collapsed="false"/>
    <row r="41" customFormat="false" ht="19.5" hidden="false" customHeight="true" outlineLevel="0" collapsed="false">
      <c r="B41" s="73" t="s">
        <v>107</v>
      </c>
      <c r="C41" s="73"/>
      <c r="D41" s="73"/>
      <c r="E41" s="73"/>
      <c r="F41" s="73"/>
      <c r="G41" s="73"/>
      <c r="H41" s="73"/>
      <c r="I41" s="73"/>
      <c r="J41" s="73"/>
      <c r="K41" s="73"/>
      <c r="L41" s="74" t="s">
        <v>108</v>
      </c>
      <c r="M41" s="74"/>
      <c r="N41" s="74"/>
      <c r="O41" s="74"/>
      <c r="P41" s="74"/>
      <c r="Q41" s="74"/>
      <c r="R41" s="74"/>
      <c r="S41" s="74"/>
      <c r="U41" s="73" t="s">
        <v>207</v>
      </c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4" t="s">
        <v>108</v>
      </c>
      <c r="AG41" s="74"/>
      <c r="AH41" s="74"/>
      <c r="AI41" s="74"/>
      <c r="AJ41" s="74"/>
      <c r="AK41" s="74"/>
      <c r="AL41" s="74"/>
      <c r="AM41" s="74"/>
    </row>
    <row r="42" customFormat="false" ht="9.75" hidden="false" customHeight="true" outlineLevel="0" collapsed="false"/>
    <row r="43" customFormat="false" ht="18" hidden="false" customHeight="true" outlineLevel="0" collapsed="false">
      <c r="B43" s="75" t="s">
        <v>232</v>
      </c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6" t="s">
        <v>111</v>
      </c>
      <c r="U43" s="76"/>
      <c r="V43" s="76"/>
      <c r="W43" s="76"/>
      <c r="X43" s="76"/>
      <c r="Y43" s="76"/>
      <c r="Z43" s="76"/>
      <c r="AA43" s="76"/>
      <c r="AB43" s="76"/>
      <c r="AC43" s="76"/>
      <c r="AD43" s="76"/>
      <c r="AE43" s="76"/>
      <c r="AF43" s="76"/>
      <c r="AG43" s="76"/>
      <c r="AH43" s="76"/>
      <c r="AI43" s="76"/>
      <c r="AJ43" s="76"/>
      <c r="AK43" s="76"/>
      <c r="AL43" s="76"/>
      <c r="AM43" s="76"/>
    </row>
    <row r="44" customFormat="false" ht="7.5" hidden="false" customHeight="true" outlineLevel="0" collapsed="false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customFormat="false" ht="19.5" hidden="false" customHeight="true" outlineLevel="0" collapsed="false">
      <c r="B45" s="1"/>
      <c r="C45" s="51" t="s">
        <v>209</v>
      </c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  <c r="AA45" s="51"/>
      <c r="AB45" s="1"/>
      <c r="AC45" s="1"/>
      <c r="AD45" s="1"/>
      <c r="AE45" s="52" t="s">
        <v>210</v>
      </c>
      <c r="AF45" s="52"/>
      <c r="AG45" s="52"/>
      <c r="AH45" s="52"/>
      <c r="AI45" s="52"/>
      <c r="AJ45" s="52"/>
      <c r="AK45" s="52"/>
      <c r="AL45" s="1"/>
      <c r="AM45" s="1"/>
    </row>
    <row r="46" customFormat="false" ht="30" hidden="false" customHeight="true" outlineLevel="0" collapsed="false">
      <c r="B46" s="1"/>
      <c r="C46" s="53" t="s">
        <v>211</v>
      </c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  <c r="AB46" s="54" t="s">
        <v>212</v>
      </c>
      <c r="AC46" s="54"/>
      <c r="AD46" s="54"/>
      <c r="AE46" s="54"/>
      <c r="AF46" s="54"/>
      <c r="AG46" s="54"/>
      <c r="AH46" s="54"/>
      <c r="AI46" s="54"/>
      <c r="AJ46" s="54"/>
      <c r="AK46" s="54"/>
      <c r="AL46" s="1"/>
      <c r="AM46" s="1"/>
    </row>
    <row r="47" customFormat="false" ht="15.75" hidden="false" customHeight="true" outlineLevel="0" collapsed="false">
      <c r="B47" s="1"/>
      <c r="C47" s="55" t="s">
        <v>213</v>
      </c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customFormat="false" ht="9.75" hidden="false" customHeight="true" outlineLevel="0" collapsed="false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customFormat="false" ht="3.75" hidden="false" customHeight="true" outlineLevel="0" collapsed="false"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</row>
    <row r="50" customFormat="false" ht="7.5" hidden="false" customHeight="true" outlineLevel="0" collapsed="false"/>
    <row r="51" customFormat="false" ht="13.5" hidden="false" customHeight="true" outlineLevel="0" collapsed="false">
      <c r="B51" s="56" t="s">
        <v>83</v>
      </c>
      <c r="C51" s="56"/>
      <c r="D51" s="56"/>
      <c r="E51" s="56"/>
      <c r="F51" s="56"/>
      <c r="G51" s="56"/>
      <c r="H51" s="56"/>
      <c r="I51" s="56"/>
      <c r="J51" s="56"/>
      <c r="K51" s="56"/>
      <c r="L51" s="56"/>
      <c r="M51" s="56"/>
      <c r="O51" s="56" t="s">
        <v>84</v>
      </c>
      <c r="P51" s="56"/>
      <c r="Q51" s="56"/>
      <c r="R51" s="56"/>
      <c r="S51" s="56"/>
      <c r="T51" s="56"/>
      <c r="U51" s="56"/>
      <c r="V51" s="56"/>
      <c r="X51" s="56" t="s">
        <v>119</v>
      </c>
      <c r="Y51" s="56"/>
      <c r="Z51" s="56"/>
      <c r="AA51" s="56"/>
      <c r="AB51" s="56"/>
      <c r="AC51" s="56"/>
      <c r="AD51" s="56"/>
      <c r="AE51" s="56"/>
      <c r="AG51" s="56" t="s">
        <v>120</v>
      </c>
      <c r="AH51" s="56"/>
      <c r="AI51" s="56"/>
      <c r="AJ51" s="56"/>
      <c r="AK51" s="56"/>
      <c r="AL51" s="56"/>
      <c r="AM51" s="56"/>
    </row>
    <row r="52" customFormat="false" ht="21.75" hidden="false" customHeight="true" outlineLevel="0" collapsed="false">
      <c r="B52" s="57" t="str">
        <f aca="false">Dashboard!$C$6</f>
        <v>Bindhya TB</v>
      </c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O52" s="57" t="str">
        <f aca="false">Dashboard!$C$7</f>
        <v>Tourism &amp; Business</v>
      </c>
      <c r="P52" s="57"/>
      <c r="Q52" s="57"/>
      <c r="R52" s="57"/>
      <c r="S52" s="57"/>
      <c r="T52" s="57"/>
      <c r="U52" s="57"/>
      <c r="V52" s="57"/>
      <c r="X52" s="58" t="n">
        <f aca="false">Cal!$H$3</f>
        <v>46300</v>
      </c>
      <c r="Y52" s="58"/>
      <c r="Z52" s="58"/>
      <c r="AA52" s="58"/>
      <c r="AB52" s="58"/>
      <c r="AC52" s="58"/>
      <c r="AD52" s="58"/>
      <c r="AE52" s="58"/>
      <c r="AG52" s="58" t="n">
        <f aca="false">Cal!$I$3</f>
        <v>46305</v>
      </c>
      <c r="AH52" s="58"/>
      <c r="AI52" s="58"/>
      <c r="AJ52" s="58"/>
      <c r="AK52" s="58"/>
      <c r="AL52" s="58"/>
      <c r="AM52" s="58"/>
    </row>
    <row r="53" customFormat="false" ht="9.75" hidden="false" customHeight="true" outlineLevel="0" collapsed="false"/>
    <row r="54" customFormat="false" ht="21.75" hidden="false" customHeight="true" outlineLevel="0" collapsed="false">
      <c r="B54" s="6"/>
      <c r="C54" s="19" t="s">
        <v>214</v>
      </c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</row>
    <row r="55" customFormat="false" ht="19.5" hidden="false" customHeight="true" outlineLevel="0" collapsed="false">
      <c r="B55" s="60"/>
      <c r="C55" s="61" t="n">
        <v>1</v>
      </c>
      <c r="D55" s="62" t="s">
        <v>215</v>
      </c>
      <c r="E55" s="62"/>
      <c r="F55" s="62"/>
      <c r="G55" s="62"/>
      <c r="H55" s="62"/>
      <c r="I55" s="62"/>
      <c r="J55" s="62"/>
      <c r="K55" s="62"/>
      <c r="L55" s="62"/>
      <c r="M55" s="62"/>
      <c r="O55" s="60"/>
      <c r="P55" s="61" t="n">
        <v>2</v>
      </c>
      <c r="Q55" s="62" t="s">
        <v>216</v>
      </c>
      <c r="R55" s="62"/>
      <c r="S55" s="62"/>
      <c r="T55" s="62"/>
      <c r="U55" s="62"/>
      <c r="V55" s="62"/>
      <c r="W55" s="62"/>
      <c r="X55" s="62"/>
      <c r="Y55" s="62"/>
      <c r="Z55" s="62"/>
      <c r="AB55" s="60"/>
      <c r="AC55" s="61" t="n">
        <v>3</v>
      </c>
      <c r="AD55" s="62" t="s">
        <v>14</v>
      </c>
      <c r="AE55" s="62"/>
      <c r="AF55" s="62"/>
      <c r="AG55" s="62"/>
      <c r="AH55" s="62"/>
      <c r="AI55" s="62"/>
      <c r="AJ55" s="62"/>
      <c r="AK55" s="62"/>
      <c r="AL55" s="62"/>
      <c r="AM55" s="62"/>
    </row>
    <row r="56" customFormat="false" ht="25.5" hidden="false" customHeight="true" outlineLevel="0" collapsed="false">
      <c r="B56" s="63"/>
      <c r="C56" s="97" t="str">
        <f aca="false">IF(OR(Dashboard!$C$9="",Dashboard!$C$10=0),"",Dashboard!$C$9/Dashboard!$C$10*Cal!$J$3)</f>
        <v/>
      </c>
      <c r="D56" s="97"/>
      <c r="E56" s="97"/>
      <c r="F56" s="97"/>
      <c r="G56" s="97"/>
      <c r="H56" s="97"/>
      <c r="I56" s="97"/>
      <c r="J56" s="97"/>
      <c r="K56" s="97"/>
      <c r="L56" s="97"/>
      <c r="M56" s="65"/>
      <c r="O56" s="63"/>
      <c r="P56" s="97" t="n">
        <f aca="false">SUMIFS(Dashboard!$L$74:$L$104,Dashboard!$B$74:$B$104,"&gt;="&amp;Cal!$H$3,Dashboard!$B$74:$B$104,"&lt;="&amp;Cal!$I$3)</f>
        <v>0</v>
      </c>
      <c r="Q56" s="97"/>
      <c r="R56" s="97"/>
      <c r="S56" s="97"/>
      <c r="T56" s="97"/>
      <c r="U56" s="97"/>
      <c r="V56" s="97"/>
      <c r="W56" s="97"/>
      <c r="X56" s="97"/>
      <c r="Y56" s="97"/>
      <c r="Z56" s="65"/>
      <c r="AB56" s="63"/>
      <c r="AC56" s="98" t="str">
        <f aca="false">IF(OR(C56="",P56=""),"",P56/C56)</f>
        <v/>
      </c>
      <c r="AD56" s="98"/>
      <c r="AE56" s="98"/>
      <c r="AF56" s="98"/>
      <c r="AG56" s="98"/>
      <c r="AH56" s="98"/>
      <c r="AI56" s="98"/>
      <c r="AJ56" s="98"/>
      <c r="AK56" s="98"/>
      <c r="AL56" s="98"/>
      <c r="AM56" s="65"/>
    </row>
    <row r="57" customFormat="false" ht="6" hidden="false" customHeight="true" outlineLevel="0" collapsed="false">
      <c r="B57" s="67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9"/>
      <c r="O57" s="67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9"/>
      <c r="AB57" s="67"/>
      <c r="AC57" s="68"/>
      <c r="AD57" s="68"/>
      <c r="AE57" s="68"/>
      <c r="AF57" s="68"/>
      <c r="AG57" s="68"/>
      <c r="AH57" s="68"/>
      <c r="AI57" s="68"/>
      <c r="AJ57" s="68"/>
      <c r="AK57" s="68"/>
      <c r="AL57" s="68"/>
      <c r="AM57" s="69"/>
    </row>
    <row r="58" customFormat="false" ht="9.75" hidden="false" customHeight="true" outlineLevel="0" collapsed="false"/>
    <row r="59" customFormat="false" ht="21.75" hidden="false" customHeight="true" outlineLevel="0" collapsed="false">
      <c r="B59" s="6"/>
      <c r="C59" s="19" t="s">
        <v>217</v>
      </c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</row>
    <row r="60" customFormat="false" ht="27.75" hidden="false" customHeight="true" outlineLevel="0" collapsed="false">
      <c r="B60" s="79" t="s">
        <v>124</v>
      </c>
      <c r="C60" s="79"/>
      <c r="D60" s="80" t="s">
        <v>126</v>
      </c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80" t="s">
        <v>218</v>
      </c>
      <c r="S60" s="80"/>
      <c r="T60" s="80"/>
      <c r="U60" s="80"/>
      <c r="V60" s="80"/>
      <c r="W60" s="80"/>
      <c r="X60" s="80"/>
      <c r="Y60" s="80"/>
      <c r="Z60" s="80" t="s">
        <v>219</v>
      </c>
      <c r="AA60" s="80"/>
      <c r="AB60" s="80"/>
      <c r="AC60" s="80"/>
      <c r="AD60" s="80"/>
      <c r="AE60" s="80"/>
      <c r="AF60" s="80"/>
      <c r="AG60" s="80"/>
      <c r="AH60" s="80" t="s">
        <v>220</v>
      </c>
      <c r="AI60" s="80"/>
      <c r="AJ60" s="80"/>
      <c r="AK60" s="80"/>
      <c r="AL60" s="80"/>
      <c r="AM60" s="80"/>
    </row>
    <row r="61" customFormat="false" ht="21.75" hidden="false" customHeight="true" outlineLevel="0" collapsed="false">
      <c r="B61" s="81" t="n">
        <v>1</v>
      </c>
      <c r="C61" s="81"/>
      <c r="D61" s="99" t="str">
        <f aca="false">Dashboard!$B$28</f>
        <v>Alshima</v>
      </c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100" t="str">
        <f aca="false">IF(OR(Dashboard!$C$28="",Dashboard!$C$10=0),"",Dashboard!$C$28/Dashboard!$C$10*Cal!$J$3)</f>
        <v/>
      </c>
      <c r="S61" s="100"/>
      <c r="T61" s="100"/>
      <c r="U61" s="100"/>
      <c r="V61" s="100"/>
      <c r="W61" s="100"/>
      <c r="X61" s="100"/>
      <c r="Y61" s="100"/>
      <c r="Z61" s="100" t="n">
        <f aca="false">SUMPRODUCT((Dashboard!$D$73:$K$73=$D61)*(Dashboard!$B$74:$B$104&gt;=Cal!$H$3)*(Dashboard!$B$74:$B$104&lt;=Cal!$I$3)*Dashboard!$D$74:$K$104)</f>
        <v>0</v>
      </c>
      <c r="AA61" s="100"/>
      <c r="AB61" s="100"/>
      <c r="AC61" s="100"/>
      <c r="AD61" s="100"/>
      <c r="AE61" s="100"/>
      <c r="AF61" s="100"/>
      <c r="AG61" s="100"/>
      <c r="AH61" s="101" t="str">
        <f aca="false">IF(OR(R61="",Z61=""),"",Z61/R61)</f>
        <v/>
      </c>
      <c r="AI61" s="101"/>
      <c r="AJ61" s="101"/>
      <c r="AK61" s="101"/>
      <c r="AL61" s="101"/>
      <c r="AM61" s="101"/>
    </row>
    <row r="62" customFormat="false" ht="21.75" hidden="false" customHeight="true" outlineLevel="0" collapsed="false">
      <c r="B62" s="81" t="n">
        <v>2</v>
      </c>
      <c r="C62" s="81"/>
      <c r="D62" s="99" t="str">
        <f aca="false">Dashboard!$B$29</f>
        <v>Chaima</v>
      </c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100" t="str">
        <f aca="false">IF(OR(Dashboard!$C$29="",Dashboard!$C$10=0),"",Dashboard!$C$29/Dashboard!$C$10*Cal!$J$3)</f>
        <v/>
      </c>
      <c r="S62" s="100"/>
      <c r="T62" s="100"/>
      <c r="U62" s="100"/>
      <c r="V62" s="100"/>
      <c r="W62" s="100"/>
      <c r="X62" s="100"/>
      <c r="Y62" s="100"/>
      <c r="Z62" s="100" t="n">
        <f aca="false">SUMPRODUCT((Dashboard!$D$73:$K$73=$D62)*(Dashboard!$B$74:$B$104&gt;=Cal!$H$3)*(Dashboard!$B$74:$B$104&lt;=Cal!$I$3)*Dashboard!$D$74:$K$104)</f>
        <v>0</v>
      </c>
      <c r="AA62" s="100"/>
      <c r="AB62" s="100"/>
      <c r="AC62" s="100"/>
      <c r="AD62" s="100"/>
      <c r="AE62" s="100"/>
      <c r="AF62" s="100"/>
      <c r="AG62" s="100"/>
      <c r="AH62" s="101" t="str">
        <f aca="false">IF(OR(R62="",Z62=""),"",Z62/R62)</f>
        <v/>
      </c>
      <c r="AI62" s="101"/>
      <c r="AJ62" s="101"/>
      <c r="AK62" s="101"/>
      <c r="AL62" s="101"/>
      <c r="AM62" s="101"/>
    </row>
    <row r="63" customFormat="false" ht="21.75" hidden="false" customHeight="true" outlineLevel="0" collapsed="false">
      <c r="B63" s="81" t="n">
        <v>3</v>
      </c>
      <c r="C63" s="81"/>
      <c r="D63" s="99" t="str">
        <f aca="false">Dashboard!$B$30</f>
        <v>Harinder</v>
      </c>
      <c r="E63" s="99"/>
      <c r="F63" s="99"/>
      <c r="G63" s="99"/>
      <c r="H63" s="99"/>
      <c r="I63" s="99"/>
      <c r="J63" s="99"/>
      <c r="K63" s="99"/>
      <c r="L63" s="99"/>
      <c r="M63" s="99"/>
      <c r="N63" s="99"/>
      <c r="O63" s="99"/>
      <c r="P63" s="99"/>
      <c r="Q63" s="99"/>
      <c r="R63" s="100" t="str">
        <f aca="false">IF(OR(Dashboard!$C$30="",Dashboard!$C$10=0),"",Dashboard!$C$30/Dashboard!$C$10*Cal!$J$3)</f>
        <v/>
      </c>
      <c r="S63" s="100"/>
      <c r="T63" s="100"/>
      <c r="U63" s="100"/>
      <c r="V63" s="100"/>
      <c r="W63" s="100"/>
      <c r="X63" s="100"/>
      <c r="Y63" s="100"/>
      <c r="Z63" s="100" t="n">
        <f aca="false">SUMPRODUCT((Dashboard!$D$73:$K$73=$D63)*(Dashboard!$B$74:$B$104&gt;=Cal!$H$3)*(Dashboard!$B$74:$B$104&lt;=Cal!$I$3)*Dashboard!$D$74:$K$104)</f>
        <v>0</v>
      </c>
      <c r="AA63" s="100"/>
      <c r="AB63" s="100"/>
      <c r="AC63" s="100"/>
      <c r="AD63" s="100"/>
      <c r="AE63" s="100"/>
      <c r="AF63" s="100"/>
      <c r="AG63" s="100"/>
      <c r="AH63" s="101" t="str">
        <f aca="false">IF(OR(R63="",Z63=""),"",Z63/R63)</f>
        <v/>
      </c>
      <c r="AI63" s="101"/>
      <c r="AJ63" s="101"/>
      <c r="AK63" s="101"/>
      <c r="AL63" s="101"/>
      <c r="AM63" s="101"/>
    </row>
    <row r="64" customFormat="false" ht="21.75" hidden="false" customHeight="true" outlineLevel="0" collapsed="false">
      <c r="B64" s="81" t="n">
        <v>4</v>
      </c>
      <c r="C64" s="81"/>
      <c r="D64" s="99" t="str">
        <f aca="false">Dashboard!$B$31</f>
        <v>Ibrahim</v>
      </c>
      <c r="E64" s="99"/>
      <c r="F64" s="99"/>
      <c r="G64" s="99"/>
      <c r="H64" s="99"/>
      <c r="I64" s="99"/>
      <c r="J64" s="99"/>
      <c r="K64" s="99"/>
      <c r="L64" s="99"/>
      <c r="M64" s="99"/>
      <c r="N64" s="99"/>
      <c r="O64" s="99"/>
      <c r="P64" s="99"/>
      <c r="Q64" s="99"/>
      <c r="R64" s="100" t="str">
        <f aca="false">IF(OR(Dashboard!$C$31="",Dashboard!$C$10=0),"",Dashboard!$C$31/Dashboard!$C$10*Cal!$J$3)</f>
        <v/>
      </c>
      <c r="S64" s="100"/>
      <c r="T64" s="100"/>
      <c r="U64" s="100"/>
      <c r="V64" s="100"/>
      <c r="W64" s="100"/>
      <c r="X64" s="100"/>
      <c r="Y64" s="100"/>
      <c r="Z64" s="100" t="n">
        <f aca="false">SUMPRODUCT((Dashboard!$D$73:$K$73=$D64)*(Dashboard!$B$74:$B$104&gt;=Cal!$H$3)*(Dashboard!$B$74:$B$104&lt;=Cal!$I$3)*Dashboard!$D$74:$K$104)</f>
        <v>0</v>
      </c>
      <c r="AA64" s="100"/>
      <c r="AB64" s="100"/>
      <c r="AC64" s="100"/>
      <c r="AD64" s="100"/>
      <c r="AE64" s="100"/>
      <c r="AF64" s="100"/>
      <c r="AG64" s="100"/>
      <c r="AH64" s="101" t="str">
        <f aca="false">IF(OR(R64="",Z64=""),"",Z64/R64)</f>
        <v/>
      </c>
      <c r="AI64" s="101"/>
      <c r="AJ64" s="101"/>
      <c r="AK64" s="101"/>
      <c r="AL64" s="101"/>
      <c r="AM64" s="101"/>
    </row>
    <row r="65" customFormat="false" ht="21.75" hidden="false" customHeight="true" outlineLevel="0" collapsed="false">
      <c r="B65" s="81" t="n">
        <v>5</v>
      </c>
      <c r="C65" s="81"/>
      <c r="D65" s="99" t="str">
        <f aca="false">Dashboard!$B$32</f>
        <v>Khozema</v>
      </c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99"/>
      <c r="R65" s="100" t="str">
        <f aca="false">IF(OR(Dashboard!$C$32="",Dashboard!$C$10=0),"",Dashboard!$C$32/Dashboard!$C$10*Cal!$J$3)</f>
        <v/>
      </c>
      <c r="S65" s="100"/>
      <c r="T65" s="100"/>
      <c r="U65" s="100"/>
      <c r="V65" s="100"/>
      <c r="W65" s="100"/>
      <c r="X65" s="100"/>
      <c r="Y65" s="100"/>
      <c r="Z65" s="100" t="n">
        <f aca="false">SUMPRODUCT((Dashboard!$D$73:$K$73=$D65)*(Dashboard!$B$74:$B$104&gt;=Cal!$H$3)*(Dashboard!$B$74:$B$104&lt;=Cal!$I$3)*Dashboard!$D$74:$K$104)</f>
        <v>0</v>
      </c>
      <c r="AA65" s="100"/>
      <c r="AB65" s="100"/>
      <c r="AC65" s="100"/>
      <c r="AD65" s="100"/>
      <c r="AE65" s="100"/>
      <c r="AF65" s="100"/>
      <c r="AG65" s="100"/>
      <c r="AH65" s="101" t="str">
        <f aca="false">IF(OR(R65="",Z65=""),"",Z65/R65)</f>
        <v/>
      </c>
      <c r="AI65" s="101"/>
      <c r="AJ65" s="101"/>
      <c r="AK65" s="101"/>
      <c r="AL65" s="101"/>
      <c r="AM65" s="101"/>
    </row>
    <row r="66" customFormat="false" ht="21.75" hidden="false" customHeight="true" outlineLevel="0" collapsed="false">
      <c r="B66" s="81" t="n">
        <v>6</v>
      </c>
      <c r="C66" s="81"/>
      <c r="D66" s="99" t="str">
        <f aca="false">Dashboard!$B$33</f>
        <v>Layan</v>
      </c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99"/>
      <c r="Q66" s="99"/>
      <c r="R66" s="100" t="str">
        <f aca="false">IF(OR(Dashboard!$C$33="",Dashboard!$C$10=0),"",Dashboard!$C$33/Dashboard!$C$10*Cal!$J$3)</f>
        <v/>
      </c>
      <c r="S66" s="100"/>
      <c r="T66" s="100"/>
      <c r="U66" s="100"/>
      <c r="V66" s="100"/>
      <c r="W66" s="100"/>
      <c r="X66" s="100"/>
      <c r="Y66" s="100"/>
      <c r="Z66" s="100" t="n">
        <f aca="false">SUMPRODUCT((Dashboard!$D$73:$K$73=$D66)*(Dashboard!$B$74:$B$104&gt;=Cal!$H$3)*(Dashboard!$B$74:$B$104&lt;=Cal!$I$3)*Dashboard!$D$74:$K$104)</f>
        <v>0</v>
      </c>
      <c r="AA66" s="100"/>
      <c r="AB66" s="100"/>
      <c r="AC66" s="100"/>
      <c r="AD66" s="100"/>
      <c r="AE66" s="100"/>
      <c r="AF66" s="100"/>
      <c r="AG66" s="100"/>
      <c r="AH66" s="101" t="str">
        <f aca="false">IF(OR(R66="",Z66=""),"",Z66/R66)</f>
        <v/>
      </c>
      <c r="AI66" s="101"/>
      <c r="AJ66" s="101"/>
      <c r="AK66" s="101"/>
      <c r="AL66" s="101"/>
      <c r="AM66" s="101"/>
    </row>
    <row r="67" customFormat="false" ht="21.75" hidden="false" customHeight="true" outlineLevel="0" collapsed="false">
      <c r="B67" s="81" t="n">
        <v>7</v>
      </c>
      <c r="C67" s="81"/>
      <c r="D67" s="99" t="str">
        <f aca="false">Dashboard!$B$34</f>
        <v>Rihab</v>
      </c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99"/>
      <c r="P67" s="99"/>
      <c r="Q67" s="99"/>
      <c r="R67" s="100" t="str">
        <f aca="false">IF(OR(Dashboard!$C$34="",Dashboard!$C$10=0),"",Dashboard!$C$34/Dashboard!$C$10*Cal!$J$3)</f>
        <v/>
      </c>
      <c r="S67" s="100"/>
      <c r="T67" s="100"/>
      <c r="U67" s="100"/>
      <c r="V67" s="100"/>
      <c r="W67" s="100"/>
      <c r="X67" s="100"/>
      <c r="Y67" s="100"/>
      <c r="Z67" s="100" t="n">
        <f aca="false">SUMPRODUCT((Dashboard!$D$73:$K$73=$D67)*(Dashboard!$B$74:$B$104&gt;=Cal!$H$3)*(Dashboard!$B$74:$B$104&lt;=Cal!$I$3)*Dashboard!$D$74:$K$104)</f>
        <v>0</v>
      </c>
      <c r="AA67" s="100"/>
      <c r="AB67" s="100"/>
      <c r="AC67" s="100"/>
      <c r="AD67" s="100"/>
      <c r="AE67" s="100"/>
      <c r="AF67" s="100"/>
      <c r="AG67" s="100"/>
      <c r="AH67" s="101" t="str">
        <f aca="false">IF(OR(R67="",Z67=""),"",Z67/R67)</f>
        <v/>
      </c>
      <c r="AI67" s="101"/>
      <c r="AJ67" s="101"/>
      <c r="AK67" s="101"/>
      <c r="AL67" s="101"/>
      <c r="AM67" s="101"/>
    </row>
    <row r="68" customFormat="false" ht="21.75" hidden="false" customHeight="true" outlineLevel="0" collapsed="false">
      <c r="B68" s="81" t="n">
        <v>8</v>
      </c>
      <c r="C68" s="81"/>
      <c r="D68" s="99" t="str">
        <f aca="false">Dashboard!$B$35</f>
        <v>Saha</v>
      </c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99"/>
      <c r="Q68" s="99"/>
      <c r="R68" s="100" t="str">
        <f aca="false">IF(OR(Dashboard!$C$35="",Dashboard!$C$10=0),"",Dashboard!$C$35/Dashboard!$C$10*Cal!$J$3)</f>
        <v/>
      </c>
      <c r="S68" s="100"/>
      <c r="T68" s="100"/>
      <c r="U68" s="100"/>
      <c r="V68" s="100"/>
      <c r="W68" s="100"/>
      <c r="X68" s="100"/>
      <c r="Y68" s="100"/>
      <c r="Z68" s="100" t="n">
        <f aca="false">SUMPRODUCT((Dashboard!$D$73:$K$73=$D68)*(Dashboard!$B$74:$B$104&gt;=Cal!$H$3)*(Dashboard!$B$74:$B$104&lt;=Cal!$I$3)*Dashboard!$D$74:$K$104)</f>
        <v>0</v>
      </c>
      <c r="AA68" s="100"/>
      <c r="AB68" s="100"/>
      <c r="AC68" s="100"/>
      <c r="AD68" s="100"/>
      <c r="AE68" s="100"/>
      <c r="AF68" s="100"/>
      <c r="AG68" s="100"/>
      <c r="AH68" s="101" t="str">
        <f aca="false">IF(OR(R68="",Z68=""),"",Z68/R68)</f>
        <v/>
      </c>
      <c r="AI68" s="101"/>
      <c r="AJ68" s="101"/>
      <c r="AK68" s="101"/>
      <c r="AL68" s="101"/>
      <c r="AM68" s="101"/>
    </row>
    <row r="69" customFormat="false" ht="21.75" hidden="false" customHeight="true" outlineLevel="0" collapsed="false">
      <c r="B69" s="81" t="n">
        <v>9</v>
      </c>
      <c r="C69" s="81"/>
      <c r="D69" s="102"/>
      <c r="E69" s="102"/>
      <c r="F69" s="102"/>
      <c r="G69" s="102"/>
      <c r="H69" s="102"/>
      <c r="I69" s="102"/>
      <c r="J69" s="102"/>
      <c r="K69" s="102"/>
      <c r="L69" s="102"/>
      <c r="M69" s="102"/>
      <c r="N69" s="102"/>
      <c r="O69" s="102"/>
      <c r="P69" s="102"/>
      <c r="Q69" s="102"/>
      <c r="R69" s="102"/>
      <c r="S69" s="102"/>
      <c r="T69" s="102"/>
      <c r="U69" s="102"/>
      <c r="V69" s="102"/>
      <c r="W69" s="102"/>
      <c r="X69" s="102"/>
      <c r="Y69" s="102"/>
      <c r="Z69" s="102"/>
      <c r="AA69" s="102"/>
      <c r="AB69" s="102"/>
      <c r="AC69" s="102"/>
      <c r="AD69" s="102"/>
      <c r="AE69" s="102"/>
      <c r="AF69" s="102"/>
      <c r="AG69" s="102"/>
      <c r="AH69" s="102"/>
      <c r="AI69" s="102"/>
      <c r="AJ69" s="102"/>
      <c r="AK69" s="102"/>
      <c r="AL69" s="102"/>
      <c r="AM69" s="102"/>
    </row>
    <row r="70" customFormat="false" ht="9.75" hidden="false" customHeight="true" outlineLevel="0" collapsed="false"/>
    <row r="71" customFormat="false" ht="21.75" hidden="false" customHeight="true" outlineLevel="0" collapsed="false">
      <c r="B71" s="6"/>
      <c r="C71" s="19" t="s">
        <v>221</v>
      </c>
      <c r="D71" s="19"/>
      <c r="E71" s="19"/>
      <c r="F71" s="19"/>
      <c r="G71" s="19"/>
      <c r="H71" s="19"/>
      <c r="I71" s="19"/>
      <c r="J71" s="59" t="s">
        <v>222</v>
      </c>
      <c r="K71" s="59"/>
      <c r="L71" s="59"/>
      <c r="M71" s="59"/>
      <c r="N71" s="59"/>
      <c r="O71" s="59"/>
      <c r="P71" s="59"/>
      <c r="Q71" s="59"/>
      <c r="S71" s="6"/>
      <c r="T71" s="19" t="s">
        <v>223</v>
      </c>
      <c r="U71" s="19"/>
      <c r="V71" s="19"/>
      <c r="W71" s="19"/>
      <c r="X71" s="19"/>
      <c r="Y71" s="19"/>
      <c r="Z71" s="59" t="s">
        <v>224</v>
      </c>
      <c r="AA71" s="59"/>
      <c r="AB71" s="59"/>
      <c r="AC71" s="59"/>
      <c r="AD71" s="59"/>
      <c r="AE71" s="59"/>
      <c r="AF71" s="59"/>
      <c r="AG71" s="59"/>
      <c r="AH71" s="59"/>
      <c r="AI71" s="59"/>
      <c r="AJ71" s="59"/>
      <c r="AK71" s="59"/>
      <c r="AL71" s="59"/>
      <c r="AM71" s="59"/>
    </row>
    <row r="72" customFormat="false" ht="36" hidden="false" customHeight="true" outlineLevel="0" collapsed="false">
      <c r="B72" s="60"/>
      <c r="C72" s="61" t="n">
        <v>4</v>
      </c>
      <c r="D72" s="62" t="s">
        <v>225</v>
      </c>
      <c r="E72" s="62"/>
      <c r="F72" s="62"/>
      <c r="G72" s="62"/>
      <c r="H72" s="62"/>
      <c r="I72" s="62"/>
      <c r="K72" s="60"/>
      <c r="L72" s="61" t="n">
        <v>5</v>
      </c>
      <c r="M72" s="62" t="s">
        <v>226</v>
      </c>
      <c r="N72" s="62"/>
      <c r="O72" s="62"/>
      <c r="P72" s="62"/>
      <c r="Q72" s="62"/>
      <c r="S72" s="60"/>
      <c r="T72" s="61" t="n">
        <v>6</v>
      </c>
      <c r="U72" s="62" t="s">
        <v>227</v>
      </c>
      <c r="V72" s="62"/>
      <c r="W72" s="62"/>
      <c r="X72" s="62"/>
      <c r="Y72" s="62"/>
      <c r="AA72" s="60"/>
      <c r="AB72" s="61" t="n">
        <v>7</v>
      </c>
      <c r="AC72" s="62" t="s">
        <v>228</v>
      </c>
      <c r="AD72" s="62"/>
      <c r="AE72" s="62"/>
      <c r="AF72" s="62"/>
      <c r="AH72" s="60"/>
      <c r="AI72" s="61" t="n">
        <v>8</v>
      </c>
      <c r="AJ72" s="62" t="s">
        <v>229</v>
      </c>
      <c r="AK72" s="62"/>
      <c r="AL72" s="62"/>
      <c r="AM72" s="62"/>
    </row>
    <row r="73" customFormat="false" ht="25.5" hidden="false" customHeight="true" outlineLevel="0" collapsed="false">
      <c r="B73" s="63"/>
      <c r="C73" s="103" t="n">
        <f aca="false">COUNTA('Form 2 Case Log'!D300:D305)</f>
        <v>0</v>
      </c>
      <c r="D73" s="103"/>
      <c r="E73" s="103"/>
      <c r="F73" s="103"/>
      <c r="G73" s="103"/>
      <c r="H73" s="103"/>
      <c r="I73" s="65"/>
      <c r="K73" s="63"/>
      <c r="L73" s="103" t="n">
        <f aca="false">COUNTIFS('Form 2 Case Log'!AV300:AV305,"&gt;"&amp;Cal!$I$3,'Form 2 Case Log'!AV300:AV305,"&lt;="&amp;(Cal!$I$3+7))</f>
        <v>0</v>
      </c>
      <c r="M73" s="103"/>
      <c r="N73" s="103"/>
      <c r="O73" s="103"/>
      <c r="P73" s="103"/>
      <c r="Q73" s="65"/>
      <c r="S73" s="63"/>
      <c r="T73" s="64"/>
      <c r="U73" s="64"/>
      <c r="V73" s="64"/>
      <c r="W73" s="64"/>
      <c r="X73" s="64"/>
      <c r="Y73" s="65"/>
      <c r="AA73" s="63"/>
      <c r="AB73" s="64"/>
      <c r="AC73" s="64"/>
      <c r="AD73" s="64"/>
      <c r="AE73" s="64"/>
      <c r="AF73" s="65"/>
      <c r="AH73" s="63"/>
      <c r="AI73" s="64"/>
      <c r="AJ73" s="64"/>
      <c r="AK73" s="64"/>
      <c r="AL73" s="64"/>
      <c r="AM73" s="65"/>
    </row>
    <row r="74" customFormat="false" ht="6" hidden="false" customHeight="true" outlineLevel="0" collapsed="false">
      <c r="B74" s="67"/>
      <c r="C74" s="68"/>
      <c r="D74" s="68"/>
      <c r="E74" s="68"/>
      <c r="F74" s="68"/>
      <c r="G74" s="68"/>
      <c r="H74" s="68"/>
      <c r="I74" s="69"/>
      <c r="K74" s="67"/>
      <c r="L74" s="68"/>
      <c r="M74" s="68"/>
      <c r="N74" s="68"/>
      <c r="O74" s="68"/>
      <c r="P74" s="68"/>
      <c r="Q74" s="69"/>
      <c r="S74" s="67"/>
      <c r="T74" s="68"/>
      <c r="U74" s="68"/>
      <c r="V74" s="68"/>
      <c r="W74" s="68"/>
      <c r="X74" s="68"/>
      <c r="Y74" s="69"/>
      <c r="AA74" s="67"/>
      <c r="AB74" s="68"/>
      <c r="AC74" s="68"/>
      <c r="AD74" s="68"/>
      <c r="AE74" s="68"/>
      <c r="AF74" s="69"/>
      <c r="AH74" s="67"/>
      <c r="AI74" s="68"/>
      <c r="AJ74" s="68"/>
      <c r="AK74" s="68"/>
      <c r="AL74" s="68"/>
      <c r="AM74" s="69"/>
    </row>
    <row r="75" customFormat="false" ht="9.75" hidden="false" customHeight="true" outlineLevel="0" collapsed="false"/>
    <row r="76" customFormat="false" ht="21.75" hidden="false" customHeight="true" outlineLevel="0" collapsed="false">
      <c r="B76" s="6"/>
      <c r="C76" s="19" t="s">
        <v>230</v>
      </c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</row>
    <row r="77" customFormat="false" ht="24" hidden="false" customHeight="true" outlineLevel="0" collapsed="false">
      <c r="B77" s="104" t="n">
        <v>1</v>
      </c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  <c r="AA77" s="72"/>
      <c r="AB77" s="72"/>
      <c r="AC77" s="72"/>
      <c r="AD77" s="72"/>
      <c r="AE77" s="72"/>
      <c r="AF77" s="72"/>
      <c r="AG77" s="72"/>
      <c r="AH77" s="72"/>
      <c r="AI77" s="72"/>
      <c r="AJ77" s="72"/>
      <c r="AK77" s="72"/>
      <c r="AL77" s="72"/>
      <c r="AM77" s="72"/>
    </row>
    <row r="78" customFormat="false" ht="24" hidden="false" customHeight="true" outlineLevel="0" collapsed="false">
      <c r="B78" s="104" t="n">
        <v>2</v>
      </c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72"/>
      <c r="AK78" s="72"/>
      <c r="AL78" s="72"/>
      <c r="AM78" s="72"/>
    </row>
    <row r="79" customFormat="false" ht="24" hidden="false" customHeight="true" outlineLevel="0" collapsed="false">
      <c r="B79" s="104" t="n">
        <v>3</v>
      </c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  <c r="AA79" s="72"/>
      <c r="AB79" s="72"/>
      <c r="AC79" s="72"/>
      <c r="AD79" s="72"/>
      <c r="AE79" s="72"/>
      <c r="AF79" s="72"/>
      <c r="AG79" s="72"/>
      <c r="AH79" s="72"/>
      <c r="AI79" s="72"/>
      <c r="AJ79" s="72"/>
      <c r="AK79" s="72"/>
      <c r="AL79" s="72"/>
      <c r="AM79" s="72"/>
    </row>
    <row r="80" customFormat="false" ht="9.75" hidden="false" customHeight="true" outlineLevel="0" collapsed="false"/>
    <row r="81" customFormat="false" ht="25.5" hidden="false" customHeight="true" outlineLevel="0" collapsed="false">
      <c r="B81" s="6"/>
      <c r="C81" s="105" t="s">
        <v>231</v>
      </c>
      <c r="D81" s="105"/>
      <c r="E81" s="105"/>
      <c r="F81" s="105"/>
      <c r="G81" s="105"/>
      <c r="H81" s="105"/>
      <c r="I81" s="105"/>
      <c r="J81" s="105"/>
      <c r="K81" s="105"/>
      <c r="L81" s="105"/>
      <c r="M81" s="105"/>
      <c r="N81" s="105"/>
      <c r="O81" s="105"/>
      <c r="P81" s="105"/>
      <c r="Q81" s="105"/>
      <c r="R81" s="105"/>
      <c r="S81" s="105"/>
      <c r="T81" s="105"/>
      <c r="U81" s="105"/>
      <c r="V81" s="105"/>
      <c r="W81" s="105"/>
      <c r="X81" s="105"/>
      <c r="Y81" s="105"/>
      <c r="Z81" s="105"/>
      <c r="AA81" s="105"/>
      <c r="AB81" s="105"/>
      <c r="AC81" s="105"/>
      <c r="AD81" s="105"/>
      <c r="AE81" s="105"/>
      <c r="AF81" s="105"/>
      <c r="AG81" s="105"/>
      <c r="AH81" s="105"/>
      <c r="AI81" s="105"/>
      <c r="AJ81" s="105"/>
      <c r="AK81" s="105"/>
      <c r="AL81" s="105"/>
      <c r="AM81" s="105"/>
    </row>
    <row r="82" customFormat="false" ht="109.5" hidden="false" customHeight="true" outlineLevel="0" collapsed="false"/>
    <row r="83" customFormat="false" ht="6" hidden="false" customHeight="true" outlineLevel="0" collapsed="false"/>
    <row r="84" customFormat="false" ht="19.5" hidden="false" customHeight="true" outlineLevel="0" collapsed="false">
      <c r="B84" s="73" t="s">
        <v>107</v>
      </c>
      <c r="C84" s="73"/>
      <c r="D84" s="73"/>
      <c r="E84" s="73"/>
      <c r="F84" s="73"/>
      <c r="G84" s="73"/>
      <c r="H84" s="73"/>
      <c r="I84" s="73"/>
      <c r="J84" s="73"/>
      <c r="K84" s="73"/>
      <c r="L84" s="74" t="s">
        <v>108</v>
      </c>
      <c r="M84" s="74"/>
      <c r="N84" s="74"/>
      <c r="O84" s="74"/>
      <c r="P84" s="74"/>
      <c r="Q84" s="74"/>
      <c r="R84" s="74"/>
      <c r="S84" s="74"/>
      <c r="U84" s="73" t="s">
        <v>207</v>
      </c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4" t="s">
        <v>108</v>
      </c>
      <c r="AG84" s="74"/>
      <c r="AH84" s="74"/>
      <c r="AI84" s="74"/>
      <c r="AJ84" s="74"/>
      <c r="AK84" s="74"/>
      <c r="AL84" s="74"/>
      <c r="AM84" s="74"/>
    </row>
    <row r="85" customFormat="false" ht="9.75" hidden="false" customHeight="true" outlineLevel="0" collapsed="false"/>
    <row r="86" customFormat="false" ht="18" hidden="false" customHeight="true" outlineLevel="0" collapsed="false">
      <c r="B86" s="75" t="s">
        <v>232</v>
      </c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6" t="s">
        <v>111</v>
      </c>
      <c r="U86" s="76"/>
      <c r="V86" s="76"/>
      <c r="W86" s="76"/>
      <c r="X86" s="76"/>
      <c r="Y86" s="76"/>
      <c r="Z86" s="76"/>
      <c r="AA86" s="76"/>
      <c r="AB86" s="76"/>
      <c r="AC86" s="76"/>
      <c r="AD86" s="76"/>
      <c r="AE86" s="76"/>
      <c r="AF86" s="76"/>
      <c r="AG86" s="76"/>
      <c r="AH86" s="76"/>
      <c r="AI86" s="76"/>
      <c r="AJ86" s="76"/>
      <c r="AK86" s="76"/>
      <c r="AL86" s="76"/>
      <c r="AM86" s="76"/>
    </row>
    <row r="87" customFormat="false" ht="7.5" hidden="false" customHeight="true" outlineLevel="0" collapsed="false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customFormat="false" ht="19.5" hidden="false" customHeight="true" outlineLevel="0" collapsed="false">
      <c r="B88" s="1"/>
      <c r="C88" s="51" t="s">
        <v>209</v>
      </c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1"/>
      <c r="AC88" s="1"/>
      <c r="AD88" s="1"/>
      <c r="AE88" s="52" t="s">
        <v>210</v>
      </c>
      <c r="AF88" s="52"/>
      <c r="AG88" s="52"/>
      <c r="AH88" s="52"/>
      <c r="AI88" s="52"/>
      <c r="AJ88" s="52"/>
      <c r="AK88" s="52"/>
      <c r="AL88" s="1"/>
      <c r="AM88" s="1"/>
    </row>
    <row r="89" customFormat="false" ht="30" hidden="false" customHeight="true" outlineLevel="0" collapsed="false">
      <c r="B89" s="1"/>
      <c r="C89" s="53" t="s">
        <v>211</v>
      </c>
      <c r="D89" s="53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  <c r="AB89" s="54" t="s">
        <v>212</v>
      </c>
      <c r="AC89" s="54"/>
      <c r="AD89" s="54"/>
      <c r="AE89" s="54"/>
      <c r="AF89" s="54"/>
      <c r="AG89" s="54"/>
      <c r="AH89" s="54"/>
      <c r="AI89" s="54"/>
      <c r="AJ89" s="54"/>
      <c r="AK89" s="54"/>
      <c r="AL89" s="1"/>
      <c r="AM89" s="1"/>
    </row>
    <row r="90" customFormat="false" ht="15.75" hidden="false" customHeight="true" outlineLevel="0" collapsed="false">
      <c r="B90" s="1"/>
      <c r="C90" s="55" t="s">
        <v>213</v>
      </c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  <c r="AA90" s="55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customFormat="false" ht="9.75" hidden="false" customHeight="true" outlineLevel="0" collapsed="false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customFormat="false" ht="3.75" hidden="false" customHeight="true" outlineLevel="0" collapsed="false"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</row>
    <row r="93" customFormat="false" ht="7.5" hidden="false" customHeight="true" outlineLevel="0" collapsed="false"/>
    <row r="94" customFormat="false" ht="13.5" hidden="false" customHeight="true" outlineLevel="0" collapsed="false">
      <c r="B94" s="56" t="s">
        <v>83</v>
      </c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O94" s="56" t="s">
        <v>84</v>
      </c>
      <c r="P94" s="56"/>
      <c r="Q94" s="56"/>
      <c r="R94" s="56"/>
      <c r="S94" s="56"/>
      <c r="T94" s="56"/>
      <c r="U94" s="56"/>
      <c r="V94" s="56"/>
      <c r="X94" s="56" t="s">
        <v>119</v>
      </c>
      <c r="Y94" s="56"/>
      <c r="Z94" s="56"/>
      <c r="AA94" s="56"/>
      <c r="AB94" s="56"/>
      <c r="AC94" s="56"/>
      <c r="AD94" s="56"/>
      <c r="AE94" s="56"/>
      <c r="AG94" s="56" t="s">
        <v>120</v>
      </c>
      <c r="AH94" s="56"/>
      <c r="AI94" s="56"/>
      <c r="AJ94" s="56"/>
      <c r="AK94" s="56"/>
      <c r="AL94" s="56"/>
      <c r="AM94" s="56"/>
    </row>
    <row r="95" customFormat="false" ht="21.75" hidden="false" customHeight="true" outlineLevel="0" collapsed="false">
      <c r="B95" s="57" t="str">
        <f aca="false">Dashboard!$C$6</f>
        <v>Bindhya TB</v>
      </c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O95" s="57" t="str">
        <f aca="false">Dashboard!$C$7</f>
        <v>Tourism &amp; Business</v>
      </c>
      <c r="P95" s="57"/>
      <c r="Q95" s="57"/>
      <c r="R95" s="57"/>
      <c r="S95" s="57"/>
      <c r="T95" s="57"/>
      <c r="U95" s="57"/>
      <c r="V95" s="57"/>
      <c r="X95" s="58" t="n">
        <f aca="false">Cal!$H$4</f>
        <v>46307</v>
      </c>
      <c r="Y95" s="58"/>
      <c r="Z95" s="58"/>
      <c r="AA95" s="58"/>
      <c r="AB95" s="58"/>
      <c r="AC95" s="58"/>
      <c r="AD95" s="58"/>
      <c r="AE95" s="58"/>
      <c r="AG95" s="58" t="n">
        <f aca="false">Cal!$I$4</f>
        <v>46312</v>
      </c>
      <c r="AH95" s="58"/>
      <c r="AI95" s="58"/>
      <c r="AJ95" s="58"/>
      <c r="AK95" s="58"/>
      <c r="AL95" s="58"/>
      <c r="AM95" s="58"/>
    </row>
    <row r="96" customFormat="false" ht="9.75" hidden="false" customHeight="true" outlineLevel="0" collapsed="false"/>
    <row r="97" customFormat="false" ht="21.75" hidden="false" customHeight="true" outlineLevel="0" collapsed="false">
      <c r="B97" s="6"/>
      <c r="C97" s="19" t="s">
        <v>214</v>
      </c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</row>
    <row r="98" customFormat="false" ht="19.5" hidden="false" customHeight="true" outlineLevel="0" collapsed="false">
      <c r="B98" s="60"/>
      <c r="C98" s="61" t="n">
        <v>1</v>
      </c>
      <c r="D98" s="62" t="s">
        <v>215</v>
      </c>
      <c r="E98" s="62"/>
      <c r="F98" s="62"/>
      <c r="G98" s="62"/>
      <c r="H98" s="62"/>
      <c r="I98" s="62"/>
      <c r="J98" s="62"/>
      <c r="K98" s="62"/>
      <c r="L98" s="62"/>
      <c r="M98" s="62"/>
      <c r="O98" s="60"/>
      <c r="P98" s="61" t="n">
        <v>2</v>
      </c>
      <c r="Q98" s="62" t="s">
        <v>216</v>
      </c>
      <c r="R98" s="62"/>
      <c r="S98" s="62"/>
      <c r="T98" s="62"/>
      <c r="U98" s="62"/>
      <c r="V98" s="62"/>
      <c r="W98" s="62"/>
      <c r="X98" s="62"/>
      <c r="Y98" s="62"/>
      <c r="Z98" s="62"/>
      <c r="AB98" s="60"/>
      <c r="AC98" s="61" t="n">
        <v>3</v>
      </c>
      <c r="AD98" s="62" t="s">
        <v>14</v>
      </c>
      <c r="AE98" s="62"/>
      <c r="AF98" s="62"/>
      <c r="AG98" s="62"/>
      <c r="AH98" s="62"/>
      <c r="AI98" s="62"/>
      <c r="AJ98" s="62"/>
      <c r="AK98" s="62"/>
      <c r="AL98" s="62"/>
      <c r="AM98" s="62"/>
    </row>
    <row r="99" customFormat="false" ht="25.5" hidden="false" customHeight="true" outlineLevel="0" collapsed="false">
      <c r="B99" s="63"/>
      <c r="C99" s="97" t="str">
        <f aca="false">IF(OR(Dashboard!$C$9="",Dashboard!$C$10=0),"",Dashboard!$C$9/Dashboard!$C$10*Cal!$J$4)</f>
        <v/>
      </c>
      <c r="D99" s="97"/>
      <c r="E99" s="97"/>
      <c r="F99" s="97"/>
      <c r="G99" s="97"/>
      <c r="H99" s="97"/>
      <c r="I99" s="97"/>
      <c r="J99" s="97"/>
      <c r="K99" s="97"/>
      <c r="L99" s="97"/>
      <c r="M99" s="65"/>
      <c r="O99" s="63"/>
      <c r="P99" s="97" t="n">
        <f aca="false">SUMIFS(Dashboard!$L$74:$L$104,Dashboard!$B$74:$B$104,"&gt;="&amp;Cal!$H$4,Dashboard!$B$74:$B$104,"&lt;="&amp;Cal!$I$4)</f>
        <v>0</v>
      </c>
      <c r="Q99" s="97"/>
      <c r="R99" s="97"/>
      <c r="S99" s="97"/>
      <c r="T99" s="97"/>
      <c r="U99" s="97"/>
      <c r="V99" s="97"/>
      <c r="W99" s="97"/>
      <c r="X99" s="97"/>
      <c r="Y99" s="97"/>
      <c r="Z99" s="65"/>
      <c r="AB99" s="63"/>
      <c r="AC99" s="98" t="str">
        <f aca="false">IF(OR(C99="",P99=""),"",P99/C99)</f>
        <v/>
      </c>
      <c r="AD99" s="98"/>
      <c r="AE99" s="98"/>
      <c r="AF99" s="98"/>
      <c r="AG99" s="98"/>
      <c r="AH99" s="98"/>
      <c r="AI99" s="98"/>
      <c r="AJ99" s="98"/>
      <c r="AK99" s="98"/>
      <c r="AL99" s="98"/>
      <c r="AM99" s="65"/>
    </row>
    <row r="100" customFormat="false" ht="6" hidden="false" customHeight="true" outlineLevel="0" collapsed="false">
      <c r="B100" s="67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9"/>
      <c r="O100" s="67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9"/>
      <c r="AB100" s="67"/>
      <c r="AC100" s="68"/>
      <c r="AD100" s="68"/>
      <c r="AE100" s="68"/>
      <c r="AF100" s="68"/>
      <c r="AG100" s="68"/>
      <c r="AH100" s="68"/>
      <c r="AI100" s="68"/>
      <c r="AJ100" s="68"/>
      <c r="AK100" s="68"/>
      <c r="AL100" s="68"/>
      <c r="AM100" s="69"/>
    </row>
    <row r="101" customFormat="false" ht="9.75" hidden="false" customHeight="true" outlineLevel="0" collapsed="false"/>
    <row r="102" customFormat="false" ht="21.75" hidden="false" customHeight="true" outlineLevel="0" collapsed="false">
      <c r="B102" s="6"/>
      <c r="C102" s="19" t="s">
        <v>217</v>
      </c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</row>
    <row r="103" customFormat="false" ht="27.75" hidden="false" customHeight="true" outlineLevel="0" collapsed="false">
      <c r="B103" s="79" t="s">
        <v>124</v>
      </c>
      <c r="C103" s="79"/>
      <c r="D103" s="80" t="s">
        <v>126</v>
      </c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 t="s">
        <v>218</v>
      </c>
      <c r="S103" s="80"/>
      <c r="T103" s="80"/>
      <c r="U103" s="80"/>
      <c r="V103" s="80"/>
      <c r="W103" s="80"/>
      <c r="X103" s="80"/>
      <c r="Y103" s="80"/>
      <c r="Z103" s="80" t="s">
        <v>219</v>
      </c>
      <c r="AA103" s="80"/>
      <c r="AB103" s="80"/>
      <c r="AC103" s="80"/>
      <c r="AD103" s="80"/>
      <c r="AE103" s="80"/>
      <c r="AF103" s="80"/>
      <c r="AG103" s="80"/>
      <c r="AH103" s="80" t="s">
        <v>220</v>
      </c>
      <c r="AI103" s="80"/>
      <c r="AJ103" s="80"/>
      <c r="AK103" s="80"/>
      <c r="AL103" s="80"/>
      <c r="AM103" s="80"/>
    </row>
    <row r="104" customFormat="false" ht="21.75" hidden="false" customHeight="true" outlineLevel="0" collapsed="false">
      <c r="B104" s="81" t="n">
        <v>1</v>
      </c>
      <c r="C104" s="81"/>
      <c r="D104" s="99" t="str">
        <f aca="false">Dashboard!$B$28</f>
        <v>Alshima</v>
      </c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99"/>
      <c r="R104" s="100" t="str">
        <f aca="false">IF(OR(Dashboard!$C$28="",Dashboard!$C$10=0),"",Dashboard!$C$28/Dashboard!$C$10*Cal!$J$4)</f>
        <v/>
      </c>
      <c r="S104" s="100"/>
      <c r="T104" s="100"/>
      <c r="U104" s="100"/>
      <c r="V104" s="100"/>
      <c r="W104" s="100"/>
      <c r="X104" s="100"/>
      <c r="Y104" s="100"/>
      <c r="Z104" s="100" t="n">
        <f aca="false">SUMPRODUCT((Dashboard!$D$73:$K$73=$D104)*(Dashboard!$B$74:$B$104&gt;=Cal!$H$4)*(Dashboard!$B$74:$B$104&lt;=Cal!$I$4)*Dashboard!$D$74:$K$104)</f>
        <v>0</v>
      </c>
      <c r="AA104" s="100"/>
      <c r="AB104" s="100"/>
      <c r="AC104" s="100"/>
      <c r="AD104" s="100"/>
      <c r="AE104" s="100"/>
      <c r="AF104" s="100"/>
      <c r="AG104" s="100"/>
      <c r="AH104" s="101" t="str">
        <f aca="false">IF(OR(R104="",Z104=""),"",Z104/R104)</f>
        <v/>
      </c>
      <c r="AI104" s="101"/>
      <c r="AJ104" s="101"/>
      <c r="AK104" s="101"/>
      <c r="AL104" s="101"/>
      <c r="AM104" s="101"/>
    </row>
    <row r="105" customFormat="false" ht="21.75" hidden="false" customHeight="true" outlineLevel="0" collapsed="false">
      <c r="B105" s="81" t="n">
        <v>2</v>
      </c>
      <c r="C105" s="81"/>
      <c r="D105" s="99" t="str">
        <f aca="false">Dashboard!$B$29</f>
        <v>Chaima</v>
      </c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99"/>
      <c r="R105" s="100" t="str">
        <f aca="false">IF(OR(Dashboard!$C$29="",Dashboard!$C$10=0),"",Dashboard!$C$29/Dashboard!$C$10*Cal!$J$4)</f>
        <v/>
      </c>
      <c r="S105" s="100"/>
      <c r="T105" s="100"/>
      <c r="U105" s="100"/>
      <c r="V105" s="100"/>
      <c r="W105" s="100"/>
      <c r="X105" s="100"/>
      <c r="Y105" s="100"/>
      <c r="Z105" s="100" t="n">
        <f aca="false">SUMPRODUCT((Dashboard!$D$73:$K$73=$D105)*(Dashboard!$B$74:$B$104&gt;=Cal!$H$4)*(Dashboard!$B$74:$B$104&lt;=Cal!$I$4)*Dashboard!$D$74:$K$104)</f>
        <v>0</v>
      </c>
      <c r="AA105" s="100"/>
      <c r="AB105" s="100"/>
      <c r="AC105" s="100"/>
      <c r="AD105" s="100"/>
      <c r="AE105" s="100"/>
      <c r="AF105" s="100"/>
      <c r="AG105" s="100"/>
      <c r="AH105" s="101" t="str">
        <f aca="false">IF(OR(R105="",Z105=""),"",Z105/R105)</f>
        <v/>
      </c>
      <c r="AI105" s="101"/>
      <c r="AJ105" s="101"/>
      <c r="AK105" s="101"/>
      <c r="AL105" s="101"/>
      <c r="AM105" s="101"/>
    </row>
    <row r="106" customFormat="false" ht="21.75" hidden="false" customHeight="true" outlineLevel="0" collapsed="false">
      <c r="B106" s="81" t="n">
        <v>3</v>
      </c>
      <c r="C106" s="81"/>
      <c r="D106" s="99" t="str">
        <f aca="false">Dashboard!$B$30</f>
        <v>Harinder</v>
      </c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99"/>
      <c r="R106" s="100" t="str">
        <f aca="false">IF(OR(Dashboard!$C$30="",Dashboard!$C$10=0),"",Dashboard!$C$30/Dashboard!$C$10*Cal!$J$4)</f>
        <v/>
      </c>
      <c r="S106" s="100"/>
      <c r="T106" s="100"/>
      <c r="U106" s="100"/>
      <c r="V106" s="100"/>
      <c r="W106" s="100"/>
      <c r="X106" s="100"/>
      <c r="Y106" s="100"/>
      <c r="Z106" s="100" t="n">
        <f aca="false">SUMPRODUCT((Dashboard!$D$73:$K$73=$D106)*(Dashboard!$B$74:$B$104&gt;=Cal!$H$4)*(Dashboard!$B$74:$B$104&lt;=Cal!$I$4)*Dashboard!$D$74:$K$104)</f>
        <v>0</v>
      </c>
      <c r="AA106" s="100"/>
      <c r="AB106" s="100"/>
      <c r="AC106" s="100"/>
      <c r="AD106" s="100"/>
      <c r="AE106" s="100"/>
      <c r="AF106" s="100"/>
      <c r="AG106" s="100"/>
      <c r="AH106" s="101" t="str">
        <f aca="false">IF(OR(R106="",Z106=""),"",Z106/R106)</f>
        <v/>
      </c>
      <c r="AI106" s="101"/>
      <c r="AJ106" s="101"/>
      <c r="AK106" s="101"/>
      <c r="AL106" s="101"/>
      <c r="AM106" s="101"/>
    </row>
    <row r="107" customFormat="false" ht="21.75" hidden="false" customHeight="true" outlineLevel="0" collapsed="false">
      <c r="B107" s="81" t="n">
        <v>4</v>
      </c>
      <c r="C107" s="81"/>
      <c r="D107" s="99" t="str">
        <f aca="false">Dashboard!$B$31</f>
        <v>Ibrahim</v>
      </c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99"/>
      <c r="R107" s="100" t="str">
        <f aca="false">IF(OR(Dashboard!$C$31="",Dashboard!$C$10=0),"",Dashboard!$C$31/Dashboard!$C$10*Cal!$J$4)</f>
        <v/>
      </c>
      <c r="S107" s="100"/>
      <c r="T107" s="100"/>
      <c r="U107" s="100"/>
      <c r="V107" s="100"/>
      <c r="W107" s="100"/>
      <c r="X107" s="100"/>
      <c r="Y107" s="100"/>
      <c r="Z107" s="100" t="n">
        <f aca="false">SUMPRODUCT((Dashboard!$D$73:$K$73=$D107)*(Dashboard!$B$74:$B$104&gt;=Cal!$H$4)*(Dashboard!$B$74:$B$104&lt;=Cal!$I$4)*Dashboard!$D$74:$K$104)</f>
        <v>0</v>
      </c>
      <c r="AA107" s="100"/>
      <c r="AB107" s="100"/>
      <c r="AC107" s="100"/>
      <c r="AD107" s="100"/>
      <c r="AE107" s="100"/>
      <c r="AF107" s="100"/>
      <c r="AG107" s="100"/>
      <c r="AH107" s="101" t="str">
        <f aca="false">IF(OR(R107="",Z107=""),"",Z107/R107)</f>
        <v/>
      </c>
      <c r="AI107" s="101"/>
      <c r="AJ107" s="101"/>
      <c r="AK107" s="101"/>
      <c r="AL107" s="101"/>
      <c r="AM107" s="101"/>
    </row>
    <row r="108" customFormat="false" ht="21.75" hidden="false" customHeight="true" outlineLevel="0" collapsed="false">
      <c r="B108" s="81" t="n">
        <v>5</v>
      </c>
      <c r="C108" s="81"/>
      <c r="D108" s="99" t="str">
        <f aca="false">Dashboard!$B$32</f>
        <v>Khozema</v>
      </c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99"/>
      <c r="R108" s="100" t="str">
        <f aca="false">IF(OR(Dashboard!$C$32="",Dashboard!$C$10=0),"",Dashboard!$C$32/Dashboard!$C$10*Cal!$J$4)</f>
        <v/>
      </c>
      <c r="S108" s="100"/>
      <c r="T108" s="100"/>
      <c r="U108" s="100"/>
      <c r="V108" s="100"/>
      <c r="W108" s="100"/>
      <c r="X108" s="100"/>
      <c r="Y108" s="100"/>
      <c r="Z108" s="100" t="n">
        <f aca="false">SUMPRODUCT((Dashboard!$D$73:$K$73=$D108)*(Dashboard!$B$74:$B$104&gt;=Cal!$H$4)*(Dashboard!$B$74:$B$104&lt;=Cal!$I$4)*Dashboard!$D$74:$K$104)</f>
        <v>0</v>
      </c>
      <c r="AA108" s="100"/>
      <c r="AB108" s="100"/>
      <c r="AC108" s="100"/>
      <c r="AD108" s="100"/>
      <c r="AE108" s="100"/>
      <c r="AF108" s="100"/>
      <c r="AG108" s="100"/>
      <c r="AH108" s="101" t="str">
        <f aca="false">IF(OR(R108="",Z108=""),"",Z108/R108)</f>
        <v/>
      </c>
      <c r="AI108" s="101"/>
      <c r="AJ108" s="101"/>
      <c r="AK108" s="101"/>
      <c r="AL108" s="101"/>
      <c r="AM108" s="101"/>
    </row>
    <row r="109" customFormat="false" ht="21.75" hidden="false" customHeight="true" outlineLevel="0" collapsed="false">
      <c r="B109" s="81" t="n">
        <v>6</v>
      </c>
      <c r="C109" s="81"/>
      <c r="D109" s="99" t="str">
        <f aca="false">Dashboard!$B$33</f>
        <v>Layan</v>
      </c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99"/>
      <c r="R109" s="100" t="str">
        <f aca="false">IF(OR(Dashboard!$C$33="",Dashboard!$C$10=0),"",Dashboard!$C$33/Dashboard!$C$10*Cal!$J$4)</f>
        <v/>
      </c>
      <c r="S109" s="100"/>
      <c r="T109" s="100"/>
      <c r="U109" s="100"/>
      <c r="V109" s="100"/>
      <c r="W109" s="100"/>
      <c r="X109" s="100"/>
      <c r="Y109" s="100"/>
      <c r="Z109" s="100" t="n">
        <f aca="false">SUMPRODUCT((Dashboard!$D$73:$K$73=$D109)*(Dashboard!$B$74:$B$104&gt;=Cal!$H$4)*(Dashboard!$B$74:$B$104&lt;=Cal!$I$4)*Dashboard!$D$74:$K$104)</f>
        <v>0</v>
      </c>
      <c r="AA109" s="100"/>
      <c r="AB109" s="100"/>
      <c r="AC109" s="100"/>
      <c r="AD109" s="100"/>
      <c r="AE109" s="100"/>
      <c r="AF109" s="100"/>
      <c r="AG109" s="100"/>
      <c r="AH109" s="101" t="str">
        <f aca="false">IF(OR(R109="",Z109=""),"",Z109/R109)</f>
        <v/>
      </c>
      <c r="AI109" s="101"/>
      <c r="AJ109" s="101"/>
      <c r="AK109" s="101"/>
      <c r="AL109" s="101"/>
      <c r="AM109" s="101"/>
    </row>
    <row r="110" customFormat="false" ht="21.75" hidden="false" customHeight="true" outlineLevel="0" collapsed="false">
      <c r="B110" s="81" t="n">
        <v>7</v>
      </c>
      <c r="C110" s="81"/>
      <c r="D110" s="99" t="str">
        <f aca="false">Dashboard!$B$34</f>
        <v>Rihab</v>
      </c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99"/>
      <c r="R110" s="100" t="str">
        <f aca="false">IF(OR(Dashboard!$C$34="",Dashboard!$C$10=0),"",Dashboard!$C$34/Dashboard!$C$10*Cal!$J$4)</f>
        <v/>
      </c>
      <c r="S110" s="100"/>
      <c r="T110" s="100"/>
      <c r="U110" s="100"/>
      <c r="V110" s="100"/>
      <c r="W110" s="100"/>
      <c r="X110" s="100"/>
      <c r="Y110" s="100"/>
      <c r="Z110" s="100" t="n">
        <f aca="false">SUMPRODUCT((Dashboard!$D$73:$K$73=$D110)*(Dashboard!$B$74:$B$104&gt;=Cal!$H$4)*(Dashboard!$B$74:$B$104&lt;=Cal!$I$4)*Dashboard!$D$74:$K$104)</f>
        <v>0</v>
      </c>
      <c r="AA110" s="100"/>
      <c r="AB110" s="100"/>
      <c r="AC110" s="100"/>
      <c r="AD110" s="100"/>
      <c r="AE110" s="100"/>
      <c r="AF110" s="100"/>
      <c r="AG110" s="100"/>
      <c r="AH110" s="101" t="str">
        <f aca="false">IF(OR(R110="",Z110=""),"",Z110/R110)</f>
        <v/>
      </c>
      <c r="AI110" s="101"/>
      <c r="AJ110" s="101"/>
      <c r="AK110" s="101"/>
      <c r="AL110" s="101"/>
      <c r="AM110" s="101"/>
    </row>
    <row r="111" customFormat="false" ht="21.75" hidden="false" customHeight="true" outlineLevel="0" collapsed="false">
      <c r="B111" s="81" t="n">
        <v>8</v>
      </c>
      <c r="C111" s="81"/>
      <c r="D111" s="99" t="str">
        <f aca="false">Dashboard!$B$35</f>
        <v>Saha</v>
      </c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99"/>
      <c r="R111" s="100" t="str">
        <f aca="false">IF(OR(Dashboard!$C$35="",Dashboard!$C$10=0),"",Dashboard!$C$35/Dashboard!$C$10*Cal!$J$4)</f>
        <v/>
      </c>
      <c r="S111" s="100"/>
      <c r="T111" s="100"/>
      <c r="U111" s="100"/>
      <c r="V111" s="100"/>
      <c r="W111" s="100"/>
      <c r="X111" s="100"/>
      <c r="Y111" s="100"/>
      <c r="Z111" s="100" t="n">
        <f aca="false">SUMPRODUCT((Dashboard!$D$73:$K$73=$D111)*(Dashboard!$B$74:$B$104&gt;=Cal!$H$4)*(Dashboard!$B$74:$B$104&lt;=Cal!$I$4)*Dashboard!$D$74:$K$104)</f>
        <v>0</v>
      </c>
      <c r="AA111" s="100"/>
      <c r="AB111" s="100"/>
      <c r="AC111" s="100"/>
      <c r="AD111" s="100"/>
      <c r="AE111" s="100"/>
      <c r="AF111" s="100"/>
      <c r="AG111" s="100"/>
      <c r="AH111" s="101" t="str">
        <f aca="false">IF(OR(R111="",Z111=""),"",Z111/R111)</f>
        <v/>
      </c>
      <c r="AI111" s="101"/>
      <c r="AJ111" s="101"/>
      <c r="AK111" s="101"/>
      <c r="AL111" s="101"/>
      <c r="AM111" s="101"/>
    </row>
    <row r="112" customFormat="false" ht="21.75" hidden="false" customHeight="true" outlineLevel="0" collapsed="false">
      <c r="B112" s="81" t="n">
        <v>9</v>
      </c>
      <c r="C112" s="81"/>
      <c r="D112" s="102"/>
      <c r="E112" s="102"/>
      <c r="F112" s="102"/>
      <c r="G112" s="102"/>
      <c r="H112" s="102"/>
      <c r="I112" s="102"/>
      <c r="J112" s="102"/>
      <c r="K112" s="102"/>
      <c r="L112" s="102"/>
      <c r="M112" s="102"/>
      <c r="N112" s="102"/>
      <c r="O112" s="102"/>
      <c r="P112" s="102"/>
      <c r="Q112" s="102"/>
      <c r="R112" s="102"/>
      <c r="S112" s="102"/>
      <c r="T112" s="102"/>
      <c r="U112" s="102"/>
      <c r="V112" s="102"/>
      <c r="W112" s="102"/>
      <c r="X112" s="102"/>
      <c r="Y112" s="102"/>
      <c r="Z112" s="102"/>
      <c r="AA112" s="102"/>
      <c r="AB112" s="102"/>
      <c r="AC112" s="102"/>
      <c r="AD112" s="102"/>
      <c r="AE112" s="102"/>
      <c r="AF112" s="102"/>
      <c r="AG112" s="102"/>
      <c r="AH112" s="102"/>
      <c r="AI112" s="102"/>
      <c r="AJ112" s="102"/>
      <c r="AK112" s="102"/>
      <c r="AL112" s="102"/>
      <c r="AM112" s="102"/>
    </row>
    <row r="113" customFormat="false" ht="9.75" hidden="false" customHeight="true" outlineLevel="0" collapsed="false"/>
    <row r="114" customFormat="false" ht="21.75" hidden="false" customHeight="true" outlineLevel="0" collapsed="false">
      <c r="B114" s="6"/>
      <c r="C114" s="19" t="s">
        <v>221</v>
      </c>
      <c r="D114" s="19"/>
      <c r="E114" s="19"/>
      <c r="F114" s="19"/>
      <c r="G114" s="19"/>
      <c r="H114" s="19"/>
      <c r="I114" s="19"/>
      <c r="J114" s="59" t="s">
        <v>222</v>
      </c>
      <c r="K114" s="59"/>
      <c r="L114" s="59"/>
      <c r="M114" s="59"/>
      <c r="N114" s="59"/>
      <c r="O114" s="59"/>
      <c r="P114" s="59"/>
      <c r="Q114" s="59"/>
      <c r="S114" s="6"/>
      <c r="T114" s="19" t="s">
        <v>223</v>
      </c>
      <c r="U114" s="19"/>
      <c r="V114" s="19"/>
      <c r="W114" s="19"/>
      <c r="X114" s="19"/>
      <c r="Y114" s="19"/>
      <c r="Z114" s="59" t="s">
        <v>224</v>
      </c>
      <c r="AA114" s="59"/>
      <c r="AB114" s="59"/>
      <c r="AC114" s="59"/>
      <c r="AD114" s="59"/>
      <c r="AE114" s="59"/>
      <c r="AF114" s="59"/>
      <c r="AG114" s="59"/>
      <c r="AH114" s="59"/>
      <c r="AI114" s="59"/>
      <c r="AJ114" s="59"/>
      <c r="AK114" s="59"/>
      <c r="AL114" s="59"/>
      <c r="AM114" s="59"/>
    </row>
    <row r="115" customFormat="false" ht="36" hidden="false" customHeight="true" outlineLevel="0" collapsed="false">
      <c r="B115" s="60"/>
      <c r="C115" s="61" t="n">
        <v>4</v>
      </c>
      <c r="D115" s="62" t="s">
        <v>225</v>
      </c>
      <c r="E115" s="62"/>
      <c r="F115" s="62"/>
      <c r="G115" s="62"/>
      <c r="H115" s="62"/>
      <c r="I115" s="62"/>
      <c r="K115" s="60"/>
      <c r="L115" s="61" t="n">
        <v>5</v>
      </c>
      <c r="M115" s="62" t="s">
        <v>226</v>
      </c>
      <c r="N115" s="62"/>
      <c r="O115" s="62"/>
      <c r="P115" s="62"/>
      <c r="Q115" s="62"/>
      <c r="S115" s="60"/>
      <c r="T115" s="61" t="n">
        <v>6</v>
      </c>
      <c r="U115" s="62" t="s">
        <v>227</v>
      </c>
      <c r="V115" s="62"/>
      <c r="W115" s="62"/>
      <c r="X115" s="62"/>
      <c r="Y115" s="62"/>
      <c r="AA115" s="60"/>
      <c r="AB115" s="61" t="n">
        <v>7</v>
      </c>
      <c r="AC115" s="62" t="s">
        <v>228</v>
      </c>
      <c r="AD115" s="62"/>
      <c r="AE115" s="62"/>
      <c r="AF115" s="62"/>
      <c r="AH115" s="60"/>
      <c r="AI115" s="61" t="n">
        <v>8</v>
      </c>
      <c r="AJ115" s="62" t="s">
        <v>229</v>
      </c>
      <c r="AK115" s="62"/>
      <c r="AL115" s="62"/>
      <c r="AM115" s="62"/>
    </row>
    <row r="116" customFormat="false" ht="25.5" hidden="false" customHeight="true" outlineLevel="0" collapsed="false">
      <c r="B116" s="63"/>
      <c r="C116" s="103" t="n">
        <f aca="false">COUNTA('Form 2 Case Log'!D471:D476)</f>
        <v>0</v>
      </c>
      <c r="D116" s="103"/>
      <c r="E116" s="103"/>
      <c r="F116" s="103"/>
      <c r="G116" s="103"/>
      <c r="H116" s="103"/>
      <c r="I116" s="65"/>
      <c r="K116" s="63"/>
      <c r="L116" s="103" t="n">
        <f aca="false">COUNTIFS('Form 2 Case Log'!AV471:AV476,"&gt;"&amp;Cal!$I$4,'Form 2 Case Log'!AV471:AV476,"&lt;="&amp;(Cal!$I$4+7))</f>
        <v>0</v>
      </c>
      <c r="M116" s="103"/>
      <c r="N116" s="103"/>
      <c r="O116" s="103"/>
      <c r="P116" s="103"/>
      <c r="Q116" s="65"/>
      <c r="S116" s="63"/>
      <c r="T116" s="64"/>
      <c r="U116" s="64"/>
      <c r="V116" s="64"/>
      <c r="W116" s="64"/>
      <c r="X116" s="64"/>
      <c r="Y116" s="65"/>
      <c r="AA116" s="63"/>
      <c r="AB116" s="64"/>
      <c r="AC116" s="64"/>
      <c r="AD116" s="64"/>
      <c r="AE116" s="64"/>
      <c r="AF116" s="65"/>
      <c r="AH116" s="63"/>
      <c r="AI116" s="64"/>
      <c r="AJ116" s="64"/>
      <c r="AK116" s="64"/>
      <c r="AL116" s="64"/>
      <c r="AM116" s="65"/>
    </row>
    <row r="117" customFormat="false" ht="6" hidden="false" customHeight="true" outlineLevel="0" collapsed="false">
      <c r="B117" s="67"/>
      <c r="C117" s="68"/>
      <c r="D117" s="68"/>
      <c r="E117" s="68"/>
      <c r="F117" s="68"/>
      <c r="G117" s="68"/>
      <c r="H117" s="68"/>
      <c r="I117" s="69"/>
      <c r="K117" s="67"/>
      <c r="L117" s="68"/>
      <c r="M117" s="68"/>
      <c r="N117" s="68"/>
      <c r="O117" s="68"/>
      <c r="P117" s="68"/>
      <c r="Q117" s="69"/>
      <c r="S117" s="67"/>
      <c r="T117" s="68"/>
      <c r="U117" s="68"/>
      <c r="V117" s="68"/>
      <c r="W117" s="68"/>
      <c r="X117" s="68"/>
      <c r="Y117" s="69"/>
      <c r="AA117" s="67"/>
      <c r="AB117" s="68"/>
      <c r="AC117" s="68"/>
      <c r="AD117" s="68"/>
      <c r="AE117" s="68"/>
      <c r="AF117" s="69"/>
      <c r="AH117" s="67"/>
      <c r="AI117" s="68"/>
      <c r="AJ117" s="68"/>
      <c r="AK117" s="68"/>
      <c r="AL117" s="68"/>
      <c r="AM117" s="69"/>
    </row>
    <row r="118" customFormat="false" ht="9.75" hidden="false" customHeight="true" outlineLevel="0" collapsed="false"/>
    <row r="119" customFormat="false" ht="21.75" hidden="false" customHeight="true" outlineLevel="0" collapsed="false">
      <c r="B119" s="6"/>
      <c r="C119" s="19" t="s">
        <v>230</v>
      </c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</row>
    <row r="120" customFormat="false" ht="24" hidden="false" customHeight="true" outlineLevel="0" collapsed="false">
      <c r="B120" s="104" t="n">
        <v>1</v>
      </c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  <c r="AA120" s="72"/>
      <c r="AB120" s="72"/>
      <c r="AC120" s="72"/>
      <c r="AD120" s="72"/>
      <c r="AE120" s="72"/>
      <c r="AF120" s="72"/>
      <c r="AG120" s="72"/>
      <c r="AH120" s="72"/>
      <c r="AI120" s="72"/>
      <c r="AJ120" s="72"/>
      <c r="AK120" s="72"/>
      <c r="AL120" s="72"/>
      <c r="AM120" s="72"/>
    </row>
    <row r="121" customFormat="false" ht="24" hidden="false" customHeight="true" outlineLevel="0" collapsed="false">
      <c r="B121" s="104" t="n">
        <v>2</v>
      </c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  <c r="AA121" s="72"/>
      <c r="AB121" s="72"/>
      <c r="AC121" s="72"/>
      <c r="AD121" s="72"/>
      <c r="AE121" s="72"/>
      <c r="AF121" s="72"/>
      <c r="AG121" s="72"/>
      <c r="AH121" s="72"/>
      <c r="AI121" s="72"/>
      <c r="AJ121" s="72"/>
      <c r="AK121" s="72"/>
      <c r="AL121" s="72"/>
      <c r="AM121" s="72"/>
    </row>
    <row r="122" customFormat="false" ht="24" hidden="false" customHeight="true" outlineLevel="0" collapsed="false">
      <c r="B122" s="104" t="n">
        <v>3</v>
      </c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  <c r="AH122" s="72"/>
      <c r="AI122" s="72"/>
      <c r="AJ122" s="72"/>
      <c r="AK122" s="72"/>
      <c r="AL122" s="72"/>
      <c r="AM122" s="72"/>
    </row>
    <row r="123" customFormat="false" ht="9.75" hidden="false" customHeight="true" outlineLevel="0" collapsed="false"/>
    <row r="124" customFormat="false" ht="25.5" hidden="false" customHeight="true" outlineLevel="0" collapsed="false">
      <c r="B124" s="6"/>
      <c r="C124" s="105" t="s">
        <v>231</v>
      </c>
      <c r="D124" s="105"/>
      <c r="E124" s="105"/>
      <c r="F124" s="105"/>
      <c r="G124" s="105"/>
      <c r="H124" s="105"/>
      <c r="I124" s="105"/>
      <c r="J124" s="105"/>
      <c r="K124" s="105"/>
      <c r="L124" s="105"/>
      <c r="M124" s="105"/>
      <c r="N124" s="105"/>
      <c r="O124" s="105"/>
      <c r="P124" s="105"/>
      <c r="Q124" s="105"/>
      <c r="R124" s="105"/>
      <c r="S124" s="105"/>
      <c r="T124" s="105"/>
      <c r="U124" s="105"/>
      <c r="V124" s="105"/>
      <c r="W124" s="105"/>
      <c r="X124" s="105"/>
      <c r="Y124" s="105"/>
      <c r="Z124" s="105"/>
      <c r="AA124" s="105"/>
      <c r="AB124" s="105"/>
      <c r="AC124" s="105"/>
      <c r="AD124" s="105"/>
      <c r="AE124" s="105"/>
      <c r="AF124" s="105"/>
      <c r="AG124" s="105"/>
      <c r="AH124" s="105"/>
      <c r="AI124" s="105"/>
      <c r="AJ124" s="105"/>
      <c r="AK124" s="105"/>
      <c r="AL124" s="105"/>
      <c r="AM124" s="105"/>
    </row>
    <row r="125" customFormat="false" ht="109.5" hidden="false" customHeight="true" outlineLevel="0" collapsed="false"/>
    <row r="126" customFormat="false" ht="6" hidden="false" customHeight="true" outlineLevel="0" collapsed="false"/>
    <row r="127" customFormat="false" ht="19.5" hidden="false" customHeight="true" outlineLevel="0" collapsed="false">
      <c r="B127" s="73" t="s">
        <v>107</v>
      </c>
      <c r="C127" s="73"/>
      <c r="D127" s="73"/>
      <c r="E127" s="73"/>
      <c r="F127" s="73"/>
      <c r="G127" s="73"/>
      <c r="H127" s="73"/>
      <c r="I127" s="73"/>
      <c r="J127" s="73"/>
      <c r="K127" s="73"/>
      <c r="L127" s="74" t="s">
        <v>108</v>
      </c>
      <c r="M127" s="74"/>
      <c r="N127" s="74"/>
      <c r="O127" s="74"/>
      <c r="P127" s="74"/>
      <c r="Q127" s="74"/>
      <c r="R127" s="74"/>
      <c r="S127" s="74"/>
      <c r="U127" s="73" t="s">
        <v>207</v>
      </c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4" t="s">
        <v>108</v>
      </c>
      <c r="AG127" s="74"/>
      <c r="AH127" s="74"/>
      <c r="AI127" s="74"/>
      <c r="AJ127" s="74"/>
      <c r="AK127" s="74"/>
      <c r="AL127" s="74"/>
      <c r="AM127" s="74"/>
    </row>
    <row r="128" customFormat="false" ht="9.75" hidden="false" customHeight="true" outlineLevel="0" collapsed="false"/>
    <row r="129" customFormat="false" ht="18" hidden="false" customHeight="true" outlineLevel="0" collapsed="false">
      <c r="B129" s="75" t="s">
        <v>232</v>
      </c>
      <c r="C129" s="75"/>
      <c r="D129" s="75"/>
      <c r="E129" s="75"/>
      <c r="F129" s="75"/>
      <c r="G129" s="75"/>
      <c r="H129" s="75"/>
      <c r="I129" s="75"/>
      <c r="J129" s="75"/>
      <c r="K129" s="75"/>
      <c r="L129" s="75"/>
      <c r="M129" s="75"/>
      <c r="N129" s="75"/>
      <c r="O129" s="75"/>
      <c r="P129" s="75"/>
      <c r="Q129" s="75"/>
      <c r="R129" s="75"/>
      <c r="S129" s="75"/>
      <c r="T129" s="76" t="s">
        <v>111</v>
      </c>
      <c r="U129" s="76"/>
      <c r="V129" s="76"/>
      <c r="W129" s="76"/>
      <c r="X129" s="76"/>
      <c r="Y129" s="76"/>
      <c r="Z129" s="76"/>
      <c r="AA129" s="76"/>
      <c r="AB129" s="76"/>
      <c r="AC129" s="76"/>
      <c r="AD129" s="76"/>
      <c r="AE129" s="76"/>
      <c r="AF129" s="76"/>
      <c r="AG129" s="76"/>
      <c r="AH129" s="76"/>
      <c r="AI129" s="76"/>
      <c r="AJ129" s="76"/>
      <c r="AK129" s="76"/>
      <c r="AL129" s="76"/>
      <c r="AM129" s="76"/>
    </row>
    <row r="130" customFormat="false" ht="7.5" hidden="false" customHeight="true" outlineLevel="0" collapsed="false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</row>
    <row r="131" customFormat="false" ht="19.5" hidden="false" customHeight="true" outlineLevel="0" collapsed="false">
      <c r="B131" s="1"/>
      <c r="C131" s="51" t="s">
        <v>209</v>
      </c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1"/>
      <c r="AC131" s="1"/>
      <c r="AD131" s="1"/>
      <c r="AE131" s="52" t="s">
        <v>210</v>
      </c>
      <c r="AF131" s="52"/>
      <c r="AG131" s="52"/>
      <c r="AH131" s="52"/>
      <c r="AI131" s="52"/>
      <c r="AJ131" s="52"/>
      <c r="AK131" s="52"/>
      <c r="AL131" s="1"/>
      <c r="AM131" s="1"/>
    </row>
    <row r="132" customFormat="false" ht="30" hidden="false" customHeight="true" outlineLevel="0" collapsed="false">
      <c r="B132" s="1"/>
      <c r="C132" s="53" t="s">
        <v>211</v>
      </c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  <c r="AB132" s="54" t="s">
        <v>212</v>
      </c>
      <c r="AC132" s="54"/>
      <c r="AD132" s="54"/>
      <c r="AE132" s="54"/>
      <c r="AF132" s="54"/>
      <c r="AG132" s="54"/>
      <c r="AH132" s="54"/>
      <c r="AI132" s="54"/>
      <c r="AJ132" s="54"/>
      <c r="AK132" s="54"/>
      <c r="AL132" s="1"/>
      <c r="AM132" s="1"/>
    </row>
    <row r="133" customFormat="false" ht="15.75" hidden="false" customHeight="true" outlineLevel="0" collapsed="false">
      <c r="B133" s="1"/>
      <c r="C133" s="55" t="s">
        <v>213</v>
      </c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  <c r="AA133" s="55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</row>
    <row r="134" customFormat="false" ht="9.75" hidden="false" customHeight="true" outlineLevel="0" collapsed="false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</row>
    <row r="135" customFormat="false" ht="3.75" hidden="false" customHeight="true" outlineLevel="0" collapsed="false"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</row>
    <row r="136" customFormat="false" ht="7.5" hidden="false" customHeight="true" outlineLevel="0" collapsed="false"/>
    <row r="137" customFormat="false" ht="13.5" hidden="false" customHeight="true" outlineLevel="0" collapsed="false">
      <c r="B137" s="56" t="s">
        <v>83</v>
      </c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O137" s="56" t="s">
        <v>84</v>
      </c>
      <c r="P137" s="56"/>
      <c r="Q137" s="56"/>
      <c r="R137" s="56"/>
      <c r="S137" s="56"/>
      <c r="T137" s="56"/>
      <c r="U137" s="56"/>
      <c r="V137" s="56"/>
      <c r="X137" s="56" t="s">
        <v>119</v>
      </c>
      <c r="Y137" s="56"/>
      <c r="Z137" s="56"/>
      <c r="AA137" s="56"/>
      <c r="AB137" s="56"/>
      <c r="AC137" s="56"/>
      <c r="AD137" s="56"/>
      <c r="AE137" s="56"/>
      <c r="AG137" s="56" t="s">
        <v>120</v>
      </c>
      <c r="AH137" s="56"/>
      <c r="AI137" s="56"/>
      <c r="AJ137" s="56"/>
      <c r="AK137" s="56"/>
      <c r="AL137" s="56"/>
      <c r="AM137" s="56"/>
    </row>
    <row r="138" customFormat="false" ht="21.75" hidden="false" customHeight="true" outlineLevel="0" collapsed="false">
      <c r="B138" s="57" t="str">
        <f aca="false">Dashboard!$C$6</f>
        <v>Bindhya TB</v>
      </c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O138" s="57" t="str">
        <f aca="false">Dashboard!$C$7</f>
        <v>Tourism &amp; Business</v>
      </c>
      <c r="P138" s="57"/>
      <c r="Q138" s="57"/>
      <c r="R138" s="57"/>
      <c r="S138" s="57"/>
      <c r="T138" s="57"/>
      <c r="U138" s="57"/>
      <c r="V138" s="57"/>
      <c r="X138" s="58" t="n">
        <f aca="false">Cal!$H$5</f>
        <v>46314</v>
      </c>
      <c r="Y138" s="58"/>
      <c r="Z138" s="58"/>
      <c r="AA138" s="58"/>
      <c r="AB138" s="58"/>
      <c r="AC138" s="58"/>
      <c r="AD138" s="58"/>
      <c r="AE138" s="58"/>
      <c r="AG138" s="58" t="n">
        <f aca="false">Cal!$I$5</f>
        <v>46319</v>
      </c>
      <c r="AH138" s="58"/>
      <c r="AI138" s="58"/>
      <c r="AJ138" s="58"/>
      <c r="AK138" s="58"/>
      <c r="AL138" s="58"/>
      <c r="AM138" s="58"/>
    </row>
    <row r="139" customFormat="false" ht="9.75" hidden="false" customHeight="true" outlineLevel="0" collapsed="false"/>
    <row r="140" customFormat="false" ht="21.75" hidden="false" customHeight="true" outlineLevel="0" collapsed="false">
      <c r="B140" s="6"/>
      <c r="C140" s="19" t="s">
        <v>214</v>
      </c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</row>
    <row r="141" customFormat="false" ht="19.5" hidden="false" customHeight="true" outlineLevel="0" collapsed="false">
      <c r="B141" s="60"/>
      <c r="C141" s="61" t="n">
        <v>1</v>
      </c>
      <c r="D141" s="62" t="s">
        <v>215</v>
      </c>
      <c r="E141" s="62"/>
      <c r="F141" s="62"/>
      <c r="G141" s="62"/>
      <c r="H141" s="62"/>
      <c r="I141" s="62"/>
      <c r="J141" s="62"/>
      <c r="K141" s="62"/>
      <c r="L141" s="62"/>
      <c r="M141" s="62"/>
      <c r="O141" s="60"/>
      <c r="P141" s="61" t="n">
        <v>2</v>
      </c>
      <c r="Q141" s="62" t="s">
        <v>216</v>
      </c>
      <c r="R141" s="62"/>
      <c r="S141" s="62"/>
      <c r="T141" s="62"/>
      <c r="U141" s="62"/>
      <c r="V141" s="62"/>
      <c r="W141" s="62"/>
      <c r="X141" s="62"/>
      <c r="Y141" s="62"/>
      <c r="Z141" s="62"/>
      <c r="AB141" s="60"/>
      <c r="AC141" s="61" t="n">
        <v>3</v>
      </c>
      <c r="AD141" s="62" t="s">
        <v>14</v>
      </c>
      <c r="AE141" s="62"/>
      <c r="AF141" s="62"/>
      <c r="AG141" s="62"/>
      <c r="AH141" s="62"/>
      <c r="AI141" s="62"/>
      <c r="AJ141" s="62"/>
      <c r="AK141" s="62"/>
      <c r="AL141" s="62"/>
      <c r="AM141" s="62"/>
    </row>
    <row r="142" customFormat="false" ht="25.5" hidden="false" customHeight="true" outlineLevel="0" collapsed="false">
      <c r="B142" s="63"/>
      <c r="C142" s="97" t="str">
        <f aca="false">IF(OR(Dashboard!$C$9="",Dashboard!$C$10=0),"",Dashboard!$C$9/Dashboard!$C$10*Cal!$J$5)</f>
        <v/>
      </c>
      <c r="D142" s="97"/>
      <c r="E142" s="97"/>
      <c r="F142" s="97"/>
      <c r="G142" s="97"/>
      <c r="H142" s="97"/>
      <c r="I142" s="97"/>
      <c r="J142" s="97"/>
      <c r="K142" s="97"/>
      <c r="L142" s="97"/>
      <c r="M142" s="65"/>
      <c r="O142" s="63"/>
      <c r="P142" s="97" t="n">
        <f aca="false">SUMIFS(Dashboard!$L$74:$L$104,Dashboard!$B$74:$B$104,"&gt;="&amp;Cal!$H$5,Dashboard!$B$74:$B$104,"&lt;="&amp;Cal!$I$5)</f>
        <v>0</v>
      </c>
      <c r="Q142" s="97"/>
      <c r="R142" s="97"/>
      <c r="S142" s="97"/>
      <c r="T142" s="97"/>
      <c r="U142" s="97"/>
      <c r="V142" s="97"/>
      <c r="W142" s="97"/>
      <c r="X142" s="97"/>
      <c r="Y142" s="97"/>
      <c r="Z142" s="65"/>
      <c r="AB142" s="63"/>
      <c r="AC142" s="98" t="str">
        <f aca="false">IF(OR(C142="",P142=""),"",P142/C142)</f>
        <v/>
      </c>
      <c r="AD142" s="98"/>
      <c r="AE142" s="98"/>
      <c r="AF142" s="98"/>
      <c r="AG142" s="98"/>
      <c r="AH142" s="98"/>
      <c r="AI142" s="98"/>
      <c r="AJ142" s="98"/>
      <c r="AK142" s="98"/>
      <c r="AL142" s="98"/>
      <c r="AM142" s="65"/>
    </row>
    <row r="143" customFormat="false" ht="6" hidden="false" customHeight="true" outlineLevel="0" collapsed="false">
      <c r="B143" s="67"/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69"/>
      <c r="O143" s="67"/>
      <c r="P143" s="68"/>
      <c r="Q143" s="68"/>
      <c r="R143" s="68"/>
      <c r="S143" s="68"/>
      <c r="T143" s="68"/>
      <c r="U143" s="68"/>
      <c r="V143" s="68"/>
      <c r="W143" s="68"/>
      <c r="X143" s="68"/>
      <c r="Y143" s="68"/>
      <c r="Z143" s="69"/>
      <c r="AB143" s="67"/>
      <c r="AC143" s="68"/>
      <c r="AD143" s="68"/>
      <c r="AE143" s="68"/>
      <c r="AF143" s="68"/>
      <c r="AG143" s="68"/>
      <c r="AH143" s="68"/>
      <c r="AI143" s="68"/>
      <c r="AJ143" s="68"/>
      <c r="AK143" s="68"/>
      <c r="AL143" s="68"/>
      <c r="AM143" s="69"/>
    </row>
    <row r="144" customFormat="false" ht="9.75" hidden="false" customHeight="true" outlineLevel="0" collapsed="false"/>
    <row r="145" customFormat="false" ht="21.75" hidden="false" customHeight="true" outlineLevel="0" collapsed="false">
      <c r="B145" s="6"/>
      <c r="C145" s="19" t="s">
        <v>217</v>
      </c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</row>
    <row r="146" customFormat="false" ht="27.75" hidden="false" customHeight="true" outlineLevel="0" collapsed="false">
      <c r="B146" s="79" t="s">
        <v>124</v>
      </c>
      <c r="C146" s="79"/>
      <c r="D146" s="80" t="s">
        <v>126</v>
      </c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 t="s">
        <v>218</v>
      </c>
      <c r="S146" s="80"/>
      <c r="T146" s="80"/>
      <c r="U146" s="80"/>
      <c r="V146" s="80"/>
      <c r="W146" s="80"/>
      <c r="X146" s="80"/>
      <c r="Y146" s="80"/>
      <c r="Z146" s="80" t="s">
        <v>219</v>
      </c>
      <c r="AA146" s="80"/>
      <c r="AB146" s="80"/>
      <c r="AC146" s="80"/>
      <c r="AD146" s="80"/>
      <c r="AE146" s="80"/>
      <c r="AF146" s="80"/>
      <c r="AG146" s="80"/>
      <c r="AH146" s="80" t="s">
        <v>220</v>
      </c>
      <c r="AI146" s="80"/>
      <c r="AJ146" s="80"/>
      <c r="AK146" s="80"/>
      <c r="AL146" s="80"/>
      <c r="AM146" s="80"/>
    </row>
    <row r="147" customFormat="false" ht="21.75" hidden="false" customHeight="true" outlineLevel="0" collapsed="false">
      <c r="B147" s="81" t="n">
        <v>1</v>
      </c>
      <c r="C147" s="81"/>
      <c r="D147" s="99" t="str">
        <f aca="false">Dashboard!$B$28</f>
        <v>Alshima</v>
      </c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  <c r="Q147" s="99"/>
      <c r="R147" s="100" t="str">
        <f aca="false">IF(OR(Dashboard!$C$28="",Dashboard!$C$10=0),"",Dashboard!$C$28/Dashboard!$C$10*Cal!$J$5)</f>
        <v/>
      </c>
      <c r="S147" s="100"/>
      <c r="T147" s="100"/>
      <c r="U147" s="100"/>
      <c r="V147" s="100"/>
      <c r="W147" s="100"/>
      <c r="X147" s="100"/>
      <c r="Y147" s="100"/>
      <c r="Z147" s="100" t="n">
        <f aca="false">SUMPRODUCT((Dashboard!$D$73:$K$73=$D147)*(Dashboard!$B$74:$B$104&gt;=Cal!$H$5)*(Dashboard!$B$74:$B$104&lt;=Cal!$I$5)*Dashboard!$D$74:$K$104)</f>
        <v>0</v>
      </c>
      <c r="AA147" s="100"/>
      <c r="AB147" s="100"/>
      <c r="AC147" s="100"/>
      <c r="AD147" s="100"/>
      <c r="AE147" s="100"/>
      <c r="AF147" s="100"/>
      <c r="AG147" s="100"/>
      <c r="AH147" s="101" t="str">
        <f aca="false">IF(OR(R147="",Z147=""),"",Z147/R147)</f>
        <v/>
      </c>
      <c r="AI147" s="101"/>
      <c r="AJ147" s="101"/>
      <c r="AK147" s="101"/>
      <c r="AL147" s="101"/>
      <c r="AM147" s="101"/>
    </row>
    <row r="148" customFormat="false" ht="21.75" hidden="false" customHeight="true" outlineLevel="0" collapsed="false">
      <c r="B148" s="81" t="n">
        <v>2</v>
      </c>
      <c r="C148" s="81"/>
      <c r="D148" s="99" t="str">
        <f aca="false">Dashboard!$B$29</f>
        <v>Chaima</v>
      </c>
      <c r="E148" s="99"/>
      <c r="F148" s="99"/>
      <c r="G148" s="99"/>
      <c r="H148" s="99"/>
      <c r="I148" s="99"/>
      <c r="J148" s="99"/>
      <c r="K148" s="99"/>
      <c r="L148" s="99"/>
      <c r="M148" s="99"/>
      <c r="N148" s="99"/>
      <c r="O148" s="99"/>
      <c r="P148" s="99"/>
      <c r="Q148" s="99"/>
      <c r="R148" s="100" t="str">
        <f aca="false">IF(OR(Dashboard!$C$29="",Dashboard!$C$10=0),"",Dashboard!$C$29/Dashboard!$C$10*Cal!$J$5)</f>
        <v/>
      </c>
      <c r="S148" s="100"/>
      <c r="T148" s="100"/>
      <c r="U148" s="100"/>
      <c r="V148" s="100"/>
      <c r="W148" s="100"/>
      <c r="X148" s="100"/>
      <c r="Y148" s="100"/>
      <c r="Z148" s="100" t="n">
        <f aca="false">SUMPRODUCT((Dashboard!$D$73:$K$73=$D148)*(Dashboard!$B$74:$B$104&gt;=Cal!$H$5)*(Dashboard!$B$74:$B$104&lt;=Cal!$I$5)*Dashboard!$D$74:$K$104)</f>
        <v>0</v>
      </c>
      <c r="AA148" s="100"/>
      <c r="AB148" s="100"/>
      <c r="AC148" s="100"/>
      <c r="AD148" s="100"/>
      <c r="AE148" s="100"/>
      <c r="AF148" s="100"/>
      <c r="AG148" s="100"/>
      <c r="AH148" s="101" t="str">
        <f aca="false">IF(OR(R148="",Z148=""),"",Z148/R148)</f>
        <v/>
      </c>
      <c r="AI148" s="101"/>
      <c r="AJ148" s="101"/>
      <c r="AK148" s="101"/>
      <c r="AL148" s="101"/>
      <c r="AM148" s="101"/>
    </row>
    <row r="149" customFormat="false" ht="21.75" hidden="false" customHeight="true" outlineLevel="0" collapsed="false">
      <c r="B149" s="81" t="n">
        <v>3</v>
      </c>
      <c r="C149" s="81"/>
      <c r="D149" s="99" t="str">
        <f aca="false">Dashboard!$B$30</f>
        <v>Harinder</v>
      </c>
      <c r="E149" s="99"/>
      <c r="F149" s="99"/>
      <c r="G149" s="99"/>
      <c r="H149" s="99"/>
      <c r="I149" s="99"/>
      <c r="J149" s="99"/>
      <c r="K149" s="99"/>
      <c r="L149" s="99"/>
      <c r="M149" s="99"/>
      <c r="N149" s="99"/>
      <c r="O149" s="99"/>
      <c r="P149" s="99"/>
      <c r="Q149" s="99"/>
      <c r="R149" s="100" t="str">
        <f aca="false">IF(OR(Dashboard!$C$30="",Dashboard!$C$10=0),"",Dashboard!$C$30/Dashboard!$C$10*Cal!$J$5)</f>
        <v/>
      </c>
      <c r="S149" s="100"/>
      <c r="T149" s="100"/>
      <c r="U149" s="100"/>
      <c r="V149" s="100"/>
      <c r="W149" s="100"/>
      <c r="X149" s="100"/>
      <c r="Y149" s="100"/>
      <c r="Z149" s="100" t="n">
        <f aca="false">SUMPRODUCT((Dashboard!$D$73:$K$73=$D149)*(Dashboard!$B$74:$B$104&gt;=Cal!$H$5)*(Dashboard!$B$74:$B$104&lt;=Cal!$I$5)*Dashboard!$D$74:$K$104)</f>
        <v>0</v>
      </c>
      <c r="AA149" s="100"/>
      <c r="AB149" s="100"/>
      <c r="AC149" s="100"/>
      <c r="AD149" s="100"/>
      <c r="AE149" s="100"/>
      <c r="AF149" s="100"/>
      <c r="AG149" s="100"/>
      <c r="AH149" s="101" t="str">
        <f aca="false">IF(OR(R149="",Z149=""),"",Z149/R149)</f>
        <v/>
      </c>
      <c r="AI149" s="101"/>
      <c r="AJ149" s="101"/>
      <c r="AK149" s="101"/>
      <c r="AL149" s="101"/>
      <c r="AM149" s="101"/>
    </row>
    <row r="150" customFormat="false" ht="21.75" hidden="false" customHeight="true" outlineLevel="0" collapsed="false">
      <c r="B150" s="81" t="n">
        <v>4</v>
      </c>
      <c r="C150" s="81"/>
      <c r="D150" s="99" t="str">
        <f aca="false">Dashboard!$B$31</f>
        <v>Ibrahim</v>
      </c>
      <c r="E150" s="99"/>
      <c r="F150" s="99"/>
      <c r="G150" s="99"/>
      <c r="H150" s="99"/>
      <c r="I150" s="99"/>
      <c r="J150" s="99"/>
      <c r="K150" s="99"/>
      <c r="L150" s="99"/>
      <c r="M150" s="99"/>
      <c r="N150" s="99"/>
      <c r="O150" s="99"/>
      <c r="P150" s="99"/>
      <c r="Q150" s="99"/>
      <c r="R150" s="100" t="str">
        <f aca="false">IF(OR(Dashboard!$C$31="",Dashboard!$C$10=0),"",Dashboard!$C$31/Dashboard!$C$10*Cal!$J$5)</f>
        <v/>
      </c>
      <c r="S150" s="100"/>
      <c r="T150" s="100"/>
      <c r="U150" s="100"/>
      <c r="V150" s="100"/>
      <c r="W150" s="100"/>
      <c r="X150" s="100"/>
      <c r="Y150" s="100"/>
      <c r="Z150" s="100" t="n">
        <f aca="false">SUMPRODUCT((Dashboard!$D$73:$K$73=$D150)*(Dashboard!$B$74:$B$104&gt;=Cal!$H$5)*(Dashboard!$B$74:$B$104&lt;=Cal!$I$5)*Dashboard!$D$74:$K$104)</f>
        <v>0</v>
      </c>
      <c r="AA150" s="100"/>
      <c r="AB150" s="100"/>
      <c r="AC150" s="100"/>
      <c r="AD150" s="100"/>
      <c r="AE150" s="100"/>
      <c r="AF150" s="100"/>
      <c r="AG150" s="100"/>
      <c r="AH150" s="101" t="str">
        <f aca="false">IF(OR(R150="",Z150=""),"",Z150/R150)</f>
        <v/>
      </c>
      <c r="AI150" s="101"/>
      <c r="AJ150" s="101"/>
      <c r="AK150" s="101"/>
      <c r="AL150" s="101"/>
      <c r="AM150" s="101"/>
    </row>
    <row r="151" customFormat="false" ht="21.75" hidden="false" customHeight="true" outlineLevel="0" collapsed="false">
      <c r="B151" s="81" t="n">
        <v>5</v>
      </c>
      <c r="C151" s="81"/>
      <c r="D151" s="99" t="str">
        <f aca="false">Dashboard!$B$32</f>
        <v>Khozema</v>
      </c>
      <c r="E151" s="99"/>
      <c r="F151" s="99"/>
      <c r="G151" s="99"/>
      <c r="H151" s="99"/>
      <c r="I151" s="99"/>
      <c r="J151" s="99"/>
      <c r="K151" s="99"/>
      <c r="L151" s="99"/>
      <c r="M151" s="99"/>
      <c r="N151" s="99"/>
      <c r="O151" s="99"/>
      <c r="P151" s="99"/>
      <c r="Q151" s="99"/>
      <c r="R151" s="100" t="str">
        <f aca="false">IF(OR(Dashboard!$C$32="",Dashboard!$C$10=0),"",Dashboard!$C$32/Dashboard!$C$10*Cal!$J$5)</f>
        <v/>
      </c>
      <c r="S151" s="100"/>
      <c r="T151" s="100"/>
      <c r="U151" s="100"/>
      <c r="V151" s="100"/>
      <c r="W151" s="100"/>
      <c r="X151" s="100"/>
      <c r="Y151" s="100"/>
      <c r="Z151" s="100" t="n">
        <f aca="false">SUMPRODUCT((Dashboard!$D$73:$K$73=$D151)*(Dashboard!$B$74:$B$104&gt;=Cal!$H$5)*(Dashboard!$B$74:$B$104&lt;=Cal!$I$5)*Dashboard!$D$74:$K$104)</f>
        <v>0</v>
      </c>
      <c r="AA151" s="100"/>
      <c r="AB151" s="100"/>
      <c r="AC151" s="100"/>
      <c r="AD151" s="100"/>
      <c r="AE151" s="100"/>
      <c r="AF151" s="100"/>
      <c r="AG151" s="100"/>
      <c r="AH151" s="101" t="str">
        <f aca="false">IF(OR(R151="",Z151=""),"",Z151/R151)</f>
        <v/>
      </c>
      <c r="AI151" s="101"/>
      <c r="AJ151" s="101"/>
      <c r="AK151" s="101"/>
      <c r="AL151" s="101"/>
      <c r="AM151" s="101"/>
    </row>
    <row r="152" customFormat="false" ht="21.75" hidden="false" customHeight="true" outlineLevel="0" collapsed="false">
      <c r="B152" s="81" t="n">
        <v>6</v>
      </c>
      <c r="C152" s="81"/>
      <c r="D152" s="99" t="str">
        <f aca="false">Dashboard!$B$33</f>
        <v>Layan</v>
      </c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  <c r="P152" s="99"/>
      <c r="Q152" s="99"/>
      <c r="R152" s="100" t="str">
        <f aca="false">IF(OR(Dashboard!$C$33="",Dashboard!$C$10=0),"",Dashboard!$C$33/Dashboard!$C$10*Cal!$J$5)</f>
        <v/>
      </c>
      <c r="S152" s="100"/>
      <c r="T152" s="100"/>
      <c r="U152" s="100"/>
      <c r="V152" s="100"/>
      <c r="W152" s="100"/>
      <c r="X152" s="100"/>
      <c r="Y152" s="100"/>
      <c r="Z152" s="100" t="n">
        <f aca="false">SUMPRODUCT((Dashboard!$D$73:$K$73=$D152)*(Dashboard!$B$74:$B$104&gt;=Cal!$H$5)*(Dashboard!$B$74:$B$104&lt;=Cal!$I$5)*Dashboard!$D$74:$K$104)</f>
        <v>0</v>
      </c>
      <c r="AA152" s="100"/>
      <c r="AB152" s="100"/>
      <c r="AC152" s="100"/>
      <c r="AD152" s="100"/>
      <c r="AE152" s="100"/>
      <c r="AF152" s="100"/>
      <c r="AG152" s="100"/>
      <c r="AH152" s="101" t="str">
        <f aca="false">IF(OR(R152="",Z152=""),"",Z152/R152)</f>
        <v/>
      </c>
      <c r="AI152" s="101"/>
      <c r="AJ152" s="101"/>
      <c r="AK152" s="101"/>
      <c r="AL152" s="101"/>
      <c r="AM152" s="101"/>
    </row>
    <row r="153" customFormat="false" ht="21.75" hidden="false" customHeight="true" outlineLevel="0" collapsed="false">
      <c r="B153" s="81" t="n">
        <v>7</v>
      </c>
      <c r="C153" s="81"/>
      <c r="D153" s="99" t="str">
        <f aca="false">Dashboard!$B$34</f>
        <v>Rihab</v>
      </c>
      <c r="E153" s="99"/>
      <c r="F153" s="99"/>
      <c r="G153" s="99"/>
      <c r="H153" s="99"/>
      <c r="I153" s="99"/>
      <c r="J153" s="99"/>
      <c r="K153" s="99"/>
      <c r="L153" s="99"/>
      <c r="M153" s="99"/>
      <c r="N153" s="99"/>
      <c r="O153" s="99"/>
      <c r="P153" s="99"/>
      <c r="Q153" s="99"/>
      <c r="R153" s="100" t="str">
        <f aca="false">IF(OR(Dashboard!$C$34="",Dashboard!$C$10=0),"",Dashboard!$C$34/Dashboard!$C$10*Cal!$J$5)</f>
        <v/>
      </c>
      <c r="S153" s="100"/>
      <c r="T153" s="100"/>
      <c r="U153" s="100"/>
      <c r="V153" s="100"/>
      <c r="W153" s="100"/>
      <c r="X153" s="100"/>
      <c r="Y153" s="100"/>
      <c r="Z153" s="100" t="n">
        <f aca="false">SUMPRODUCT((Dashboard!$D$73:$K$73=$D153)*(Dashboard!$B$74:$B$104&gt;=Cal!$H$5)*(Dashboard!$B$74:$B$104&lt;=Cal!$I$5)*Dashboard!$D$74:$K$104)</f>
        <v>0</v>
      </c>
      <c r="AA153" s="100"/>
      <c r="AB153" s="100"/>
      <c r="AC153" s="100"/>
      <c r="AD153" s="100"/>
      <c r="AE153" s="100"/>
      <c r="AF153" s="100"/>
      <c r="AG153" s="100"/>
      <c r="AH153" s="101" t="str">
        <f aca="false">IF(OR(R153="",Z153=""),"",Z153/R153)</f>
        <v/>
      </c>
      <c r="AI153" s="101"/>
      <c r="AJ153" s="101"/>
      <c r="AK153" s="101"/>
      <c r="AL153" s="101"/>
      <c r="AM153" s="101"/>
    </row>
    <row r="154" customFormat="false" ht="21.75" hidden="false" customHeight="true" outlineLevel="0" collapsed="false">
      <c r="B154" s="81" t="n">
        <v>8</v>
      </c>
      <c r="C154" s="81"/>
      <c r="D154" s="99" t="str">
        <f aca="false">Dashboard!$B$35</f>
        <v>Saha</v>
      </c>
      <c r="E154" s="99"/>
      <c r="F154" s="99"/>
      <c r="G154" s="99"/>
      <c r="H154" s="99"/>
      <c r="I154" s="99"/>
      <c r="J154" s="99"/>
      <c r="K154" s="99"/>
      <c r="L154" s="99"/>
      <c r="M154" s="99"/>
      <c r="N154" s="99"/>
      <c r="O154" s="99"/>
      <c r="P154" s="99"/>
      <c r="Q154" s="99"/>
      <c r="R154" s="100" t="str">
        <f aca="false">IF(OR(Dashboard!$C$35="",Dashboard!$C$10=0),"",Dashboard!$C$35/Dashboard!$C$10*Cal!$J$5)</f>
        <v/>
      </c>
      <c r="S154" s="100"/>
      <c r="T154" s="100"/>
      <c r="U154" s="100"/>
      <c r="V154" s="100"/>
      <c r="W154" s="100"/>
      <c r="X154" s="100"/>
      <c r="Y154" s="100"/>
      <c r="Z154" s="100" t="n">
        <f aca="false">SUMPRODUCT((Dashboard!$D$73:$K$73=$D154)*(Dashboard!$B$74:$B$104&gt;=Cal!$H$5)*(Dashboard!$B$74:$B$104&lt;=Cal!$I$5)*Dashboard!$D$74:$K$104)</f>
        <v>0</v>
      </c>
      <c r="AA154" s="100"/>
      <c r="AB154" s="100"/>
      <c r="AC154" s="100"/>
      <c r="AD154" s="100"/>
      <c r="AE154" s="100"/>
      <c r="AF154" s="100"/>
      <c r="AG154" s="100"/>
      <c r="AH154" s="101" t="str">
        <f aca="false">IF(OR(R154="",Z154=""),"",Z154/R154)</f>
        <v/>
      </c>
      <c r="AI154" s="101"/>
      <c r="AJ154" s="101"/>
      <c r="AK154" s="101"/>
      <c r="AL154" s="101"/>
      <c r="AM154" s="101"/>
    </row>
    <row r="155" customFormat="false" ht="21.75" hidden="false" customHeight="true" outlineLevel="0" collapsed="false">
      <c r="B155" s="81" t="n">
        <v>9</v>
      </c>
      <c r="C155" s="81"/>
      <c r="D155" s="102"/>
      <c r="E155" s="102"/>
      <c r="F155" s="102"/>
      <c r="G155" s="102"/>
      <c r="H155" s="102"/>
      <c r="I155" s="102"/>
      <c r="J155" s="102"/>
      <c r="K155" s="102"/>
      <c r="L155" s="102"/>
      <c r="M155" s="102"/>
      <c r="N155" s="102"/>
      <c r="O155" s="102"/>
      <c r="P155" s="102"/>
      <c r="Q155" s="102"/>
      <c r="R155" s="102"/>
      <c r="S155" s="102"/>
      <c r="T155" s="102"/>
      <c r="U155" s="102"/>
      <c r="V155" s="102"/>
      <c r="W155" s="102"/>
      <c r="X155" s="102"/>
      <c r="Y155" s="102"/>
      <c r="Z155" s="102"/>
      <c r="AA155" s="102"/>
      <c r="AB155" s="102"/>
      <c r="AC155" s="102"/>
      <c r="AD155" s="102"/>
      <c r="AE155" s="102"/>
      <c r="AF155" s="102"/>
      <c r="AG155" s="102"/>
      <c r="AH155" s="102"/>
      <c r="AI155" s="102"/>
      <c r="AJ155" s="102"/>
      <c r="AK155" s="102"/>
      <c r="AL155" s="102"/>
      <c r="AM155" s="102"/>
    </row>
    <row r="156" customFormat="false" ht="9.75" hidden="false" customHeight="true" outlineLevel="0" collapsed="false"/>
    <row r="157" customFormat="false" ht="21.75" hidden="false" customHeight="true" outlineLevel="0" collapsed="false">
      <c r="B157" s="6"/>
      <c r="C157" s="19" t="s">
        <v>221</v>
      </c>
      <c r="D157" s="19"/>
      <c r="E157" s="19"/>
      <c r="F157" s="19"/>
      <c r="G157" s="19"/>
      <c r="H157" s="19"/>
      <c r="I157" s="19"/>
      <c r="J157" s="59" t="s">
        <v>222</v>
      </c>
      <c r="K157" s="59"/>
      <c r="L157" s="59"/>
      <c r="M157" s="59"/>
      <c r="N157" s="59"/>
      <c r="O157" s="59"/>
      <c r="P157" s="59"/>
      <c r="Q157" s="59"/>
      <c r="S157" s="6"/>
      <c r="T157" s="19" t="s">
        <v>223</v>
      </c>
      <c r="U157" s="19"/>
      <c r="V157" s="19"/>
      <c r="W157" s="19"/>
      <c r="X157" s="19"/>
      <c r="Y157" s="19"/>
      <c r="Z157" s="59" t="s">
        <v>224</v>
      </c>
      <c r="AA157" s="59"/>
      <c r="AB157" s="59"/>
      <c r="AC157" s="59"/>
      <c r="AD157" s="59"/>
      <c r="AE157" s="59"/>
      <c r="AF157" s="59"/>
      <c r="AG157" s="59"/>
      <c r="AH157" s="59"/>
      <c r="AI157" s="59"/>
      <c r="AJ157" s="59"/>
      <c r="AK157" s="59"/>
      <c r="AL157" s="59"/>
      <c r="AM157" s="59"/>
    </row>
    <row r="158" customFormat="false" ht="36" hidden="false" customHeight="true" outlineLevel="0" collapsed="false">
      <c r="B158" s="60"/>
      <c r="C158" s="61" t="n">
        <v>4</v>
      </c>
      <c r="D158" s="62" t="s">
        <v>225</v>
      </c>
      <c r="E158" s="62"/>
      <c r="F158" s="62"/>
      <c r="G158" s="62"/>
      <c r="H158" s="62"/>
      <c r="I158" s="62"/>
      <c r="K158" s="60"/>
      <c r="L158" s="61" t="n">
        <v>5</v>
      </c>
      <c r="M158" s="62" t="s">
        <v>226</v>
      </c>
      <c r="N158" s="62"/>
      <c r="O158" s="62"/>
      <c r="P158" s="62"/>
      <c r="Q158" s="62"/>
      <c r="S158" s="60"/>
      <c r="T158" s="61" t="n">
        <v>6</v>
      </c>
      <c r="U158" s="62" t="s">
        <v>227</v>
      </c>
      <c r="V158" s="62"/>
      <c r="W158" s="62"/>
      <c r="X158" s="62"/>
      <c r="Y158" s="62"/>
      <c r="AA158" s="60"/>
      <c r="AB158" s="61" t="n">
        <v>7</v>
      </c>
      <c r="AC158" s="62" t="s">
        <v>228</v>
      </c>
      <c r="AD158" s="62"/>
      <c r="AE158" s="62"/>
      <c r="AF158" s="62"/>
      <c r="AH158" s="60"/>
      <c r="AI158" s="61" t="n">
        <v>8</v>
      </c>
      <c r="AJ158" s="62" t="s">
        <v>229</v>
      </c>
      <c r="AK158" s="62"/>
      <c r="AL158" s="62"/>
      <c r="AM158" s="62"/>
    </row>
    <row r="159" customFormat="false" ht="25.5" hidden="false" customHeight="true" outlineLevel="0" collapsed="false">
      <c r="B159" s="63"/>
      <c r="C159" s="103" t="n">
        <f aca="false">COUNTA('Form 2 Case Log'!D642:D647)</f>
        <v>0</v>
      </c>
      <c r="D159" s="103"/>
      <c r="E159" s="103"/>
      <c r="F159" s="103"/>
      <c r="G159" s="103"/>
      <c r="H159" s="103"/>
      <c r="I159" s="65"/>
      <c r="K159" s="63"/>
      <c r="L159" s="103" t="n">
        <f aca="false">COUNTIFS('Form 2 Case Log'!AV642:AV647,"&gt;"&amp;Cal!$I$5,'Form 2 Case Log'!AV642:AV647,"&lt;="&amp;(Cal!$I$5+7))</f>
        <v>0</v>
      </c>
      <c r="M159" s="103"/>
      <c r="N159" s="103"/>
      <c r="O159" s="103"/>
      <c r="P159" s="103"/>
      <c r="Q159" s="65"/>
      <c r="S159" s="63"/>
      <c r="T159" s="64"/>
      <c r="U159" s="64"/>
      <c r="V159" s="64"/>
      <c r="W159" s="64"/>
      <c r="X159" s="64"/>
      <c r="Y159" s="65"/>
      <c r="AA159" s="63"/>
      <c r="AB159" s="64"/>
      <c r="AC159" s="64"/>
      <c r="AD159" s="64"/>
      <c r="AE159" s="64"/>
      <c r="AF159" s="65"/>
      <c r="AH159" s="63"/>
      <c r="AI159" s="64"/>
      <c r="AJ159" s="64"/>
      <c r="AK159" s="64"/>
      <c r="AL159" s="64"/>
      <c r="AM159" s="65"/>
    </row>
    <row r="160" customFormat="false" ht="6" hidden="false" customHeight="true" outlineLevel="0" collapsed="false">
      <c r="B160" s="67"/>
      <c r="C160" s="68"/>
      <c r="D160" s="68"/>
      <c r="E160" s="68"/>
      <c r="F160" s="68"/>
      <c r="G160" s="68"/>
      <c r="H160" s="68"/>
      <c r="I160" s="69"/>
      <c r="K160" s="67"/>
      <c r="L160" s="68"/>
      <c r="M160" s="68"/>
      <c r="N160" s="68"/>
      <c r="O160" s="68"/>
      <c r="P160" s="68"/>
      <c r="Q160" s="69"/>
      <c r="S160" s="67"/>
      <c r="T160" s="68"/>
      <c r="U160" s="68"/>
      <c r="V160" s="68"/>
      <c r="W160" s="68"/>
      <c r="X160" s="68"/>
      <c r="Y160" s="69"/>
      <c r="AA160" s="67"/>
      <c r="AB160" s="68"/>
      <c r="AC160" s="68"/>
      <c r="AD160" s="68"/>
      <c r="AE160" s="68"/>
      <c r="AF160" s="69"/>
      <c r="AH160" s="67"/>
      <c r="AI160" s="68"/>
      <c r="AJ160" s="68"/>
      <c r="AK160" s="68"/>
      <c r="AL160" s="68"/>
      <c r="AM160" s="69"/>
    </row>
    <row r="161" customFormat="false" ht="9.75" hidden="false" customHeight="true" outlineLevel="0" collapsed="false"/>
    <row r="162" customFormat="false" ht="21.75" hidden="false" customHeight="true" outlineLevel="0" collapsed="false">
      <c r="B162" s="6"/>
      <c r="C162" s="19" t="s">
        <v>230</v>
      </c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</row>
    <row r="163" customFormat="false" ht="24" hidden="false" customHeight="true" outlineLevel="0" collapsed="false">
      <c r="B163" s="104" t="n">
        <v>1</v>
      </c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  <c r="AA163" s="72"/>
      <c r="AB163" s="72"/>
      <c r="AC163" s="72"/>
      <c r="AD163" s="72"/>
      <c r="AE163" s="72"/>
      <c r="AF163" s="72"/>
      <c r="AG163" s="72"/>
      <c r="AH163" s="72"/>
      <c r="AI163" s="72"/>
      <c r="AJ163" s="72"/>
      <c r="AK163" s="72"/>
      <c r="AL163" s="72"/>
      <c r="AM163" s="72"/>
    </row>
    <row r="164" customFormat="false" ht="24" hidden="false" customHeight="true" outlineLevel="0" collapsed="false">
      <c r="B164" s="104" t="n">
        <v>2</v>
      </c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  <c r="AA164" s="72"/>
      <c r="AB164" s="72"/>
      <c r="AC164" s="72"/>
      <c r="AD164" s="72"/>
      <c r="AE164" s="72"/>
      <c r="AF164" s="72"/>
      <c r="AG164" s="72"/>
      <c r="AH164" s="72"/>
      <c r="AI164" s="72"/>
      <c r="AJ164" s="72"/>
      <c r="AK164" s="72"/>
      <c r="AL164" s="72"/>
      <c r="AM164" s="72"/>
    </row>
    <row r="165" customFormat="false" ht="24" hidden="false" customHeight="true" outlineLevel="0" collapsed="false">
      <c r="B165" s="104" t="n">
        <v>3</v>
      </c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  <c r="AA165" s="72"/>
      <c r="AB165" s="72"/>
      <c r="AC165" s="72"/>
      <c r="AD165" s="72"/>
      <c r="AE165" s="72"/>
      <c r="AF165" s="72"/>
      <c r="AG165" s="72"/>
      <c r="AH165" s="72"/>
      <c r="AI165" s="72"/>
      <c r="AJ165" s="72"/>
      <c r="AK165" s="72"/>
      <c r="AL165" s="72"/>
      <c r="AM165" s="72"/>
    </row>
    <row r="166" customFormat="false" ht="9.75" hidden="false" customHeight="true" outlineLevel="0" collapsed="false"/>
    <row r="167" customFormat="false" ht="25.5" hidden="false" customHeight="true" outlineLevel="0" collapsed="false">
      <c r="B167" s="6"/>
      <c r="C167" s="105" t="s">
        <v>231</v>
      </c>
      <c r="D167" s="105"/>
      <c r="E167" s="105"/>
      <c r="F167" s="105"/>
      <c r="G167" s="105"/>
      <c r="H167" s="105"/>
      <c r="I167" s="105"/>
      <c r="J167" s="105"/>
      <c r="K167" s="105"/>
      <c r="L167" s="105"/>
      <c r="M167" s="105"/>
      <c r="N167" s="105"/>
      <c r="O167" s="105"/>
      <c r="P167" s="105"/>
      <c r="Q167" s="105"/>
      <c r="R167" s="105"/>
      <c r="S167" s="105"/>
      <c r="T167" s="105"/>
      <c r="U167" s="105"/>
      <c r="V167" s="105"/>
      <c r="W167" s="105"/>
      <c r="X167" s="105"/>
      <c r="Y167" s="105"/>
      <c r="Z167" s="105"/>
      <c r="AA167" s="105"/>
      <c r="AB167" s="105"/>
      <c r="AC167" s="105"/>
      <c r="AD167" s="105"/>
      <c r="AE167" s="105"/>
      <c r="AF167" s="105"/>
      <c r="AG167" s="105"/>
      <c r="AH167" s="105"/>
      <c r="AI167" s="105"/>
      <c r="AJ167" s="105"/>
      <c r="AK167" s="105"/>
      <c r="AL167" s="105"/>
      <c r="AM167" s="105"/>
    </row>
    <row r="168" customFormat="false" ht="109.5" hidden="false" customHeight="true" outlineLevel="0" collapsed="false"/>
    <row r="169" customFormat="false" ht="6" hidden="false" customHeight="true" outlineLevel="0" collapsed="false"/>
    <row r="170" customFormat="false" ht="19.5" hidden="false" customHeight="true" outlineLevel="0" collapsed="false">
      <c r="B170" s="73" t="s">
        <v>107</v>
      </c>
      <c r="C170" s="73"/>
      <c r="D170" s="73"/>
      <c r="E170" s="73"/>
      <c r="F170" s="73"/>
      <c r="G170" s="73"/>
      <c r="H170" s="73"/>
      <c r="I170" s="73"/>
      <c r="J170" s="73"/>
      <c r="K170" s="73"/>
      <c r="L170" s="74" t="s">
        <v>108</v>
      </c>
      <c r="M170" s="74"/>
      <c r="N170" s="74"/>
      <c r="O170" s="74"/>
      <c r="P170" s="74"/>
      <c r="Q170" s="74"/>
      <c r="R170" s="74"/>
      <c r="S170" s="74"/>
      <c r="U170" s="73" t="s">
        <v>207</v>
      </c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4" t="s">
        <v>108</v>
      </c>
      <c r="AG170" s="74"/>
      <c r="AH170" s="74"/>
      <c r="AI170" s="74"/>
      <c r="AJ170" s="74"/>
      <c r="AK170" s="74"/>
      <c r="AL170" s="74"/>
      <c r="AM170" s="74"/>
    </row>
    <row r="171" customFormat="false" ht="9.75" hidden="false" customHeight="true" outlineLevel="0" collapsed="false"/>
    <row r="172" customFormat="false" ht="18" hidden="false" customHeight="true" outlineLevel="0" collapsed="false">
      <c r="B172" s="75" t="s">
        <v>232</v>
      </c>
      <c r="C172" s="75"/>
      <c r="D172" s="75"/>
      <c r="E172" s="75"/>
      <c r="F172" s="75"/>
      <c r="G172" s="75"/>
      <c r="H172" s="75"/>
      <c r="I172" s="75"/>
      <c r="J172" s="75"/>
      <c r="K172" s="75"/>
      <c r="L172" s="75"/>
      <c r="M172" s="75"/>
      <c r="N172" s="75"/>
      <c r="O172" s="75"/>
      <c r="P172" s="75"/>
      <c r="Q172" s="75"/>
      <c r="R172" s="75"/>
      <c r="S172" s="75"/>
      <c r="T172" s="76" t="s">
        <v>111</v>
      </c>
      <c r="U172" s="76"/>
      <c r="V172" s="76"/>
      <c r="W172" s="76"/>
      <c r="X172" s="76"/>
      <c r="Y172" s="76"/>
      <c r="Z172" s="76"/>
      <c r="AA172" s="76"/>
      <c r="AB172" s="76"/>
      <c r="AC172" s="76"/>
      <c r="AD172" s="76"/>
      <c r="AE172" s="76"/>
      <c r="AF172" s="76"/>
      <c r="AG172" s="76"/>
      <c r="AH172" s="76"/>
      <c r="AI172" s="76"/>
      <c r="AJ172" s="76"/>
      <c r="AK172" s="76"/>
      <c r="AL172" s="76"/>
      <c r="AM172" s="76"/>
    </row>
    <row r="173" customFormat="false" ht="7.5" hidden="false" customHeight="true" outlineLevel="0" collapsed="false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customFormat="false" ht="19.5" hidden="false" customHeight="true" outlineLevel="0" collapsed="false">
      <c r="B174" s="1"/>
      <c r="C174" s="51" t="s">
        <v>209</v>
      </c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1"/>
      <c r="AC174" s="1"/>
      <c r="AD174" s="1"/>
      <c r="AE174" s="52" t="s">
        <v>210</v>
      </c>
      <c r="AF174" s="52"/>
      <c r="AG174" s="52"/>
      <c r="AH174" s="52"/>
      <c r="AI174" s="52"/>
      <c r="AJ174" s="52"/>
      <c r="AK174" s="52"/>
      <c r="AL174" s="1"/>
      <c r="AM174" s="1"/>
    </row>
    <row r="175" customFormat="false" ht="30" hidden="false" customHeight="true" outlineLevel="0" collapsed="false">
      <c r="B175" s="1"/>
      <c r="C175" s="53" t="s">
        <v>211</v>
      </c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4" t="s">
        <v>212</v>
      </c>
      <c r="AC175" s="54"/>
      <c r="AD175" s="54"/>
      <c r="AE175" s="54"/>
      <c r="AF175" s="54"/>
      <c r="AG175" s="54"/>
      <c r="AH175" s="54"/>
      <c r="AI175" s="54"/>
      <c r="AJ175" s="54"/>
      <c r="AK175" s="54"/>
      <c r="AL175" s="1"/>
      <c r="AM175" s="1"/>
    </row>
    <row r="176" customFormat="false" ht="15.75" hidden="false" customHeight="true" outlineLevel="0" collapsed="false">
      <c r="B176" s="1"/>
      <c r="C176" s="55" t="s">
        <v>213</v>
      </c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customFormat="false" ht="9.75" hidden="false" customHeight="true" outlineLevel="0" collapsed="false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 customFormat="false" ht="3.75" hidden="false" customHeight="true" outlineLevel="0" collapsed="false"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</row>
    <row r="179" customFormat="false" ht="7.5" hidden="false" customHeight="true" outlineLevel="0" collapsed="false"/>
    <row r="180" customFormat="false" ht="13.5" hidden="false" customHeight="true" outlineLevel="0" collapsed="false">
      <c r="B180" s="56" t="s">
        <v>83</v>
      </c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O180" s="56" t="s">
        <v>84</v>
      </c>
      <c r="P180" s="56"/>
      <c r="Q180" s="56"/>
      <c r="R180" s="56"/>
      <c r="S180" s="56"/>
      <c r="T180" s="56"/>
      <c r="U180" s="56"/>
      <c r="V180" s="56"/>
      <c r="X180" s="56" t="s">
        <v>119</v>
      </c>
      <c r="Y180" s="56"/>
      <c r="Z180" s="56"/>
      <c r="AA180" s="56"/>
      <c r="AB180" s="56"/>
      <c r="AC180" s="56"/>
      <c r="AD180" s="56"/>
      <c r="AE180" s="56"/>
      <c r="AG180" s="56" t="s">
        <v>120</v>
      </c>
      <c r="AH180" s="56"/>
      <c r="AI180" s="56"/>
      <c r="AJ180" s="56"/>
      <c r="AK180" s="56"/>
      <c r="AL180" s="56"/>
      <c r="AM180" s="56"/>
    </row>
    <row r="181" customFormat="false" ht="21.75" hidden="false" customHeight="true" outlineLevel="0" collapsed="false">
      <c r="B181" s="57" t="str">
        <f aca="false">Dashboard!$C$6</f>
        <v>Bindhya TB</v>
      </c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O181" s="57" t="str">
        <f aca="false">Dashboard!$C$7</f>
        <v>Tourism &amp; Business</v>
      </c>
      <c r="P181" s="57"/>
      <c r="Q181" s="57"/>
      <c r="R181" s="57"/>
      <c r="S181" s="57"/>
      <c r="T181" s="57"/>
      <c r="U181" s="57"/>
      <c r="V181" s="57"/>
      <c r="X181" s="58" t="n">
        <f aca="false">Cal!$H$6</f>
        <v>46321</v>
      </c>
      <c r="Y181" s="58"/>
      <c r="Z181" s="58"/>
      <c r="AA181" s="58"/>
      <c r="AB181" s="58"/>
      <c r="AC181" s="58"/>
      <c r="AD181" s="58"/>
      <c r="AE181" s="58"/>
      <c r="AG181" s="58" t="n">
        <f aca="false">Cal!$I$6</f>
        <v>46326</v>
      </c>
      <c r="AH181" s="58"/>
      <c r="AI181" s="58"/>
      <c r="AJ181" s="58"/>
      <c r="AK181" s="58"/>
      <c r="AL181" s="58"/>
      <c r="AM181" s="58"/>
    </row>
    <row r="182" customFormat="false" ht="9.75" hidden="false" customHeight="true" outlineLevel="0" collapsed="false"/>
    <row r="183" customFormat="false" ht="21.75" hidden="false" customHeight="true" outlineLevel="0" collapsed="false">
      <c r="B183" s="6"/>
      <c r="C183" s="19" t="s">
        <v>214</v>
      </c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</row>
    <row r="184" customFormat="false" ht="19.5" hidden="false" customHeight="true" outlineLevel="0" collapsed="false">
      <c r="B184" s="60"/>
      <c r="C184" s="61" t="n">
        <v>1</v>
      </c>
      <c r="D184" s="62" t="s">
        <v>215</v>
      </c>
      <c r="E184" s="62"/>
      <c r="F184" s="62"/>
      <c r="G184" s="62"/>
      <c r="H184" s="62"/>
      <c r="I184" s="62"/>
      <c r="J184" s="62"/>
      <c r="K184" s="62"/>
      <c r="L184" s="62"/>
      <c r="M184" s="62"/>
      <c r="O184" s="60"/>
      <c r="P184" s="61" t="n">
        <v>2</v>
      </c>
      <c r="Q184" s="62" t="s">
        <v>216</v>
      </c>
      <c r="R184" s="62"/>
      <c r="S184" s="62"/>
      <c r="T184" s="62"/>
      <c r="U184" s="62"/>
      <c r="V184" s="62"/>
      <c r="W184" s="62"/>
      <c r="X184" s="62"/>
      <c r="Y184" s="62"/>
      <c r="Z184" s="62"/>
      <c r="AB184" s="60"/>
      <c r="AC184" s="61" t="n">
        <v>3</v>
      </c>
      <c r="AD184" s="62" t="s">
        <v>14</v>
      </c>
      <c r="AE184" s="62"/>
      <c r="AF184" s="62"/>
      <c r="AG184" s="62"/>
      <c r="AH184" s="62"/>
      <c r="AI184" s="62"/>
      <c r="AJ184" s="62"/>
      <c r="AK184" s="62"/>
      <c r="AL184" s="62"/>
      <c r="AM184" s="62"/>
    </row>
    <row r="185" customFormat="false" ht="25.5" hidden="false" customHeight="true" outlineLevel="0" collapsed="false">
      <c r="B185" s="63"/>
      <c r="C185" s="97" t="str">
        <f aca="false">IF(OR(Dashboard!$C$9="",Dashboard!$C$10=0),"",Dashboard!$C$9/Dashboard!$C$10*Cal!$J$6)</f>
        <v/>
      </c>
      <c r="D185" s="97"/>
      <c r="E185" s="97"/>
      <c r="F185" s="97"/>
      <c r="G185" s="97"/>
      <c r="H185" s="97"/>
      <c r="I185" s="97"/>
      <c r="J185" s="97"/>
      <c r="K185" s="97"/>
      <c r="L185" s="97"/>
      <c r="M185" s="65"/>
      <c r="O185" s="63"/>
      <c r="P185" s="97" t="n">
        <f aca="false">SUMIFS(Dashboard!$L$74:$L$104,Dashboard!$B$74:$B$104,"&gt;="&amp;Cal!$H$6,Dashboard!$B$74:$B$104,"&lt;="&amp;Cal!$I$6)</f>
        <v>0</v>
      </c>
      <c r="Q185" s="97"/>
      <c r="R185" s="97"/>
      <c r="S185" s="97"/>
      <c r="T185" s="97"/>
      <c r="U185" s="97"/>
      <c r="V185" s="97"/>
      <c r="W185" s="97"/>
      <c r="X185" s="97"/>
      <c r="Y185" s="97"/>
      <c r="Z185" s="65"/>
      <c r="AB185" s="63"/>
      <c r="AC185" s="98" t="str">
        <f aca="false">IF(OR(C185="",P185=""),"",P185/C185)</f>
        <v/>
      </c>
      <c r="AD185" s="98"/>
      <c r="AE185" s="98"/>
      <c r="AF185" s="98"/>
      <c r="AG185" s="98"/>
      <c r="AH185" s="98"/>
      <c r="AI185" s="98"/>
      <c r="AJ185" s="98"/>
      <c r="AK185" s="98"/>
      <c r="AL185" s="98"/>
      <c r="AM185" s="65"/>
    </row>
    <row r="186" customFormat="false" ht="6" hidden="false" customHeight="true" outlineLevel="0" collapsed="false">
      <c r="B186" s="67"/>
      <c r="C186" s="68"/>
      <c r="D186" s="68"/>
      <c r="E186" s="68"/>
      <c r="F186" s="68"/>
      <c r="G186" s="68"/>
      <c r="H186" s="68"/>
      <c r="I186" s="68"/>
      <c r="J186" s="68"/>
      <c r="K186" s="68"/>
      <c r="L186" s="68"/>
      <c r="M186" s="69"/>
      <c r="O186" s="67"/>
      <c r="P186" s="68"/>
      <c r="Q186" s="68"/>
      <c r="R186" s="68"/>
      <c r="S186" s="68"/>
      <c r="T186" s="68"/>
      <c r="U186" s="68"/>
      <c r="V186" s="68"/>
      <c r="W186" s="68"/>
      <c r="X186" s="68"/>
      <c r="Y186" s="68"/>
      <c r="Z186" s="69"/>
      <c r="AB186" s="67"/>
      <c r="AC186" s="68"/>
      <c r="AD186" s="68"/>
      <c r="AE186" s="68"/>
      <c r="AF186" s="68"/>
      <c r="AG186" s="68"/>
      <c r="AH186" s="68"/>
      <c r="AI186" s="68"/>
      <c r="AJ186" s="68"/>
      <c r="AK186" s="68"/>
      <c r="AL186" s="68"/>
      <c r="AM186" s="69"/>
    </row>
    <row r="187" customFormat="false" ht="9.75" hidden="false" customHeight="true" outlineLevel="0" collapsed="false"/>
    <row r="188" customFormat="false" ht="21.75" hidden="false" customHeight="true" outlineLevel="0" collapsed="false">
      <c r="B188" s="6"/>
      <c r="C188" s="19" t="s">
        <v>217</v>
      </c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</row>
    <row r="189" customFormat="false" ht="27.75" hidden="false" customHeight="true" outlineLevel="0" collapsed="false">
      <c r="B189" s="79" t="s">
        <v>124</v>
      </c>
      <c r="C189" s="79"/>
      <c r="D189" s="80" t="s">
        <v>126</v>
      </c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 t="s">
        <v>218</v>
      </c>
      <c r="S189" s="80"/>
      <c r="T189" s="80"/>
      <c r="U189" s="80"/>
      <c r="V189" s="80"/>
      <c r="W189" s="80"/>
      <c r="X189" s="80"/>
      <c r="Y189" s="80"/>
      <c r="Z189" s="80" t="s">
        <v>219</v>
      </c>
      <c r="AA189" s="80"/>
      <c r="AB189" s="80"/>
      <c r="AC189" s="80"/>
      <c r="AD189" s="80"/>
      <c r="AE189" s="80"/>
      <c r="AF189" s="80"/>
      <c r="AG189" s="80"/>
      <c r="AH189" s="80" t="s">
        <v>220</v>
      </c>
      <c r="AI189" s="80"/>
      <c r="AJ189" s="80"/>
      <c r="AK189" s="80"/>
      <c r="AL189" s="80"/>
      <c r="AM189" s="80"/>
    </row>
    <row r="190" customFormat="false" ht="21.75" hidden="false" customHeight="true" outlineLevel="0" collapsed="false">
      <c r="B190" s="81" t="n">
        <v>1</v>
      </c>
      <c r="C190" s="81"/>
      <c r="D190" s="99" t="str">
        <f aca="false">Dashboard!$B$28</f>
        <v>Alshima</v>
      </c>
      <c r="E190" s="99"/>
      <c r="F190" s="99"/>
      <c r="G190" s="99"/>
      <c r="H190" s="99"/>
      <c r="I190" s="99"/>
      <c r="J190" s="99"/>
      <c r="K190" s="99"/>
      <c r="L190" s="99"/>
      <c r="M190" s="99"/>
      <c r="N190" s="99"/>
      <c r="O190" s="99"/>
      <c r="P190" s="99"/>
      <c r="Q190" s="99"/>
      <c r="R190" s="100" t="str">
        <f aca="false">IF(OR(Dashboard!$C$28="",Dashboard!$C$10=0),"",Dashboard!$C$28/Dashboard!$C$10*Cal!$J$6)</f>
        <v/>
      </c>
      <c r="S190" s="100"/>
      <c r="T190" s="100"/>
      <c r="U190" s="100"/>
      <c r="V190" s="100"/>
      <c r="W190" s="100"/>
      <c r="X190" s="100"/>
      <c r="Y190" s="100"/>
      <c r="Z190" s="100" t="n">
        <f aca="false">SUMPRODUCT((Dashboard!$D$73:$K$73=$D190)*(Dashboard!$B$74:$B$104&gt;=Cal!$H$6)*(Dashboard!$B$74:$B$104&lt;=Cal!$I$6)*Dashboard!$D$74:$K$104)</f>
        <v>0</v>
      </c>
      <c r="AA190" s="100"/>
      <c r="AB190" s="100"/>
      <c r="AC190" s="100"/>
      <c r="AD190" s="100"/>
      <c r="AE190" s="100"/>
      <c r="AF190" s="100"/>
      <c r="AG190" s="100"/>
      <c r="AH190" s="101" t="str">
        <f aca="false">IF(OR(R190="",Z190=""),"",Z190/R190)</f>
        <v/>
      </c>
      <c r="AI190" s="101"/>
      <c r="AJ190" s="101"/>
      <c r="AK190" s="101"/>
      <c r="AL190" s="101"/>
      <c r="AM190" s="101"/>
    </row>
    <row r="191" customFormat="false" ht="21.75" hidden="false" customHeight="true" outlineLevel="0" collapsed="false">
      <c r="B191" s="81" t="n">
        <v>2</v>
      </c>
      <c r="C191" s="81"/>
      <c r="D191" s="99" t="str">
        <f aca="false">Dashboard!$B$29</f>
        <v>Chaima</v>
      </c>
      <c r="E191" s="99"/>
      <c r="F191" s="99"/>
      <c r="G191" s="99"/>
      <c r="H191" s="99"/>
      <c r="I191" s="99"/>
      <c r="J191" s="99"/>
      <c r="K191" s="99"/>
      <c r="L191" s="99"/>
      <c r="M191" s="99"/>
      <c r="N191" s="99"/>
      <c r="O191" s="99"/>
      <c r="P191" s="99"/>
      <c r="Q191" s="99"/>
      <c r="R191" s="100" t="str">
        <f aca="false">IF(OR(Dashboard!$C$29="",Dashboard!$C$10=0),"",Dashboard!$C$29/Dashboard!$C$10*Cal!$J$6)</f>
        <v/>
      </c>
      <c r="S191" s="100"/>
      <c r="T191" s="100"/>
      <c r="U191" s="100"/>
      <c r="V191" s="100"/>
      <c r="W191" s="100"/>
      <c r="X191" s="100"/>
      <c r="Y191" s="100"/>
      <c r="Z191" s="100" t="n">
        <f aca="false">SUMPRODUCT((Dashboard!$D$73:$K$73=$D191)*(Dashboard!$B$74:$B$104&gt;=Cal!$H$6)*(Dashboard!$B$74:$B$104&lt;=Cal!$I$6)*Dashboard!$D$74:$K$104)</f>
        <v>0</v>
      </c>
      <c r="AA191" s="100"/>
      <c r="AB191" s="100"/>
      <c r="AC191" s="100"/>
      <c r="AD191" s="100"/>
      <c r="AE191" s="100"/>
      <c r="AF191" s="100"/>
      <c r="AG191" s="100"/>
      <c r="AH191" s="101" t="str">
        <f aca="false">IF(OR(R191="",Z191=""),"",Z191/R191)</f>
        <v/>
      </c>
      <c r="AI191" s="101"/>
      <c r="AJ191" s="101"/>
      <c r="AK191" s="101"/>
      <c r="AL191" s="101"/>
      <c r="AM191" s="101"/>
    </row>
    <row r="192" customFormat="false" ht="21.75" hidden="false" customHeight="true" outlineLevel="0" collapsed="false">
      <c r="B192" s="81" t="n">
        <v>3</v>
      </c>
      <c r="C192" s="81"/>
      <c r="D192" s="99" t="str">
        <f aca="false">Dashboard!$B$30</f>
        <v>Harinder</v>
      </c>
      <c r="E192" s="99"/>
      <c r="F192" s="99"/>
      <c r="G192" s="99"/>
      <c r="H192" s="99"/>
      <c r="I192" s="99"/>
      <c r="J192" s="99"/>
      <c r="K192" s="99"/>
      <c r="L192" s="99"/>
      <c r="M192" s="99"/>
      <c r="N192" s="99"/>
      <c r="O192" s="99"/>
      <c r="P192" s="99"/>
      <c r="Q192" s="99"/>
      <c r="R192" s="100" t="str">
        <f aca="false">IF(OR(Dashboard!$C$30="",Dashboard!$C$10=0),"",Dashboard!$C$30/Dashboard!$C$10*Cal!$J$6)</f>
        <v/>
      </c>
      <c r="S192" s="100"/>
      <c r="T192" s="100"/>
      <c r="U192" s="100"/>
      <c r="V192" s="100"/>
      <c r="W192" s="100"/>
      <c r="X192" s="100"/>
      <c r="Y192" s="100"/>
      <c r="Z192" s="100" t="n">
        <f aca="false">SUMPRODUCT((Dashboard!$D$73:$K$73=$D192)*(Dashboard!$B$74:$B$104&gt;=Cal!$H$6)*(Dashboard!$B$74:$B$104&lt;=Cal!$I$6)*Dashboard!$D$74:$K$104)</f>
        <v>0</v>
      </c>
      <c r="AA192" s="100"/>
      <c r="AB192" s="100"/>
      <c r="AC192" s="100"/>
      <c r="AD192" s="100"/>
      <c r="AE192" s="100"/>
      <c r="AF192" s="100"/>
      <c r="AG192" s="100"/>
      <c r="AH192" s="101" t="str">
        <f aca="false">IF(OR(R192="",Z192=""),"",Z192/R192)</f>
        <v/>
      </c>
      <c r="AI192" s="101"/>
      <c r="AJ192" s="101"/>
      <c r="AK192" s="101"/>
      <c r="AL192" s="101"/>
      <c r="AM192" s="101"/>
    </row>
    <row r="193" customFormat="false" ht="21.75" hidden="false" customHeight="true" outlineLevel="0" collapsed="false">
      <c r="B193" s="81" t="n">
        <v>4</v>
      </c>
      <c r="C193" s="81"/>
      <c r="D193" s="99" t="str">
        <f aca="false">Dashboard!$B$31</f>
        <v>Ibrahim</v>
      </c>
      <c r="E193" s="99"/>
      <c r="F193" s="99"/>
      <c r="G193" s="99"/>
      <c r="H193" s="99"/>
      <c r="I193" s="99"/>
      <c r="J193" s="99"/>
      <c r="K193" s="99"/>
      <c r="L193" s="99"/>
      <c r="M193" s="99"/>
      <c r="N193" s="99"/>
      <c r="O193" s="99"/>
      <c r="P193" s="99"/>
      <c r="Q193" s="99"/>
      <c r="R193" s="100" t="str">
        <f aca="false">IF(OR(Dashboard!$C$31="",Dashboard!$C$10=0),"",Dashboard!$C$31/Dashboard!$C$10*Cal!$J$6)</f>
        <v/>
      </c>
      <c r="S193" s="100"/>
      <c r="T193" s="100"/>
      <c r="U193" s="100"/>
      <c r="V193" s="100"/>
      <c r="W193" s="100"/>
      <c r="X193" s="100"/>
      <c r="Y193" s="100"/>
      <c r="Z193" s="100" t="n">
        <f aca="false">SUMPRODUCT((Dashboard!$D$73:$K$73=$D193)*(Dashboard!$B$74:$B$104&gt;=Cal!$H$6)*(Dashboard!$B$74:$B$104&lt;=Cal!$I$6)*Dashboard!$D$74:$K$104)</f>
        <v>0</v>
      </c>
      <c r="AA193" s="100"/>
      <c r="AB193" s="100"/>
      <c r="AC193" s="100"/>
      <c r="AD193" s="100"/>
      <c r="AE193" s="100"/>
      <c r="AF193" s="100"/>
      <c r="AG193" s="100"/>
      <c r="AH193" s="101" t="str">
        <f aca="false">IF(OR(R193="",Z193=""),"",Z193/R193)</f>
        <v/>
      </c>
      <c r="AI193" s="101"/>
      <c r="AJ193" s="101"/>
      <c r="AK193" s="101"/>
      <c r="AL193" s="101"/>
      <c r="AM193" s="101"/>
    </row>
    <row r="194" customFormat="false" ht="21.75" hidden="false" customHeight="true" outlineLevel="0" collapsed="false">
      <c r="B194" s="81" t="n">
        <v>5</v>
      </c>
      <c r="C194" s="81"/>
      <c r="D194" s="99" t="str">
        <f aca="false">Dashboard!$B$32</f>
        <v>Khozema</v>
      </c>
      <c r="E194" s="99"/>
      <c r="F194" s="99"/>
      <c r="G194" s="99"/>
      <c r="H194" s="99"/>
      <c r="I194" s="99"/>
      <c r="J194" s="99"/>
      <c r="K194" s="99"/>
      <c r="L194" s="99"/>
      <c r="M194" s="99"/>
      <c r="N194" s="99"/>
      <c r="O194" s="99"/>
      <c r="P194" s="99"/>
      <c r="Q194" s="99"/>
      <c r="R194" s="100" t="str">
        <f aca="false">IF(OR(Dashboard!$C$32="",Dashboard!$C$10=0),"",Dashboard!$C$32/Dashboard!$C$10*Cal!$J$6)</f>
        <v/>
      </c>
      <c r="S194" s="100"/>
      <c r="T194" s="100"/>
      <c r="U194" s="100"/>
      <c r="V194" s="100"/>
      <c r="W194" s="100"/>
      <c r="X194" s="100"/>
      <c r="Y194" s="100"/>
      <c r="Z194" s="100" t="n">
        <f aca="false">SUMPRODUCT((Dashboard!$D$73:$K$73=$D194)*(Dashboard!$B$74:$B$104&gt;=Cal!$H$6)*(Dashboard!$B$74:$B$104&lt;=Cal!$I$6)*Dashboard!$D$74:$K$104)</f>
        <v>0</v>
      </c>
      <c r="AA194" s="100"/>
      <c r="AB194" s="100"/>
      <c r="AC194" s="100"/>
      <c r="AD194" s="100"/>
      <c r="AE194" s="100"/>
      <c r="AF194" s="100"/>
      <c r="AG194" s="100"/>
      <c r="AH194" s="101" t="str">
        <f aca="false">IF(OR(R194="",Z194=""),"",Z194/R194)</f>
        <v/>
      </c>
      <c r="AI194" s="101"/>
      <c r="AJ194" s="101"/>
      <c r="AK194" s="101"/>
      <c r="AL194" s="101"/>
      <c r="AM194" s="101"/>
    </row>
    <row r="195" customFormat="false" ht="21.75" hidden="false" customHeight="true" outlineLevel="0" collapsed="false">
      <c r="B195" s="81" t="n">
        <v>6</v>
      </c>
      <c r="C195" s="81"/>
      <c r="D195" s="99" t="str">
        <f aca="false">Dashboard!$B$33</f>
        <v>Layan</v>
      </c>
      <c r="E195" s="99"/>
      <c r="F195" s="99"/>
      <c r="G195" s="99"/>
      <c r="H195" s="99"/>
      <c r="I195" s="99"/>
      <c r="J195" s="99"/>
      <c r="K195" s="99"/>
      <c r="L195" s="99"/>
      <c r="M195" s="99"/>
      <c r="N195" s="99"/>
      <c r="O195" s="99"/>
      <c r="P195" s="99"/>
      <c r="Q195" s="99"/>
      <c r="R195" s="100" t="str">
        <f aca="false">IF(OR(Dashboard!$C$33="",Dashboard!$C$10=0),"",Dashboard!$C$33/Dashboard!$C$10*Cal!$J$6)</f>
        <v/>
      </c>
      <c r="S195" s="100"/>
      <c r="T195" s="100"/>
      <c r="U195" s="100"/>
      <c r="V195" s="100"/>
      <c r="W195" s="100"/>
      <c r="X195" s="100"/>
      <c r="Y195" s="100"/>
      <c r="Z195" s="100" t="n">
        <f aca="false">SUMPRODUCT((Dashboard!$D$73:$K$73=$D195)*(Dashboard!$B$74:$B$104&gt;=Cal!$H$6)*(Dashboard!$B$74:$B$104&lt;=Cal!$I$6)*Dashboard!$D$74:$K$104)</f>
        <v>0</v>
      </c>
      <c r="AA195" s="100"/>
      <c r="AB195" s="100"/>
      <c r="AC195" s="100"/>
      <c r="AD195" s="100"/>
      <c r="AE195" s="100"/>
      <c r="AF195" s="100"/>
      <c r="AG195" s="100"/>
      <c r="AH195" s="101" t="str">
        <f aca="false">IF(OR(R195="",Z195=""),"",Z195/R195)</f>
        <v/>
      </c>
      <c r="AI195" s="101"/>
      <c r="AJ195" s="101"/>
      <c r="AK195" s="101"/>
      <c r="AL195" s="101"/>
      <c r="AM195" s="101"/>
    </row>
    <row r="196" customFormat="false" ht="21.75" hidden="false" customHeight="true" outlineLevel="0" collapsed="false">
      <c r="B196" s="81" t="n">
        <v>7</v>
      </c>
      <c r="C196" s="81"/>
      <c r="D196" s="99" t="str">
        <f aca="false">Dashboard!$B$34</f>
        <v>Rihab</v>
      </c>
      <c r="E196" s="99"/>
      <c r="F196" s="99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100" t="str">
        <f aca="false">IF(OR(Dashboard!$C$34="",Dashboard!$C$10=0),"",Dashboard!$C$34/Dashboard!$C$10*Cal!$J$6)</f>
        <v/>
      </c>
      <c r="S196" s="100"/>
      <c r="T196" s="100"/>
      <c r="U196" s="100"/>
      <c r="V196" s="100"/>
      <c r="W196" s="100"/>
      <c r="X196" s="100"/>
      <c r="Y196" s="100"/>
      <c r="Z196" s="100" t="n">
        <f aca="false">SUMPRODUCT((Dashboard!$D$73:$K$73=$D196)*(Dashboard!$B$74:$B$104&gt;=Cal!$H$6)*(Dashboard!$B$74:$B$104&lt;=Cal!$I$6)*Dashboard!$D$74:$K$104)</f>
        <v>0</v>
      </c>
      <c r="AA196" s="100"/>
      <c r="AB196" s="100"/>
      <c r="AC196" s="100"/>
      <c r="AD196" s="100"/>
      <c r="AE196" s="100"/>
      <c r="AF196" s="100"/>
      <c r="AG196" s="100"/>
      <c r="AH196" s="101" t="str">
        <f aca="false">IF(OR(R196="",Z196=""),"",Z196/R196)</f>
        <v/>
      </c>
      <c r="AI196" s="101"/>
      <c r="AJ196" s="101"/>
      <c r="AK196" s="101"/>
      <c r="AL196" s="101"/>
      <c r="AM196" s="101"/>
    </row>
    <row r="197" customFormat="false" ht="21.75" hidden="false" customHeight="true" outlineLevel="0" collapsed="false">
      <c r="B197" s="81" t="n">
        <v>8</v>
      </c>
      <c r="C197" s="81"/>
      <c r="D197" s="99" t="str">
        <f aca="false">Dashboard!$B$35</f>
        <v>Saha</v>
      </c>
      <c r="E197" s="99"/>
      <c r="F197" s="99"/>
      <c r="G197" s="99"/>
      <c r="H197" s="99"/>
      <c r="I197" s="99"/>
      <c r="J197" s="99"/>
      <c r="K197" s="99"/>
      <c r="L197" s="99"/>
      <c r="M197" s="99"/>
      <c r="N197" s="99"/>
      <c r="O197" s="99"/>
      <c r="P197" s="99"/>
      <c r="Q197" s="99"/>
      <c r="R197" s="100" t="str">
        <f aca="false">IF(OR(Dashboard!$C$35="",Dashboard!$C$10=0),"",Dashboard!$C$35/Dashboard!$C$10*Cal!$J$6)</f>
        <v/>
      </c>
      <c r="S197" s="100"/>
      <c r="T197" s="100"/>
      <c r="U197" s="100"/>
      <c r="V197" s="100"/>
      <c r="W197" s="100"/>
      <c r="X197" s="100"/>
      <c r="Y197" s="100"/>
      <c r="Z197" s="100" t="n">
        <f aca="false">SUMPRODUCT((Dashboard!$D$73:$K$73=$D197)*(Dashboard!$B$74:$B$104&gt;=Cal!$H$6)*(Dashboard!$B$74:$B$104&lt;=Cal!$I$6)*Dashboard!$D$74:$K$104)</f>
        <v>0</v>
      </c>
      <c r="AA197" s="100"/>
      <c r="AB197" s="100"/>
      <c r="AC197" s="100"/>
      <c r="AD197" s="100"/>
      <c r="AE197" s="100"/>
      <c r="AF197" s="100"/>
      <c r="AG197" s="100"/>
      <c r="AH197" s="101" t="str">
        <f aca="false">IF(OR(R197="",Z197=""),"",Z197/R197)</f>
        <v/>
      </c>
      <c r="AI197" s="101"/>
      <c r="AJ197" s="101"/>
      <c r="AK197" s="101"/>
      <c r="AL197" s="101"/>
      <c r="AM197" s="101"/>
    </row>
    <row r="198" customFormat="false" ht="21.75" hidden="false" customHeight="true" outlineLevel="0" collapsed="false">
      <c r="B198" s="81" t="n">
        <v>9</v>
      </c>
      <c r="C198" s="81"/>
      <c r="D198" s="102"/>
      <c r="E198" s="102"/>
      <c r="F198" s="102"/>
      <c r="G198" s="102"/>
      <c r="H198" s="102"/>
      <c r="I198" s="102"/>
      <c r="J198" s="102"/>
      <c r="K198" s="102"/>
      <c r="L198" s="102"/>
      <c r="M198" s="102"/>
      <c r="N198" s="102"/>
      <c r="O198" s="102"/>
      <c r="P198" s="102"/>
      <c r="Q198" s="102"/>
      <c r="R198" s="102"/>
      <c r="S198" s="102"/>
      <c r="T198" s="102"/>
      <c r="U198" s="102"/>
      <c r="V198" s="102"/>
      <c r="W198" s="102"/>
      <c r="X198" s="102"/>
      <c r="Y198" s="102"/>
      <c r="Z198" s="102"/>
      <c r="AA198" s="102"/>
      <c r="AB198" s="102"/>
      <c r="AC198" s="102"/>
      <c r="AD198" s="102"/>
      <c r="AE198" s="102"/>
      <c r="AF198" s="102"/>
      <c r="AG198" s="102"/>
      <c r="AH198" s="102"/>
      <c r="AI198" s="102"/>
      <c r="AJ198" s="102"/>
      <c r="AK198" s="102"/>
      <c r="AL198" s="102"/>
      <c r="AM198" s="102"/>
    </row>
    <row r="199" customFormat="false" ht="9.75" hidden="false" customHeight="true" outlineLevel="0" collapsed="false"/>
    <row r="200" customFormat="false" ht="21.75" hidden="false" customHeight="true" outlineLevel="0" collapsed="false">
      <c r="B200" s="6"/>
      <c r="C200" s="19" t="s">
        <v>221</v>
      </c>
      <c r="D200" s="19"/>
      <c r="E200" s="19"/>
      <c r="F200" s="19"/>
      <c r="G200" s="19"/>
      <c r="H200" s="19"/>
      <c r="I200" s="19"/>
      <c r="J200" s="59" t="s">
        <v>222</v>
      </c>
      <c r="K200" s="59"/>
      <c r="L200" s="59"/>
      <c r="M200" s="59"/>
      <c r="N200" s="59"/>
      <c r="O200" s="59"/>
      <c r="P200" s="59"/>
      <c r="Q200" s="59"/>
      <c r="S200" s="6"/>
      <c r="T200" s="19" t="s">
        <v>223</v>
      </c>
      <c r="U200" s="19"/>
      <c r="V200" s="19"/>
      <c r="W200" s="19"/>
      <c r="X200" s="19"/>
      <c r="Y200" s="19"/>
      <c r="Z200" s="59" t="s">
        <v>224</v>
      </c>
      <c r="AA200" s="59"/>
      <c r="AB200" s="59"/>
      <c r="AC200" s="59"/>
      <c r="AD200" s="59"/>
      <c r="AE200" s="59"/>
      <c r="AF200" s="59"/>
      <c r="AG200" s="59"/>
      <c r="AH200" s="59"/>
      <c r="AI200" s="59"/>
      <c r="AJ200" s="59"/>
      <c r="AK200" s="59"/>
      <c r="AL200" s="59"/>
      <c r="AM200" s="59"/>
    </row>
    <row r="201" customFormat="false" ht="36" hidden="false" customHeight="true" outlineLevel="0" collapsed="false">
      <c r="B201" s="60"/>
      <c r="C201" s="61" t="n">
        <v>4</v>
      </c>
      <c r="D201" s="62" t="s">
        <v>225</v>
      </c>
      <c r="E201" s="62"/>
      <c r="F201" s="62"/>
      <c r="G201" s="62"/>
      <c r="H201" s="62"/>
      <c r="I201" s="62"/>
      <c r="K201" s="60"/>
      <c r="L201" s="61" t="n">
        <v>5</v>
      </c>
      <c r="M201" s="62" t="s">
        <v>226</v>
      </c>
      <c r="N201" s="62"/>
      <c r="O201" s="62"/>
      <c r="P201" s="62"/>
      <c r="Q201" s="62"/>
      <c r="S201" s="60"/>
      <c r="T201" s="61" t="n">
        <v>6</v>
      </c>
      <c r="U201" s="62" t="s">
        <v>227</v>
      </c>
      <c r="V201" s="62"/>
      <c r="W201" s="62"/>
      <c r="X201" s="62"/>
      <c r="Y201" s="62"/>
      <c r="AA201" s="60"/>
      <c r="AB201" s="61" t="n">
        <v>7</v>
      </c>
      <c r="AC201" s="62" t="s">
        <v>228</v>
      </c>
      <c r="AD201" s="62"/>
      <c r="AE201" s="62"/>
      <c r="AF201" s="62"/>
      <c r="AH201" s="60"/>
      <c r="AI201" s="61" t="n">
        <v>8</v>
      </c>
      <c r="AJ201" s="62" t="s">
        <v>229</v>
      </c>
      <c r="AK201" s="62"/>
      <c r="AL201" s="62"/>
      <c r="AM201" s="62"/>
    </row>
    <row r="202" customFormat="false" ht="25.5" hidden="false" customHeight="true" outlineLevel="0" collapsed="false">
      <c r="B202" s="63"/>
      <c r="C202" s="103" t="n">
        <f aca="false">COUNTA('Form 2 Case Log'!D813:D818)</f>
        <v>0</v>
      </c>
      <c r="D202" s="103"/>
      <c r="E202" s="103"/>
      <c r="F202" s="103"/>
      <c r="G202" s="103"/>
      <c r="H202" s="103"/>
      <c r="I202" s="65"/>
      <c r="K202" s="63"/>
      <c r="L202" s="103" t="n">
        <f aca="false">COUNTIFS('Form 2 Case Log'!AV813:AV818,"&gt;"&amp;Cal!$I$6,'Form 2 Case Log'!AV813:AV818,"&lt;="&amp;(Cal!$I$6+7))</f>
        <v>0</v>
      </c>
      <c r="M202" s="103"/>
      <c r="N202" s="103"/>
      <c r="O202" s="103"/>
      <c r="P202" s="103"/>
      <c r="Q202" s="65"/>
      <c r="S202" s="63"/>
      <c r="T202" s="64"/>
      <c r="U202" s="64"/>
      <c r="V202" s="64"/>
      <c r="W202" s="64"/>
      <c r="X202" s="64"/>
      <c r="Y202" s="65"/>
      <c r="AA202" s="63"/>
      <c r="AB202" s="64"/>
      <c r="AC202" s="64"/>
      <c r="AD202" s="64"/>
      <c r="AE202" s="64"/>
      <c r="AF202" s="65"/>
      <c r="AH202" s="63"/>
      <c r="AI202" s="64"/>
      <c r="AJ202" s="64"/>
      <c r="AK202" s="64"/>
      <c r="AL202" s="64"/>
      <c r="AM202" s="65"/>
    </row>
    <row r="203" customFormat="false" ht="6" hidden="false" customHeight="true" outlineLevel="0" collapsed="false">
      <c r="B203" s="67"/>
      <c r="C203" s="68"/>
      <c r="D203" s="68"/>
      <c r="E203" s="68"/>
      <c r="F203" s="68"/>
      <c r="G203" s="68"/>
      <c r="H203" s="68"/>
      <c r="I203" s="69"/>
      <c r="K203" s="67"/>
      <c r="L203" s="68"/>
      <c r="M203" s="68"/>
      <c r="N203" s="68"/>
      <c r="O203" s="68"/>
      <c r="P203" s="68"/>
      <c r="Q203" s="69"/>
      <c r="S203" s="67"/>
      <c r="T203" s="68"/>
      <c r="U203" s="68"/>
      <c r="V203" s="68"/>
      <c r="W203" s="68"/>
      <c r="X203" s="68"/>
      <c r="Y203" s="69"/>
      <c r="AA203" s="67"/>
      <c r="AB203" s="68"/>
      <c r="AC203" s="68"/>
      <c r="AD203" s="68"/>
      <c r="AE203" s="68"/>
      <c r="AF203" s="69"/>
      <c r="AH203" s="67"/>
      <c r="AI203" s="68"/>
      <c r="AJ203" s="68"/>
      <c r="AK203" s="68"/>
      <c r="AL203" s="68"/>
      <c r="AM203" s="69"/>
    </row>
    <row r="204" customFormat="false" ht="9.75" hidden="false" customHeight="true" outlineLevel="0" collapsed="false"/>
    <row r="205" customFormat="false" ht="21.75" hidden="false" customHeight="true" outlineLevel="0" collapsed="false">
      <c r="B205" s="6"/>
      <c r="C205" s="19" t="s">
        <v>230</v>
      </c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</row>
    <row r="206" customFormat="false" ht="24" hidden="false" customHeight="true" outlineLevel="0" collapsed="false">
      <c r="B206" s="104" t="n">
        <v>1</v>
      </c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  <c r="AA206" s="72"/>
      <c r="AB206" s="72"/>
      <c r="AC206" s="72"/>
      <c r="AD206" s="72"/>
      <c r="AE206" s="72"/>
      <c r="AF206" s="72"/>
      <c r="AG206" s="72"/>
      <c r="AH206" s="72"/>
      <c r="AI206" s="72"/>
      <c r="AJ206" s="72"/>
      <c r="AK206" s="72"/>
      <c r="AL206" s="72"/>
      <c r="AM206" s="72"/>
    </row>
    <row r="207" customFormat="false" ht="24" hidden="false" customHeight="true" outlineLevel="0" collapsed="false">
      <c r="B207" s="104" t="n">
        <v>2</v>
      </c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  <c r="AA207" s="72"/>
      <c r="AB207" s="72"/>
      <c r="AC207" s="72"/>
      <c r="AD207" s="72"/>
      <c r="AE207" s="72"/>
      <c r="AF207" s="72"/>
      <c r="AG207" s="72"/>
      <c r="AH207" s="72"/>
      <c r="AI207" s="72"/>
      <c r="AJ207" s="72"/>
      <c r="AK207" s="72"/>
      <c r="AL207" s="72"/>
      <c r="AM207" s="72"/>
    </row>
    <row r="208" customFormat="false" ht="24" hidden="false" customHeight="true" outlineLevel="0" collapsed="false">
      <c r="B208" s="104" t="n">
        <v>3</v>
      </c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  <c r="AA208" s="72"/>
      <c r="AB208" s="72"/>
      <c r="AC208" s="72"/>
      <c r="AD208" s="72"/>
      <c r="AE208" s="72"/>
      <c r="AF208" s="72"/>
      <c r="AG208" s="72"/>
      <c r="AH208" s="72"/>
      <c r="AI208" s="72"/>
      <c r="AJ208" s="72"/>
      <c r="AK208" s="72"/>
      <c r="AL208" s="72"/>
      <c r="AM208" s="72"/>
    </row>
    <row r="209" customFormat="false" ht="9.75" hidden="false" customHeight="true" outlineLevel="0" collapsed="false"/>
    <row r="210" customFormat="false" ht="25.5" hidden="false" customHeight="true" outlineLevel="0" collapsed="false">
      <c r="B210" s="6"/>
      <c r="C210" s="105" t="s">
        <v>231</v>
      </c>
      <c r="D210" s="105"/>
      <c r="E210" s="105"/>
      <c r="F210" s="105"/>
      <c r="G210" s="105"/>
      <c r="H210" s="105"/>
      <c r="I210" s="105"/>
      <c r="J210" s="105"/>
      <c r="K210" s="105"/>
      <c r="L210" s="105"/>
      <c r="M210" s="105"/>
      <c r="N210" s="105"/>
      <c r="O210" s="105"/>
      <c r="P210" s="105"/>
      <c r="Q210" s="105"/>
      <c r="R210" s="105"/>
      <c r="S210" s="105"/>
      <c r="T210" s="105"/>
      <c r="U210" s="105"/>
      <c r="V210" s="105"/>
      <c r="W210" s="105"/>
      <c r="X210" s="105"/>
      <c r="Y210" s="105"/>
      <c r="Z210" s="105"/>
      <c r="AA210" s="105"/>
      <c r="AB210" s="105"/>
      <c r="AC210" s="105"/>
      <c r="AD210" s="105"/>
      <c r="AE210" s="105"/>
      <c r="AF210" s="105"/>
      <c r="AG210" s="105"/>
      <c r="AH210" s="105"/>
      <c r="AI210" s="105"/>
      <c r="AJ210" s="105"/>
      <c r="AK210" s="105"/>
      <c r="AL210" s="105"/>
      <c r="AM210" s="105"/>
    </row>
    <row r="211" customFormat="false" ht="109.5" hidden="false" customHeight="true" outlineLevel="0" collapsed="false"/>
    <row r="212" customFormat="false" ht="6" hidden="false" customHeight="true" outlineLevel="0" collapsed="false"/>
    <row r="213" customFormat="false" ht="19.5" hidden="false" customHeight="true" outlineLevel="0" collapsed="false">
      <c r="B213" s="73" t="s">
        <v>107</v>
      </c>
      <c r="C213" s="73"/>
      <c r="D213" s="73"/>
      <c r="E213" s="73"/>
      <c r="F213" s="73"/>
      <c r="G213" s="73"/>
      <c r="H213" s="73"/>
      <c r="I213" s="73"/>
      <c r="J213" s="73"/>
      <c r="K213" s="73"/>
      <c r="L213" s="74" t="s">
        <v>108</v>
      </c>
      <c r="M213" s="74"/>
      <c r="N213" s="74"/>
      <c r="O213" s="74"/>
      <c r="P213" s="74"/>
      <c r="Q213" s="74"/>
      <c r="R213" s="74"/>
      <c r="S213" s="74"/>
      <c r="U213" s="73" t="s">
        <v>207</v>
      </c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4" t="s">
        <v>108</v>
      </c>
      <c r="AG213" s="74"/>
      <c r="AH213" s="74"/>
      <c r="AI213" s="74"/>
      <c r="AJ213" s="74"/>
      <c r="AK213" s="74"/>
      <c r="AL213" s="74"/>
      <c r="AM213" s="74"/>
    </row>
    <row r="214" customFormat="false" ht="9.75" hidden="false" customHeight="true" outlineLevel="0" collapsed="false"/>
    <row r="215" customFormat="false" ht="18" hidden="false" customHeight="true" outlineLevel="0" collapsed="false">
      <c r="B215" s="75" t="s">
        <v>232</v>
      </c>
      <c r="C215" s="75"/>
      <c r="D215" s="75"/>
      <c r="E215" s="75"/>
      <c r="F215" s="75"/>
      <c r="G215" s="75"/>
      <c r="H215" s="75"/>
      <c r="I215" s="75"/>
      <c r="J215" s="75"/>
      <c r="K215" s="75"/>
      <c r="L215" s="75"/>
      <c r="M215" s="75"/>
      <c r="N215" s="75"/>
      <c r="O215" s="75"/>
      <c r="P215" s="75"/>
      <c r="Q215" s="75"/>
      <c r="R215" s="75"/>
      <c r="S215" s="75"/>
      <c r="T215" s="76" t="s">
        <v>111</v>
      </c>
      <c r="U215" s="76"/>
      <c r="V215" s="76"/>
      <c r="W215" s="76"/>
      <c r="X215" s="76"/>
      <c r="Y215" s="76"/>
      <c r="Z215" s="76"/>
      <c r="AA215" s="76"/>
      <c r="AB215" s="76"/>
      <c r="AC215" s="76"/>
      <c r="AD215" s="76"/>
      <c r="AE215" s="76"/>
      <c r="AF215" s="76"/>
      <c r="AG215" s="76"/>
      <c r="AH215" s="76"/>
      <c r="AI215" s="76"/>
      <c r="AJ215" s="76"/>
      <c r="AK215" s="76"/>
      <c r="AL215" s="76"/>
      <c r="AM215" s="76"/>
    </row>
  </sheetData>
  <sheetProtection sheet="true" formatColumns="false" formatRows="false"/>
  <mergeCells count="480">
    <mergeCell ref="C2:AA2"/>
    <mergeCell ref="AE2:AK2"/>
    <mergeCell ref="C3:AA3"/>
    <mergeCell ref="AB3:AK3"/>
    <mergeCell ref="C4:AA4"/>
    <mergeCell ref="B8:M8"/>
    <mergeCell ref="O8:V8"/>
    <mergeCell ref="X8:AE8"/>
    <mergeCell ref="AG8:AM8"/>
    <mergeCell ref="B9:M9"/>
    <mergeCell ref="O9:V9"/>
    <mergeCell ref="X9:AE9"/>
    <mergeCell ref="AG9:AM9"/>
    <mergeCell ref="C11:AM11"/>
    <mergeCell ref="D12:M12"/>
    <mergeCell ref="Q12:Z12"/>
    <mergeCell ref="AD12:AM12"/>
    <mergeCell ref="C13:L13"/>
    <mergeCell ref="P13:Y13"/>
    <mergeCell ref="AC13:AL13"/>
    <mergeCell ref="C16:AM16"/>
    <mergeCell ref="B17:C17"/>
    <mergeCell ref="D17:Q17"/>
    <mergeCell ref="R17:Y17"/>
    <mergeCell ref="Z17:AG17"/>
    <mergeCell ref="AH17:AM17"/>
    <mergeCell ref="B18:C18"/>
    <mergeCell ref="D18:Q18"/>
    <mergeCell ref="R18:Y18"/>
    <mergeCell ref="Z18:AG18"/>
    <mergeCell ref="AH18:AM18"/>
    <mergeCell ref="B19:C19"/>
    <mergeCell ref="D19:Q19"/>
    <mergeCell ref="R19:Y19"/>
    <mergeCell ref="Z19:AG19"/>
    <mergeCell ref="AH19:AM19"/>
    <mergeCell ref="B20:C20"/>
    <mergeCell ref="D20:Q20"/>
    <mergeCell ref="R20:Y20"/>
    <mergeCell ref="Z20:AG20"/>
    <mergeCell ref="AH20:AM20"/>
    <mergeCell ref="B21:C21"/>
    <mergeCell ref="D21:Q21"/>
    <mergeCell ref="R21:Y21"/>
    <mergeCell ref="Z21:AG21"/>
    <mergeCell ref="AH21:AM21"/>
    <mergeCell ref="B22:C22"/>
    <mergeCell ref="D22:Q22"/>
    <mergeCell ref="R22:Y22"/>
    <mergeCell ref="Z22:AG22"/>
    <mergeCell ref="AH22:AM22"/>
    <mergeCell ref="B23:C23"/>
    <mergeCell ref="D23:Q23"/>
    <mergeCell ref="R23:Y23"/>
    <mergeCell ref="Z23:AG23"/>
    <mergeCell ref="AH23:AM23"/>
    <mergeCell ref="B24:C24"/>
    <mergeCell ref="D24:Q24"/>
    <mergeCell ref="R24:Y24"/>
    <mergeCell ref="Z24:AG24"/>
    <mergeCell ref="AH24:AM24"/>
    <mergeCell ref="B25:C25"/>
    <mergeCell ref="D25:Q25"/>
    <mergeCell ref="R25:Y25"/>
    <mergeCell ref="Z25:AG25"/>
    <mergeCell ref="AH25:AM25"/>
    <mergeCell ref="B26:C26"/>
    <mergeCell ref="D26:Q26"/>
    <mergeCell ref="R26:Y26"/>
    <mergeCell ref="Z26:AG26"/>
    <mergeCell ref="AH26:AM26"/>
    <mergeCell ref="C28:I28"/>
    <mergeCell ref="J28:Q28"/>
    <mergeCell ref="T28:Y28"/>
    <mergeCell ref="Z28:AM28"/>
    <mergeCell ref="D29:I29"/>
    <mergeCell ref="M29:Q29"/>
    <mergeCell ref="U29:Y29"/>
    <mergeCell ref="AC29:AF29"/>
    <mergeCell ref="AJ29:AM29"/>
    <mergeCell ref="C30:H30"/>
    <mergeCell ref="L30:P30"/>
    <mergeCell ref="T30:X30"/>
    <mergeCell ref="AB30:AE30"/>
    <mergeCell ref="AI30:AL30"/>
    <mergeCell ref="C33:AM33"/>
    <mergeCell ref="C34:AM34"/>
    <mergeCell ref="C35:AM35"/>
    <mergeCell ref="C36:AM36"/>
    <mergeCell ref="C38:AM38"/>
    <mergeCell ref="B41:K41"/>
    <mergeCell ref="L41:S41"/>
    <mergeCell ref="U41:AE41"/>
    <mergeCell ref="AF41:AM41"/>
    <mergeCell ref="B43:S43"/>
    <mergeCell ref="T43:AM43"/>
    <mergeCell ref="C45:AA45"/>
    <mergeCell ref="AE45:AK45"/>
    <mergeCell ref="C46:AA46"/>
    <mergeCell ref="AB46:AK46"/>
    <mergeCell ref="C47:AA47"/>
    <mergeCell ref="B51:M51"/>
    <mergeCell ref="O51:V51"/>
    <mergeCell ref="X51:AE51"/>
    <mergeCell ref="AG51:AM51"/>
    <mergeCell ref="B52:M52"/>
    <mergeCell ref="O52:V52"/>
    <mergeCell ref="X52:AE52"/>
    <mergeCell ref="AG52:AM52"/>
    <mergeCell ref="C54:AM54"/>
    <mergeCell ref="D55:M55"/>
    <mergeCell ref="Q55:Z55"/>
    <mergeCell ref="AD55:AM55"/>
    <mergeCell ref="C56:L56"/>
    <mergeCell ref="P56:Y56"/>
    <mergeCell ref="AC56:AL56"/>
    <mergeCell ref="C59:AM59"/>
    <mergeCell ref="B60:C60"/>
    <mergeCell ref="D60:Q60"/>
    <mergeCell ref="R60:Y60"/>
    <mergeCell ref="Z60:AG60"/>
    <mergeCell ref="AH60:AM60"/>
    <mergeCell ref="B61:C61"/>
    <mergeCell ref="D61:Q61"/>
    <mergeCell ref="R61:Y61"/>
    <mergeCell ref="Z61:AG61"/>
    <mergeCell ref="AH61:AM61"/>
    <mergeCell ref="B62:C62"/>
    <mergeCell ref="D62:Q62"/>
    <mergeCell ref="R62:Y62"/>
    <mergeCell ref="Z62:AG62"/>
    <mergeCell ref="AH62:AM62"/>
    <mergeCell ref="B63:C63"/>
    <mergeCell ref="D63:Q63"/>
    <mergeCell ref="R63:Y63"/>
    <mergeCell ref="Z63:AG63"/>
    <mergeCell ref="AH63:AM63"/>
    <mergeCell ref="B64:C64"/>
    <mergeCell ref="D64:Q64"/>
    <mergeCell ref="R64:Y64"/>
    <mergeCell ref="Z64:AG64"/>
    <mergeCell ref="AH64:AM64"/>
    <mergeCell ref="B65:C65"/>
    <mergeCell ref="D65:Q65"/>
    <mergeCell ref="R65:Y65"/>
    <mergeCell ref="Z65:AG65"/>
    <mergeCell ref="AH65:AM65"/>
    <mergeCell ref="B66:C66"/>
    <mergeCell ref="D66:Q66"/>
    <mergeCell ref="R66:Y66"/>
    <mergeCell ref="Z66:AG66"/>
    <mergeCell ref="AH66:AM66"/>
    <mergeCell ref="B67:C67"/>
    <mergeCell ref="D67:Q67"/>
    <mergeCell ref="R67:Y67"/>
    <mergeCell ref="Z67:AG67"/>
    <mergeCell ref="AH67:AM67"/>
    <mergeCell ref="B68:C68"/>
    <mergeCell ref="D68:Q68"/>
    <mergeCell ref="R68:Y68"/>
    <mergeCell ref="Z68:AG68"/>
    <mergeCell ref="AH68:AM68"/>
    <mergeCell ref="B69:C69"/>
    <mergeCell ref="D69:Q69"/>
    <mergeCell ref="R69:Y69"/>
    <mergeCell ref="Z69:AG69"/>
    <mergeCell ref="AH69:AM69"/>
    <mergeCell ref="C71:I71"/>
    <mergeCell ref="J71:Q71"/>
    <mergeCell ref="T71:Y71"/>
    <mergeCell ref="Z71:AM71"/>
    <mergeCell ref="D72:I72"/>
    <mergeCell ref="M72:Q72"/>
    <mergeCell ref="U72:Y72"/>
    <mergeCell ref="AC72:AF72"/>
    <mergeCell ref="AJ72:AM72"/>
    <mergeCell ref="C73:H73"/>
    <mergeCell ref="L73:P73"/>
    <mergeCell ref="T73:X73"/>
    <mergeCell ref="AB73:AE73"/>
    <mergeCell ref="AI73:AL73"/>
    <mergeCell ref="C76:AM76"/>
    <mergeCell ref="C77:AM77"/>
    <mergeCell ref="C78:AM78"/>
    <mergeCell ref="C79:AM79"/>
    <mergeCell ref="C81:AM81"/>
    <mergeCell ref="B84:K84"/>
    <mergeCell ref="L84:S84"/>
    <mergeCell ref="U84:AE84"/>
    <mergeCell ref="AF84:AM84"/>
    <mergeCell ref="B86:S86"/>
    <mergeCell ref="T86:AM86"/>
    <mergeCell ref="C88:AA88"/>
    <mergeCell ref="AE88:AK88"/>
    <mergeCell ref="C89:AA89"/>
    <mergeCell ref="AB89:AK89"/>
    <mergeCell ref="C90:AA90"/>
    <mergeCell ref="B94:M94"/>
    <mergeCell ref="O94:V94"/>
    <mergeCell ref="X94:AE94"/>
    <mergeCell ref="AG94:AM94"/>
    <mergeCell ref="B95:M95"/>
    <mergeCell ref="O95:V95"/>
    <mergeCell ref="X95:AE95"/>
    <mergeCell ref="AG95:AM95"/>
    <mergeCell ref="C97:AM97"/>
    <mergeCell ref="D98:M98"/>
    <mergeCell ref="Q98:Z98"/>
    <mergeCell ref="AD98:AM98"/>
    <mergeCell ref="C99:L99"/>
    <mergeCell ref="P99:Y99"/>
    <mergeCell ref="AC99:AL99"/>
    <mergeCell ref="C102:AM102"/>
    <mergeCell ref="B103:C103"/>
    <mergeCell ref="D103:Q103"/>
    <mergeCell ref="R103:Y103"/>
    <mergeCell ref="Z103:AG103"/>
    <mergeCell ref="AH103:AM103"/>
    <mergeCell ref="B104:C104"/>
    <mergeCell ref="D104:Q104"/>
    <mergeCell ref="R104:Y104"/>
    <mergeCell ref="Z104:AG104"/>
    <mergeCell ref="AH104:AM104"/>
    <mergeCell ref="B105:C105"/>
    <mergeCell ref="D105:Q105"/>
    <mergeCell ref="R105:Y105"/>
    <mergeCell ref="Z105:AG105"/>
    <mergeCell ref="AH105:AM105"/>
    <mergeCell ref="B106:C106"/>
    <mergeCell ref="D106:Q106"/>
    <mergeCell ref="R106:Y106"/>
    <mergeCell ref="Z106:AG106"/>
    <mergeCell ref="AH106:AM106"/>
    <mergeCell ref="B107:C107"/>
    <mergeCell ref="D107:Q107"/>
    <mergeCell ref="R107:Y107"/>
    <mergeCell ref="Z107:AG107"/>
    <mergeCell ref="AH107:AM107"/>
    <mergeCell ref="B108:C108"/>
    <mergeCell ref="D108:Q108"/>
    <mergeCell ref="R108:Y108"/>
    <mergeCell ref="Z108:AG108"/>
    <mergeCell ref="AH108:AM108"/>
    <mergeCell ref="B109:C109"/>
    <mergeCell ref="D109:Q109"/>
    <mergeCell ref="R109:Y109"/>
    <mergeCell ref="Z109:AG109"/>
    <mergeCell ref="AH109:AM109"/>
    <mergeCell ref="B110:C110"/>
    <mergeCell ref="D110:Q110"/>
    <mergeCell ref="R110:Y110"/>
    <mergeCell ref="Z110:AG110"/>
    <mergeCell ref="AH110:AM110"/>
    <mergeCell ref="B111:C111"/>
    <mergeCell ref="D111:Q111"/>
    <mergeCell ref="R111:Y111"/>
    <mergeCell ref="Z111:AG111"/>
    <mergeCell ref="AH111:AM111"/>
    <mergeCell ref="B112:C112"/>
    <mergeCell ref="D112:Q112"/>
    <mergeCell ref="R112:Y112"/>
    <mergeCell ref="Z112:AG112"/>
    <mergeCell ref="AH112:AM112"/>
    <mergeCell ref="C114:I114"/>
    <mergeCell ref="J114:Q114"/>
    <mergeCell ref="T114:Y114"/>
    <mergeCell ref="Z114:AM114"/>
    <mergeCell ref="D115:I115"/>
    <mergeCell ref="M115:Q115"/>
    <mergeCell ref="U115:Y115"/>
    <mergeCell ref="AC115:AF115"/>
    <mergeCell ref="AJ115:AM115"/>
    <mergeCell ref="C116:H116"/>
    <mergeCell ref="L116:P116"/>
    <mergeCell ref="T116:X116"/>
    <mergeCell ref="AB116:AE116"/>
    <mergeCell ref="AI116:AL116"/>
    <mergeCell ref="C119:AM119"/>
    <mergeCell ref="C120:AM120"/>
    <mergeCell ref="C121:AM121"/>
    <mergeCell ref="C122:AM122"/>
    <mergeCell ref="C124:AM124"/>
    <mergeCell ref="B127:K127"/>
    <mergeCell ref="L127:S127"/>
    <mergeCell ref="U127:AE127"/>
    <mergeCell ref="AF127:AM127"/>
    <mergeCell ref="B129:S129"/>
    <mergeCell ref="T129:AM129"/>
    <mergeCell ref="C131:AA131"/>
    <mergeCell ref="AE131:AK131"/>
    <mergeCell ref="C132:AA132"/>
    <mergeCell ref="AB132:AK132"/>
    <mergeCell ref="C133:AA133"/>
    <mergeCell ref="B137:M137"/>
    <mergeCell ref="O137:V137"/>
    <mergeCell ref="X137:AE137"/>
    <mergeCell ref="AG137:AM137"/>
    <mergeCell ref="B138:M138"/>
    <mergeCell ref="O138:V138"/>
    <mergeCell ref="X138:AE138"/>
    <mergeCell ref="AG138:AM138"/>
    <mergeCell ref="C140:AM140"/>
    <mergeCell ref="D141:M141"/>
    <mergeCell ref="Q141:Z141"/>
    <mergeCell ref="AD141:AM141"/>
    <mergeCell ref="C142:L142"/>
    <mergeCell ref="P142:Y142"/>
    <mergeCell ref="AC142:AL142"/>
    <mergeCell ref="C145:AM145"/>
    <mergeCell ref="B146:C146"/>
    <mergeCell ref="D146:Q146"/>
    <mergeCell ref="R146:Y146"/>
    <mergeCell ref="Z146:AG146"/>
    <mergeCell ref="AH146:AM146"/>
    <mergeCell ref="B147:C147"/>
    <mergeCell ref="D147:Q147"/>
    <mergeCell ref="R147:Y147"/>
    <mergeCell ref="Z147:AG147"/>
    <mergeCell ref="AH147:AM147"/>
    <mergeCell ref="B148:C148"/>
    <mergeCell ref="D148:Q148"/>
    <mergeCell ref="R148:Y148"/>
    <mergeCell ref="Z148:AG148"/>
    <mergeCell ref="AH148:AM148"/>
    <mergeCell ref="B149:C149"/>
    <mergeCell ref="D149:Q149"/>
    <mergeCell ref="R149:Y149"/>
    <mergeCell ref="Z149:AG149"/>
    <mergeCell ref="AH149:AM149"/>
    <mergeCell ref="B150:C150"/>
    <mergeCell ref="D150:Q150"/>
    <mergeCell ref="R150:Y150"/>
    <mergeCell ref="Z150:AG150"/>
    <mergeCell ref="AH150:AM150"/>
    <mergeCell ref="B151:C151"/>
    <mergeCell ref="D151:Q151"/>
    <mergeCell ref="R151:Y151"/>
    <mergeCell ref="Z151:AG151"/>
    <mergeCell ref="AH151:AM151"/>
    <mergeCell ref="B152:C152"/>
    <mergeCell ref="D152:Q152"/>
    <mergeCell ref="R152:Y152"/>
    <mergeCell ref="Z152:AG152"/>
    <mergeCell ref="AH152:AM152"/>
    <mergeCell ref="B153:C153"/>
    <mergeCell ref="D153:Q153"/>
    <mergeCell ref="R153:Y153"/>
    <mergeCell ref="Z153:AG153"/>
    <mergeCell ref="AH153:AM153"/>
    <mergeCell ref="B154:C154"/>
    <mergeCell ref="D154:Q154"/>
    <mergeCell ref="R154:Y154"/>
    <mergeCell ref="Z154:AG154"/>
    <mergeCell ref="AH154:AM154"/>
    <mergeCell ref="B155:C155"/>
    <mergeCell ref="D155:Q155"/>
    <mergeCell ref="R155:Y155"/>
    <mergeCell ref="Z155:AG155"/>
    <mergeCell ref="AH155:AM155"/>
    <mergeCell ref="C157:I157"/>
    <mergeCell ref="J157:Q157"/>
    <mergeCell ref="T157:Y157"/>
    <mergeCell ref="Z157:AM157"/>
    <mergeCell ref="D158:I158"/>
    <mergeCell ref="M158:Q158"/>
    <mergeCell ref="U158:Y158"/>
    <mergeCell ref="AC158:AF158"/>
    <mergeCell ref="AJ158:AM158"/>
    <mergeCell ref="C159:H159"/>
    <mergeCell ref="L159:P159"/>
    <mergeCell ref="T159:X159"/>
    <mergeCell ref="AB159:AE159"/>
    <mergeCell ref="AI159:AL159"/>
    <mergeCell ref="C162:AM162"/>
    <mergeCell ref="C163:AM163"/>
    <mergeCell ref="C164:AM164"/>
    <mergeCell ref="C165:AM165"/>
    <mergeCell ref="C167:AM167"/>
    <mergeCell ref="B170:K170"/>
    <mergeCell ref="L170:S170"/>
    <mergeCell ref="U170:AE170"/>
    <mergeCell ref="AF170:AM170"/>
    <mergeCell ref="B172:S172"/>
    <mergeCell ref="T172:AM172"/>
    <mergeCell ref="C174:AA174"/>
    <mergeCell ref="AE174:AK174"/>
    <mergeCell ref="C175:AA175"/>
    <mergeCell ref="AB175:AK175"/>
    <mergeCell ref="C176:AA176"/>
    <mergeCell ref="B180:M180"/>
    <mergeCell ref="O180:V180"/>
    <mergeCell ref="X180:AE180"/>
    <mergeCell ref="AG180:AM180"/>
    <mergeCell ref="B181:M181"/>
    <mergeCell ref="O181:V181"/>
    <mergeCell ref="X181:AE181"/>
    <mergeCell ref="AG181:AM181"/>
    <mergeCell ref="C183:AM183"/>
    <mergeCell ref="D184:M184"/>
    <mergeCell ref="Q184:Z184"/>
    <mergeCell ref="AD184:AM184"/>
    <mergeCell ref="C185:L185"/>
    <mergeCell ref="P185:Y185"/>
    <mergeCell ref="AC185:AL185"/>
    <mergeCell ref="C188:AM188"/>
    <mergeCell ref="B189:C189"/>
    <mergeCell ref="D189:Q189"/>
    <mergeCell ref="R189:Y189"/>
    <mergeCell ref="Z189:AG189"/>
    <mergeCell ref="AH189:AM189"/>
    <mergeCell ref="B190:C190"/>
    <mergeCell ref="D190:Q190"/>
    <mergeCell ref="R190:Y190"/>
    <mergeCell ref="Z190:AG190"/>
    <mergeCell ref="AH190:AM190"/>
    <mergeCell ref="B191:C191"/>
    <mergeCell ref="D191:Q191"/>
    <mergeCell ref="R191:Y191"/>
    <mergeCell ref="Z191:AG191"/>
    <mergeCell ref="AH191:AM191"/>
    <mergeCell ref="B192:C192"/>
    <mergeCell ref="D192:Q192"/>
    <mergeCell ref="R192:Y192"/>
    <mergeCell ref="Z192:AG192"/>
    <mergeCell ref="AH192:AM192"/>
    <mergeCell ref="B193:C193"/>
    <mergeCell ref="D193:Q193"/>
    <mergeCell ref="R193:Y193"/>
    <mergeCell ref="Z193:AG193"/>
    <mergeCell ref="AH193:AM193"/>
    <mergeCell ref="B194:C194"/>
    <mergeCell ref="D194:Q194"/>
    <mergeCell ref="R194:Y194"/>
    <mergeCell ref="Z194:AG194"/>
    <mergeCell ref="AH194:AM194"/>
    <mergeCell ref="B195:C195"/>
    <mergeCell ref="D195:Q195"/>
    <mergeCell ref="R195:Y195"/>
    <mergeCell ref="Z195:AG195"/>
    <mergeCell ref="AH195:AM195"/>
    <mergeCell ref="B196:C196"/>
    <mergeCell ref="D196:Q196"/>
    <mergeCell ref="R196:Y196"/>
    <mergeCell ref="Z196:AG196"/>
    <mergeCell ref="AH196:AM196"/>
    <mergeCell ref="B197:C197"/>
    <mergeCell ref="D197:Q197"/>
    <mergeCell ref="R197:Y197"/>
    <mergeCell ref="Z197:AG197"/>
    <mergeCell ref="AH197:AM197"/>
    <mergeCell ref="B198:C198"/>
    <mergeCell ref="D198:Q198"/>
    <mergeCell ref="R198:Y198"/>
    <mergeCell ref="Z198:AG198"/>
    <mergeCell ref="AH198:AM198"/>
    <mergeCell ref="C200:I200"/>
    <mergeCell ref="J200:Q200"/>
    <mergeCell ref="T200:Y200"/>
    <mergeCell ref="Z200:AM200"/>
    <mergeCell ref="D201:I201"/>
    <mergeCell ref="M201:Q201"/>
    <mergeCell ref="U201:Y201"/>
    <mergeCell ref="AC201:AF201"/>
    <mergeCell ref="AJ201:AM201"/>
    <mergeCell ref="C202:H202"/>
    <mergeCell ref="L202:P202"/>
    <mergeCell ref="T202:X202"/>
    <mergeCell ref="AB202:AE202"/>
    <mergeCell ref="AI202:AL202"/>
    <mergeCell ref="C205:AM205"/>
    <mergeCell ref="C206:AM206"/>
    <mergeCell ref="C207:AM207"/>
    <mergeCell ref="C208:AM208"/>
    <mergeCell ref="C210:AM210"/>
    <mergeCell ref="B213:K213"/>
    <mergeCell ref="L213:S213"/>
    <mergeCell ref="U213:AE213"/>
    <mergeCell ref="AF213:AM213"/>
    <mergeCell ref="B215:S215"/>
    <mergeCell ref="T215:AM215"/>
  </mergeCells>
  <printOptions headings="false" gridLines="false" gridLinesSet="true" horizontalCentered="true" verticalCentered="false"/>
  <pageMargins left="0.3" right="0.3" top="0.3" bottom="0.3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43" man="true" max="16383" min="0"/>
    <brk id="86" man="true" max="16383" min="0"/>
    <brk id="129" man="true" max="16383" min="0"/>
    <brk id="172" man="true" max="16383" min="0"/>
    <brk id="215" man="true" max="16383" min="0"/>
  </row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AM3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2"/>
    <col collapsed="false" customWidth="true" hidden="false" outlineLevel="0" max="39" min="2" style="0" width="2.3"/>
    <col collapsed="false" customWidth="true" hidden="false" outlineLevel="0" max="40" min="40" style="0" width="1.2"/>
  </cols>
  <sheetData>
    <row r="1" customFormat="false" ht="7.5" hidden="false" customHeight="true" outlineLevel="0" collapsed="false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customFormat="false" ht="19.5" hidden="false" customHeight="true" outlineLevel="0" collapsed="false">
      <c r="B2" s="1"/>
      <c r="C2" s="51" t="s">
        <v>233</v>
      </c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1"/>
      <c r="AC2" s="1"/>
      <c r="AD2" s="1"/>
      <c r="AE2" s="52" t="s">
        <v>234</v>
      </c>
      <c r="AF2" s="52"/>
      <c r="AG2" s="52"/>
      <c r="AH2" s="52"/>
      <c r="AI2" s="52"/>
      <c r="AJ2" s="52"/>
      <c r="AK2" s="52"/>
      <c r="AL2" s="1"/>
      <c r="AM2" s="1"/>
    </row>
    <row r="3" customFormat="false" ht="30" hidden="false" customHeight="true" outlineLevel="0" collapsed="false">
      <c r="B3" s="1"/>
      <c r="C3" s="53" t="s">
        <v>235</v>
      </c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4" t="s">
        <v>236</v>
      </c>
      <c r="AC3" s="54"/>
      <c r="AD3" s="54"/>
      <c r="AE3" s="54"/>
      <c r="AF3" s="54"/>
      <c r="AG3" s="54"/>
      <c r="AH3" s="54"/>
      <c r="AI3" s="54"/>
      <c r="AJ3" s="54"/>
      <c r="AK3" s="54"/>
      <c r="AL3" s="1"/>
      <c r="AM3" s="1"/>
    </row>
    <row r="4" customFormat="false" ht="15.75" hidden="false" customHeight="true" outlineLevel="0" collapsed="false">
      <c r="B4" s="1"/>
      <c r="C4" s="55" t="s">
        <v>237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customFormat="false" ht="9.75" hidden="false" customHeight="true" outlineLevel="0" collapsed="false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customFormat="false" ht="3.75" hidden="false" customHeight="true" outlineLevel="0" collapsed="false"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</row>
    <row r="7" customFormat="false" ht="7.5" hidden="false" customHeight="true" outlineLevel="0" collapsed="false"/>
    <row r="8" customFormat="false" ht="13.5" hidden="false" customHeight="true" outlineLevel="0" collapsed="false">
      <c r="B8" s="56" t="s">
        <v>238</v>
      </c>
      <c r="C8" s="56"/>
      <c r="D8" s="56"/>
      <c r="E8" s="56"/>
      <c r="F8" s="56"/>
      <c r="G8" s="56"/>
      <c r="H8" s="56"/>
      <c r="I8" s="56"/>
      <c r="J8" s="56"/>
      <c r="K8" s="56"/>
      <c r="M8" s="56" t="s">
        <v>136</v>
      </c>
      <c r="N8" s="56"/>
      <c r="O8" s="56"/>
      <c r="P8" s="56"/>
      <c r="Q8" s="56"/>
      <c r="R8" s="56"/>
      <c r="S8" s="56"/>
      <c r="T8" s="56"/>
      <c r="U8" s="56"/>
      <c r="V8" s="56"/>
      <c r="X8" s="56" t="s">
        <v>239</v>
      </c>
      <c r="Y8" s="56"/>
      <c r="Z8" s="56"/>
      <c r="AA8" s="56"/>
      <c r="AB8" s="56"/>
      <c r="AC8" s="56"/>
      <c r="AD8" s="56"/>
      <c r="AE8" s="56"/>
      <c r="AG8" s="56" t="s">
        <v>240</v>
      </c>
      <c r="AH8" s="56"/>
      <c r="AI8" s="56"/>
      <c r="AJ8" s="56"/>
      <c r="AK8" s="56"/>
      <c r="AL8" s="56"/>
      <c r="AM8" s="56"/>
    </row>
    <row r="9" customFormat="false" ht="21.75" hidden="false" customHeight="true" outlineLevel="0" collapsed="false">
      <c r="B9" s="57" t="str">
        <f aca="false">Dashboard!$B$28</f>
        <v>Alshima</v>
      </c>
      <c r="C9" s="57"/>
      <c r="D9" s="57"/>
      <c r="E9" s="57"/>
      <c r="F9" s="57"/>
      <c r="G9" s="57"/>
      <c r="H9" s="57"/>
      <c r="I9" s="57"/>
      <c r="J9" s="57"/>
      <c r="K9" s="57"/>
      <c r="M9" s="57" t="str">
        <f aca="false">Dashboard!$C$6</f>
        <v>Bindhya TB</v>
      </c>
      <c r="N9" s="57"/>
      <c r="O9" s="57"/>
      <c r="P9" s="57"/>
      <c r="Q9" s="57"/>
      <c r="R9" s="57"/>
      <c r="S9" s="57"/>
      <c r="T9" s="57"/>
      <c r="U9" s="57"/>
      <c r="V9" s="57"/>
      <c r="X9" s="57" t="str">
        <f aca="false">TEXT(Dashboard!$C$8,"mmmm yyyy")</f>
        <v>October 2026</v>
      </c>
      <c r="Y9" s="57"/>
      <c r="Z9" s="57"/>
      <c r="AA9" s="57"/>
      <c r="AB9" s="57"/>
      <c r="AC9" s="57"/>
      <c r="AD9" s="57"/>
      <c r="AE9" s="57"/>
      <c r="AG9" s="106"/>
      <c r="AH9" s="106"/>
      <c r="AI9" s="106"/>
      <c r="AJ9" s="106"/>
      <c r="AK9" s="106"/>
      <c r="AL9" s="106"/>
      <c r="AM9" s="106"/>
    </row>
    <row r="10" customFormat="false" ht="9.75" hidden="false" customHeight="true" outlineLevel="0" collapsed="false"/>
    <row r="11" customFormat="false" ht="21.75" hidden="false" customHeight="true" outlineLevel="0" collapsed="false">
      <c r="B11" s="6"/>
      <c r="C11" s="19" t="s">
        <v>241</v>
      </c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</row>
    <row r="12" customFormat="false" ht="27.75" hidden="false" customHeight="true" outlineLevel="0" collapsed="false">
      <c r="B12" s="60"/>
      <c r="C12" s="61" t="n">
        <v>1</v>
      </c>
      <c r="D12" s="62" t="s">
        <v>242</v>
      </c>
      <c r="E12" s="62"/>
      <c r="F12" s="62"/>
      <c r="G12" s="62"/>
      <c r="H12" s="62"/>
      <c r="I12" s="62"/>
      <c r="J12" s="62"/>
      <c r="L12" s="60"/>
      <c r="M12" s="61" t="n">
        <v>2</v>
      </c>
      <c r="N12" s="62" t="s">
        <v>13</v>
      </c>
      <c r="O12" s="62"/>
      <c r="P12" s="62"/>
      <c r="Q12" s="62"/>
      <c r="R12" s="62"/>
      <c r="S12" s="62"/>
      <c r="T12" s="62"/>
      <c r="V12" s="60"/>
      <c r="W12" s="61" t="n">
        <v>3</v>
      </c>
      <c r="X12" s="62" t="s">
        <v>243</v>
      </c>
      <c r="Y12" s="62"/>
      <c r="Z12" s="62"/>
      <c r="AA12" s="62"/>
      <c r="AB12" s="62"/>
      <c r="AC12" s="62"/>
      <c r="AD12" s="62"/>
      <c r="AF12" s="60"/>
      <c r="AG12" s="61" t="n">
        <v>4</v>
      </c>
      <c r="AH12" s="62" t="s">
        <v>244</v>
      </c>
      <c r="AI12" s="62"/>
      <c r="AJ12" s="62"/>
      <c r="AK12" s="62"/>
      <c r="AL12" s="62"/>
      <c r="AM12" s="62"/>
    </row>
    <row r="13" customFormat="false" ht="25.5" hidden="false" customHeight="true" outlineLevel="0" collapsed="false">
      <c r="B13" s="63"/>
      <c r="C13" s="97" t="str">
        <f aca="false">IF(Dashboard!$C$28="","",Dashboard!$C$28)</f>
        <v/>
      </c>
      <c r="D13" s="97"/>
      <c r="E13" s="97"/>
      <c r="F13" s="97"/>
      <c r="G13" s="97"/>
      <c r="H13" s="97"/>
      <c r="I13" s="97"/>
      <c r="J13" s="65"/>
      <c r="L13" s="63"/>
      <c r="M13" s="97" t="n">
        <f aca="false">Dashboard!$D$28</f>
        <v>0</v>
      </c>
      <c r="N13" s="97"/>
      <c r="O13" s="97"/>
      <c r="P13" s="97"/>
      <c r="Q13" s="97"/>
      <c r="R13" s="97"/>
      <c r="S13" s="97"/>
      <c r="T13" s="65"/>
      <c r="V13" s="63"/>
      <c r="W13" s="107" t="str">
        <f aca="false">IF(C13="","☐ Yes        ☐ No",IF(M13&gt;=C13,"☑ Yes        ☐ No","☐ Yes        ☑ No"))</f>
        <v>☐ Yes        ☐ No</v>
      </c>
      <c r="X13" s="107"/>
      <c r="Y13" s="107"/>
      <c r="Z13" s="107"/>
      <c r="AA13" s="107"/>
      <c r="AB13" s="107"/>
      <c r="AC13" s="107"/>
      <c r="AD13" s="65"/>
      <c r="AF13" s="63"/>
      <c r="AG13" s="108"/>
      <c r="AH13" s="108"/>
      <c r="AI13" s="108"/>
      <c r="AJ13" s="108"/>
      <c r="AK13" s="108"/>
      <c r="AL13" s="108"/>
      <c r="AM13" s="65"/>
    </row>
    <row r="14" customFormat="false" ht="6" hidden="false" customHeight="true" outlineLevel="0" collapsed="false">
      <c r="B14" s="67"/>
      <c r="C14" s="68"/>
      <c r="D14" s="68"/>
      <c r="E14" s="68"/>
      <c r="F14" s="68"/>
      <c r="G14" s="68"/>
      <c r="H14" s="68"/>
      <c r="I14" s="68"/>
      <c r="J14" s="69"/>
      <c r="L14" s="67"/>
      <c r="M14" s="68"/>
      <c r="N14" s="68"/>
      <c r="O14" s="68"/>
      <c r="P14" s="68"/>
      <c r="Q14" s="68"/>
      <c r="R14" s="68"/>
      <c r="S14" s="68"/>
      <c r="T14" s="69"/>
      <c r="V14" s="67"/>
      <c r="W14" s="68"/>
      <c r="X14" s="68"/>
      <c r="Y14" s="68"/>
      <c r="Z14" s="68"/>
      <c r="AA14" s="68"/>
      <c r="AB14" s="68"/>
      <c r="AC14" s="68"/>
      <c r="AD14" s="69"/>
      <c r="AF14" s="67"/>
      <c r="AG14" s="68"/>
      <c r="AH14" s="68"/>
      <c r="AI14" s="68"/>
      <c r="AJ14" s="68"/>
      <c r="AK14" s="68"/>
      <c r="AL14" s="68"/>
      <c r="AM14" s="69"/>
    </row>
    <row r="15" customFormat="false" ht="7.5" hidden="false" customHeight="true" outlineLevel="0" collapsed="false"/>
    <row r="16" customFormat="false" ht="21.75" hidden="false" customHeight="true" outlineLevel="0" collapsed="false">
      <c r="B16" s="109" t="n">
        <v>5</v>
      </c>
      <c r="D16" s="110" t="s">
        <v>245</v>
      </c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1" t="s">
        <v>246</v>
      </c>
      <c r="Z16" s="111"/>
      <c r="AA16" s="111"/>
      <c r="AB16" s="111"/>
      <c r="AC16" s="111"/>
      <c r="AD16" s="111"/>
    </row>
    <row r="17" customFormat="false" ht="19.5" hidden="false" customHeight="true" outlineLevel="0" collapsed="false">
      <c r="B17" s="112" t="s">
        <v>247</v>
      </c>
      <c r="C17" s="113" t="s">
        <v>248</v>
      </c>
      <c r="D17" s="113"/>
      <c r="E17" s="113"/>
      <c r="F17" s="113"/>
      <c r="G17" s="113"/>
      <c r="H17" s="113"/>
      <c r="I17" s="113"/>
      <c r="J17" s="112" t="s">
        <v>247</v>
      </c>
      <c r="K17" s="113" t="s">
        <v>249</v>
      </c>
      <c r="L17" s="113"/>
      <c r="M17" s="113"/>
      <c r="N17" s="113"/>
      <c r="O17" s="113"/>
      <c r="P17" s="113"/>
      <c r="Q17" s="113"/>
      <c r="R17" s="112" t="s">
        <v>247</v>
      </c>
      <c r="S17" s="113" t="s">
        <v>250</v>
      </c>
      <c r="T17" s="113"/>
      <c r="U17" s="113"/>
      <c r="V17" s="113"/>
      <c r="W17" s="113"/>
      <c r="X17" s="113"/>
      <c r="Y17" s="112" t="s">
        <v>247</v>
      </c>
      <c r="Z17" s="113" t="s">
        <v>251</v>
      </c>
      <c r="AA17" s="113"/>
      <c r="AB17" s="113"/>
      <c r="AC17" s="113"/>
      <c r="AD17" s="113"/>
      <c r="AE17" s="113"/>
      <c r="AF17" s="112" t="s">
        <v>247</v>
      </c>
      <c r="AG17" s="113" t="s">
        <v>252</v>
      </c>
      <c r="AH17" s="113"/>
      <c r="AI17" s="113"/>
      <c r="AJ17" s="113"/>
      <c r="AK17" s="113"/>
      <c r="AL17" s="113"/>
      <c r="AM17" s="113"/>
    </row>
    <row r="18" customFormat="false" ht="19.5" hidden="false" customHeight="true" outlineLevel="0" collapsed="false">
      <c r="B18" s="112" t="s">
        <v>247</v>
      </c>
      <c r="C18" s="113" t="s">
        <v>253</v>
      </c>
      <c r="D18" s="113"/>
      <c r="E18" s="113"/>
      <c r="F18" s="113"/>
      <c r="G18" s="114"/>
      <c r="H18" s="114"/>
      <c r="I18" s="114"/>
      <c r="J18" s="114"/>
      <c r="K18" s="114"/>
      <c r="L18" s="114"/>
      <c r="M18" s="114"/>
      <c r="N18" s="114"/>
      <c r="O18" s="114"/>
      <c r="P18" s="114"/>
    </row>
    <row r="19" customFormat="false" ht="9.75" hidden="false" customHeight="true" outlineLevel="0" collapsed="false"/>
    <row r="20" customFormat="false" ht="21.75" hidden="false" customHeight="true" outlineLevel="0" collapsed="false">
      <c r="B20" s="6"/>
      <c r="C20" s="19" t="s">
        <v>254</v>
      </c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59" t="s">
        <v>255</v>
      </c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  <c r="AF20" s="59"/>
      <c r="AG20" s="59"/>
      <c r="AH20" s="59"/>
      <c r="AI20" s="59"/>
      <c r="AJ20" s="59"/>
      <c r="AK20" s="59"/>
      <c r="AL20" s="59"/>
      <c r="AM20" s="59"/>
    </row>
    <row r="21" customFormat="false" ht="24" hidden="false" customHeight="true" outlineLevel="0" collapsed="false">
      <c r="B21" s="115" t="n">
        <v>1</v>
      </c>
      <c r="C21" s="115"/>
      <c r="D21" s="115"/>
      <c r="E21" s="115"/>
      <c r="F21" s="116" t="n">
        <v>2</v>
      </c>
      <c r="G21" s="116"/>
      <c r="H21" s="116"/>
      <c r="I21" s="116"/>
      <c r="J21" s="117" t="n">
        <v>3</v>
      </c>
      <c r="K21" s="117"/>
      <c r="L21" s="117"/>
      <c r="M21" s="117"/>
      <c r="N21" s="118" t="n">
        <v>4</v>
      </c>
      <c r="O21" s="118"/>
      <c r="P21" s="118"/>
      <c r="Q21" s="118"/>
      <c r="R21" s="119" t="n">
        <v>5</v>
      </c>
      <c r="S21" s="119"/>
      <c r="T21" s="119"/>
      <c r="U21" s="119"/>
      <c r="V21" s="119" t="n">
        <v>6</v>
      </c>
      <c r="W21" s="119"/>
      <c r="X21" s="119"/>
      <c r="Y21" s="119"/>
      <c r="Z21" s="120" t="n">
        <v>7</v>
      </c>
      <c r="AA21" s="120"/>
      <c r="AB21" s="120"/>
      <c r="AC21" s="120"/>
      <c r="AD21" s="121" t="n">
        <v>8</v>
      </c>
      <c r="AE21" s="121"/>
      <c r="AF21" s="121"/>
      <c r="AG21" s="121"/>
      <c r="AH21" s="122" t="n">
        <v>9</v>
      </c>
      <c r="AI21" s="122"/>
      <c r="AJ21" s="122"/>
      <c r="AK21" s="123" t="n">
        <v>10</v>
      </c>
      <c r="AL21" s="123"/>
      <c r="AM21" s="123"/>
    </row>
    <row r="22" customFormat="false" ht="18" hidden="false" customHeight="true" outlineLevel="0" collapsed="false">
      <c r="B22" s="124" t="s">
        <v>256</v>
      </c>
      <c r="C22" s="124"/>
      <c r="D22" s="124"/>
      <c r="E22" s="124"/>
      <c r="F22" s="124" t="s">
        <v>257</v>
      </c>
      <c r="G22" s="124"/>
      <c r="H22" s="124"/>
      <c r="I22" s="124"/>
      <c r="J22" s="124" t="s">
        <v>258</v>
      </c>
      <c r="K22" s="124"/>
      <c r="L22" s="124"/>
      <c r="M22" s="124"/>
      <c r="N22" s="124" t="s">
        <v>259</v>
      </c>
      <c r="O22" s="124"/>
      <c r="P22" s="124"/>
      <c r="Q22" s="124"/>
      <c r="R22" s="124" t="s">
        <v>260</v>
      </c>
      <c r="S22" s="124"/>
      <c r="T22" s="124"/>
      <c r="U22" s="124"/>
      <c r="V22" s="124" t="s">
        <v>261</v>
      </c>
      <c r="W22" s="124"/>
      <c r="X22" s="124"/>
      <c r="Y22" s="124"/>
      <c r="Z22" s="124" t="s">
        <v>262</v>
      </c>
      <c r="AA22" s="124"/>
      <c r="AB22" s="124"/>
      <c r="AC22" s="124"/>
      <c r="AD22" s="124" t="s">
        <v>263</v>
      </c>
      <c r="AE22" s="124"/>
      <c r="AF22" s="124"/>
      <c r="AG22" s="124"/>
      <c r="AH22" s="124" t="s">
        <v>264</v>
      </c>
      <c r="AI22" s="124"/>
      <c r="AJ22" s="124"/>
      <c r="AK22" s="124" t="s">
        <v>265</v>
      </c>
      <c r="AL22" s="124"/>
      <c r="AM22" s="124"/>
    </row>
    <row r="23" customFormat="false" ht="6" hidden="false" customHeight="true" outlineLevel="0" collapsed="false"/>
    <row r="24" customFormat="false" ht="24" hidden="false" customHeight="true" outlineLevel="0" collapsed="false">
      <c r="B24" s="125" t="s">
        <v>266</v>
      </c>
      <c r="C24" s="125"/>
      <c r="D24" s="125"/>
      <c r="E24" s="125"/>
      <c r="F24" s="125"/>
      <c r="G24" s="125"/>
      <c r="H24" s="125"/>
      <c r="I24" s="125"/>
      <c r="J24" s="125"/>
      <c r="K24" s="125"/>
      <c r="L24" s="125"/>
      <c r="M24" s="125"/>
      <c r="N24" s="126" t="s">
        <v>267</v>
      </c>
      <c r="O24" s="126"/>
      <c r="P24" s="126"/>
      <c r="Q24" s="126"/>
      <c r="R24" s="126"/>
      <c r="S24" s="125" t="s">
        <v>268</v>
      </c>
      <c r="T24" s="125"/>
      <c r="U24" s="125"/>
      <c r="V24" s="125"/>
      <c r="W24" s="125"/>
      <c r="X24" s="125"/>
      <c r="Y24" s="125"/>
      <c r="Z24" s="125"/>
      <c r="AA24" s="125"/>
      <c r="AB24" s="125"/>
      <c r="AC24" s="125"/>
      <c r="AD24" s="125" t="s">
        <v>269</v>
      </c>
      <c r="AE24" s="125"/>
      <c r="AF24" s="125"/>
      <c r="AG24" s="125"/>
      <c r="AH24" s="125"/>
      <c r="AI24" s="125"/>
      <c r="AJ24" s="125"/>
      <c r="AK24" s="125"/>
      <c r="AL24" s="125"/>
      <c r="AM24" s="125"/>
    </row>
    <row r="25" customFormat="false" ht="37.5" hidden="false" customHeight="true" outlineLevel="0" collapsed="false">
      <c r="B25" s="127" t="n">
        <v>6</v>
      </c>
      <c r="C25" s="128" t="s">
        <v>270</v>
      </c>
      <c r="D25" s="128"/>
      <c r="E25" s="128"/>
      <c r="F25" s="128"/>
      <c r="G25" s="128"/>
      <c r="H25" s="128"/>
      <c r="I25" s="128"/>
      <c r="J25" s="128"/>
      <c r="K25" s="128"/>
      <c r="L25" s="128"/>
      <c r="M25" s="128"/>
      <c r="N25" s="129"/>
      <c r="O25" s="129"/>
      <c r="P25" s="129"/>
      <c r="Q25" s="130" t="s">
        <v>271</v>
      </c>
      <c r="R25" s="130"/>
      <c r="S25" s="131"/>
      <c r="T25" s="131"/>
      <c r="U25" s="131"/>
      <c r="V25" s="131"/>
      <c r="W25" s="131"/>
      <c r="X25" s="131"/>
      <c r="Y25" s="131"/>
      <c r="Z25" s="131"/>
      <c r="AA25" s="131"/>
      <c r="AB25" s="131"/>
      <c r="AC25" s="131"/>
      <c r="AD25" s="131"/>
      <c r="AE25" s="131"/>
      <c r="AF25" s="131"/>
      <c r="AG25" s="131"/>
      <c r="AH25" s="131"/>
      <c r="AI25" s="131"/>
      <c r="AJ25" s="131"/>
      <c r="AK25" s="131"/>
      <c r="AL25" s="131"/>
      <c r="AM25" s="131"/>
    </row>
    <row r="26" customFormat="false" ht="37.5" hidden="false" customHeight="true" outlineLevel="0" collapsed="false">
      <c r="B26" s="127" t="n">
        <v>7</v>
      </c>
      <c r="C26" s="128" t="s">
        <v>272</v>
      </c>
      <c r="D26" s="128"/>
      <c r="E26" s="128"/>
      <c r="F26" s="128"/>
      <c r="G26" s="128"/>
      <c r="H26" s="128"/>
      <c r="I26" s="128"/>
      <c r="J26" s="128"/>
      <c r="K26" s="128"/>
      <c r="L26" s="128"/>
      <c r="M26" s="128"/>
      <c r="N26" s="129"/>
      <c r="O26" s="129"/>
      <c r="P26" s="129"/>
      <c r="Q26" s="130" t="s">
        <v>271</v>
      </c>
      <c r="R26" s="130"/>
      <c r="S26" s="131"/>
      <c r="T26" s="131"/>
      <c r="U26" s="131"/>
      <c r="V26" s="131"/>
      <c r="W26" s="131"/>
      <c r="X26" s="131"/>
      <c r="Y26" s="131"/>
      <c r="Z26" s="131"/>
      <c r="AA26" s="131"/>
      <c r="AB26" s="131"/>
      <c r="AC26" s="131"/>
      <c r="AD26" s="131"/>
      <c r="AE26" s="131"/>
      <c r="AF26" s="131"/>
      <c r="AG26" s="131"/>
      <c r="AH26" s="131"/>
      <c r="AI26" s="131"/>
      <c r="AJ26" s="131"/>
      <c r="AK26" s="131"/>
      <c r="AL26" s="131"/>
      <c r="AM26" s="131"/>
    </row>
    <row r="27" customFormat="false" ht="37.5" hidden="false" customHeight="true" outlineLevel="0" collapsed="false">
      <c r="B27" s="127" t="n">
        <v>8</v>
      </c>
      <c r="C27" s="128" t="s">
        <v>273</v>
      </c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9"/>
      <c r="O27" s="129"/>
      <c r="P27" s="129"/>
      <c r="Q27" s="130" t="s">
        <v>271</v>
      </c>
      <c r="R27" s="130"/>
      <c r="S27" s="131"/>
      <c r="T27" s="131"/>
      <c r="U27" s="131"/>
      <c r="V27" s="131"/>
      <c r="W27" s="131"/>
      <c r="X27" s="131"/>
      <c r="Y27" s="131"/>
      <c r="Z27" s="131"/>
      <c r="AA27" s="131"/>
      <c r="AB27" s="131"/>
      <c r="AC27" s="131"/>
      <c r="AD27" s="131"/>
      <c r="AE27" s="131"/>
      <c r="AF27" s="131"/>
      <c r="AG27" s="131"/>
      <c r="AH27" s="131"/>
      <c r="AI27" s="131"/>
      <c r="AJ27" s="131"/>
      <c r="AK27" s="131"/>
      <c r="AL27" s="131"/>
      <c r="AM27" s="131"/>
    </row>
    <row r="28" customFormat="false" ht="37.5" hidden="false" customHeight="true" outlineLevel="0" collapsed="false">
      <c r="B28" s="127" t="n">
        <v>9</v>
      </c>
      <c r="C28" s="128" t="s">
        <v>274</v>
      </c>
      <c r="D28" s="128"/>
      <c r="E28" s="128"/>
      <c r="F28" s="128"/>
      <c r="G28" s="128"/>
      <c r="H28" s="128"/>
      <c r="I28" s="128"/>
      <c r="J28" s="128"/>
      <c r="K28" s="128"/>
      <c r="L28" s="128"/>
      <c r="M28" s="128"/>
      <c r="N28" s="129"/>
      <c r="O28" s="129"/>
      <c r="P28" s="129"/>
      <c r="Q28" s="130" t="s">
        <v>271</v>
      </c>
      <c r="R28" s="130"/>
      <c r="S28" s="131"/>
      <c r="T28" s="131"/>
      <c r="U28" s="131"/>
      <c r="V28" s="131"/>
      <c r="W28" s="131"/>
      <c r="X28" s="131"/>
      <c r="Y28" s="131"/>
      <c r="Z28" s="131"/>
      <c r="AA28" s="131"/>
      <c r="AB28" s="131"/>
      <c r="AC28" s="131"/>
      <c r="AD28" s="131"/>
      <c r="AE28" s="131"/>
      <c r="AF28" s="131"/>
      <c r="AG28" s="131"/>
      <c r="AH28" s="131"/>
      <c r="AI28" s="131"/>
      <c r="AJ28" s="131"/>
      <c r="AK28" s="131"/>
      <c r="AL28" s="131"/>
      <c r="AM28" s="131"/>
    </row>
    <row r="29" customFormat="false" ht="37.5" hidden="false" customHeight="true" outlineLevel="0" collapsed="false">
      <c r="B29" s="127" t="n">
        <v>10</v>
      </c>
      <c r="C29" s="128" t="s">
        <v>275</v>
      </c>
      <c r="D29" s="128"/>
      <c r="E29" s="128"/>
      <c r="F29" s="128"/>
      <c r="G29" s="128"/>
      <c r="H29" s="128"/>
      <c r="I29" s="128"/>
      <c r="J29" s="128"/>
      <c r="K29" s="128"/>
      <c r="L29" s="128"/>
      <c r="M29" s="128"/>
      <c r="N29" s="129"/>
      <c r="O29" s="129"/>
      <c r="P29" s="129"/>
      <c r="Q29" s="130" t="s">
        <v>271</v>
      </c>
      <c r="R29" s="130"/>
      <c r="S29" s="131"/>
      <c r="T29" s="131"/>
      <c r="U29" s="131"/>
      <c r="V29" s="131"/>
      <c r="W29" s="131"/>
      <c r="X29" s="131"/>
      <c r="Y29" s="131"/>
      <c r="Z29" s="131"/>
      <c r="AA29" s="131"/>
      <c r="AB29" s="131"/>
      <c r="AC29" s="131"/>
      <c r="AD29" s="131"/>
      <c r="AE29" s="131"/>
      <c r="AF29" s="131"/>
      <c r="AG29" s="131"/>
      <c r="AH29" s="131"/>
      <c r="AI29" s="131"/>
      <c r="AJ29" s="131"/>
      <c r="AK29" s="131"/>
      <c r="AL29" s="131"/>
      <c r="AM29" s="131"/>
    </row>
    <row r="30" customFormat="false" ht="37.5" hidden="false" customHeight="true" outlineLevel="0" collapsed="false">
      <c r="B30" s="127" t="n">
        <v>11</v>
      </c>
      <c r="C30" s="128" t="s">
        <v>276</v>
      </c>
      <c r="D30" s="128"/>
      <c r="E30" s="128"/>
      <c r="F30" s="128"/>
      <c r="G30" s="128"/>
      <c r="H30" s="128"/>
      <c r="I30" s="128"/>
      <c r="J30" s="128"/>
      <c r="K30" s="128"/>
      <c r="L30" s="128"/>
      <c r="M30" s="128"/>
      <c r="N30" s="129"/>
      <c r="O30" s="129"/>
      <c r="P30" s="129"/>
      <c r="Q30" s="130" t="s">
        <v>271</v>
      </c>
      <c r="R30" s="130"/>
      <c r="S30" s="131"/>
      <c r="T30" s="131"/>
      <c r="U30" s="131"/>
      <c r="V30" s="131"/>
      <c r="W30" s="131"/>
      <c r="X30" s="131"/>
      <c r="Y30" s="131"/>
      <c r="Z30" s="131"/>
      <c r="AA30" s="131"/>
      <c r="AB30" s="131"/>
      <c r="AC30" s="131"/>
      <c r="AD30" s="131"/>
      <c r="AE30" s="131"/>
      <c r="AF30" s="131"/>
      <c r="AG30" s="131"/>
      <c r="AH30" s="131"/>
      <c r="AI30" s="131"/>
      <c r="AJ30" s="131"/>
      <c r="AK30" s="131"/>
      <c r="AL30" s="131"/>
      <c r="AM30" s="131"/>
    </row>
    <row r="31" customFormat="false" ht="27.75" hidden="false" customHeight="true" outlineLevel="0" collapsed="false">
      <c r="B31" s="109" t="n">
        <v>12</v>
      </c>
      <c r="C31" s="132" t="s">
        <v>277</v>
      </c>
      <c r="D31" s="132"/>
      <c r="E31" s="132"/>
      <c r="F31" s="132"/>
      <c r="G31" s="132"/>
      <c r="H31" s="132"/>
      <c r="I31" s="132"/>
      <c r="J31" s="132"/>
      <c r="K31" s="132"/>
      <c r="L31" s="132"/>
      <c r="M31" s="132"/>
      <c r="N31" s="133" t="str">
        <f aca="false">IF(COUNT(N25:N30)=0,"",SUM(N25:N30))</f>
        <v/>
      </c>
      <c r="O31" s="133"/>
      <c r="P31" s="133"/>
      <c r="Q31" s="134" t="s">
        <v>278</v>
      </c>
      <c r="R31" s="134"/>
      <c r="S31" s="135"/>
      <c r="T31" s="135"/>
      <c r="U31" s="135"/>
      <c r="V31" s="135"/>
      <c r="W31" s="135"/>
      <c r="X31" s="135"/>
      <c r="Y31" s="135"/>
      <c r="Z31" s="135"/>
      <c r="AA31" s="135"/>
      <c r="AB31" s="135"/>
      <c r="AC31" s="135"/>
      <c r="AD31" s="135"/>
      <c r="AE31" s="135"/>
      <c r="AF31" s="135"/>
      <c r="AG31" s="135"/>
      <c r="AH31" s="135"/>
      <c r="AI31" s="135"/>
      <c r="AJ31" s="135"/>
      <c r="AK31" s="135"/>
      <c r="AL31" s="135"/>
      <c r="AM31" s="135"/>
    </row>
    <row r="32" customFormat="false" ht="9.75" hidden="false" customHeight="true" outlineLevel="0" collapsed="false"/>
    <row r="33" customFormat="false" ht="21.75" hidden="false" customHeight="true" outlineLevel="0" collapsed="false">
      <c r="B33" s="6"/>
      <c r="C33" s="19" t="s">
        <v>279</v>
      </c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</row>
    <row r="34" customFormat="false" ht="24" hidden="false" customHeight="true" outlineLevel="0" collapsed="false">
      <c r="B34" s="60"/>
      <c r="C34" s="61" t="n">
        <v>13</v>
      </c>
      <c r="D34" s="75" t="s">
        <v>280</v>
      </c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92"/>
      <c r="V34" s="60"/>
      <c r="W34" s="61" t="n">
        <v>14</v>
      </c>
      <c r="X34" s="75" t="s">
        <v>281</v>
      </c>
      <c r="Y34" s="75"/>
      <c r="Z34" s="75"/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92"/>
    </row>
    <row r="35" customFormat="false" ht="18" hidden="false" customHeight="true" outlineLevel="0" collapsed="false">
      <c r="B35" s="63"/>
      <c r="C35" s="136"/>
      <c r="D35" s="136"/>
      <c r="E35" s="136"/>
      <c r="F35" s="136"/>
      <c r="G35" s="136"/>
      <c r="H35" s="136"/>
      <c r="I35" s="136"/>
      <c r="J35" s="136"/>
      <c r="K35" s="136"/>
      <c r="L35" s="136"/>
      <c r="M35" s="136"/>
      <c r="N35" s="136"/>
      <c r="O35" s="136"/>
      <c r="P35" s="136"/>
      <c r="Q35" s="136"/>
      <c r="R35" s="136"/>
      <c r="S35" s="136"/>
      <c r="T35" s="65"/>
      <c r="V35" s="63"/>
      <c r="W35" s="136"/>
      <c r="X35" s="136"/>
      <c r="Y35" s="136"/>
      <c r="Z35" s="136"/>
      <c r="AA35" s="136"/>
      <c r="AB35" s="136"/>
      <c r="AC35" s="136"/>
      <c r="AD35" s="136"/>
      <c r="AE35" s="136"/>
      <c r="AF35" s="136"/>
      <c r="AG35" s="136"/>
      <c r="AH35" s="136"/>
      <c r="AI35" s="136"/>
      <c r="AJ35" s="136"/>
      <c r="AK35" s="136"/>
      <c r="AL35" s="136"/>
      <c r="AM35" s="65"/>
    </row>
    <row r="36" customFormat="false" ht="18" hidden="false" customHeight="true" outlineLevel="0" collapsed="false">
      <c r="B36" s="63"/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65"/>
      <c r="V36" s="63"/>
      <c r="W36" s="136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36"/>
      <c r="AM36" s="65"/>
    </row>
    <row r="37" customFormat="false" ht="18" hidden="false" customHeight="true" outlineLevel="0" collapsed="false">
      <c r="B37" s="63"/>
      <c r="C37" s="136"/>
      <c r="D37" s="136"/>
      <c r="E37" s="136"/>
      <c r="F37" s="136"/>
      <c r="G37" s="136"/>
      <c r="H37" s="136"/>
      <c r="I37" s="136"/>
      <c r="J37" s="136"/>
      <c r="K37" s="136"/>
      <c r="L37" s="136"/>
      <c r="M37" s="136"/>
      <c r="N37" s="136"/>
      <c r="O37" s="136"/>
      <c r="P37" s="136"/>
      <c r="Q37" s="136"/>
      <c r="R37" s="136"/>
      <c r="S37" s="136"/>
      <c r="T37" s="65"/>
      <c r="V37" s="63"/>
      <c r="W37" s="136"/>
      <c r="X37" s="136"/>
      <c r="Y37" s="136"/>
      <c r="Z37" s="136"/>
      <c r="AA37" s="136"/>
      <c r="AB37" s="136"/>
      <c r="AC37" s="136"/>
      <c r="AD37" s="136"/>
      <c r="AE37" s="136"/>
      <c r="AF37" s="136"/>
      <c r="AG37" s="136"/>
      <c r="AH37" s="136"/>
      <c r="AI37" s="136"/>
      <c r="AJ37" s="136"/>
      <c r="AK37" s="136"/>
      <c r="AL37" s="136"/>
      <c r="AM37" s="65"/>
    </row>
    <row r="38" customFormat="false" ht="6" hidden="false" customHeight="true" outlineLevel="0" collapsed="false">
      <c r="B38" s="67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9"/>
      <c r="V38" s="67"/>
      <c r="W38" s="68"/>
      <c r="X38" s="68"/>
      <c r="Y38" s="68"/>
      <c r="Z38" s="68"/>
      <c r="AA38" s="68"/>
      <c r="AB38" s="68"/>
      <c r="AC38" s="68"/>
      <c r="AD38" s="68"/>
      <c r="AE38" s="68"/>
      <c r="AF38" s="68"/>
      <c r="AG38" s="68"/>
      <c r="AH38" s="68"/>
      <c r="AI38" s="68"/>
      <c r="AJ38" s="68"/>
      <c r="AK38" s="68"/>
      <c r="AL38" s="68"/>
      <c r="AM38" s="69"/>
    </row>
    <row r="39" customFormat="false" ht="54" hidden="false" customHeight="true" outlineLevel="0" collapsed="false"/>
    <row r="40" customFormat="false" ht="6" hidden="false" customHeight="true" outlineLevel="0" collapsed="false"/>
    <row r="41" customFormat="false" ht="19.5" hidden="false" customHeight="true" outlineLevel="0" collapsed="false">
      <c r="B41" s="73" t="s">
        <v>107</v>
      </c>
      <c r="C41" s="73"/>
      <c r="D41" s="73"/>
      <c r="E41" s="73"/>
      <c r="F41" s="73"/>
      <c r="G41" s="73"/>
      <c r="H41" s="73"/>
      <c r="I41" s="73"/>
      <c r="J41" s="73"/>
      <c r="K41" s="73"/>
      <c r="L41" s="74" t="s">
        <v>108</v>
      </c>
      <c r="M41" s="74"/>
      <c r="N41" s="74"/>
      <c r="O41" s="74"/>
      <c r="P41" s="74"/>
      <c r="Q41" s="74"/>
      <c r="R41" s="74"/>
      <c r="S41" s="74"/>
      <c r="U41" s="73" t="s">
        <v>282</v>
      </c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4" t="s">
        <v>108</v>
      </c>
      <c r="AG41" s="74"/>
      <c r="AH41" s="74"/>
      <c r="AI41" s="74"/>
      <c r="AJ41" s="74"/>
      <c r="AK41" s="74"/>
      <c r="AL41" s="74"/>
      <c r="AM41" s="74"/>
    </row>
    <row r="42" customFormat="false" ht="9.75" hidden="false" customHeight="true" outlineLevel="0" collapsed="false"/>
    <row r="43" customFormat="false" ht="18" hidden="false" customHeight="true" outlineLevel="0" collapsed="false">
      <c r="B43" s="75" t="s">
        <v>283</v>
      </c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6" t="s">
        <v>111</v>
      </c>
      <c r="U43" s="76"/>
      <c r="V43" s="76"/>
      <c r="W43" s="76"/>
      <c r="X43" s="76"/>
      <c r="Y43" s="76"/>
      <c r="Z43" s="76"/>
      <c r="AA43" s="76"/>
      <c r="AB43" s="76"/>
      <c r="AC43" s="76"/>
      <c r="AD43" s="76"/>
      <c r="AE43" s="76"/>
      <c r="AF43" s="76"/>
      <c r="AG43" s="76"/>
      <c r="AH43" s="76"/>
      <c r="AI43" s="76"/>
      <c r="AJ43" s="76"/>
      <c r="AK43" s="76"/>
      <c r="AL43" s="76"/>
      <c r="AM43" s="76"/>
    </row>
    <row r="44" customFormat="false" ht="7.5" hidden="false" customHeight="true" outlineLevel="0" collapsed="false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customFormat="false" ht="19.5" hidden="false" customHeight="true" outlineLevel="0" collapsed="false">
      <c r="B45" s="1"/>
      <c r="C45" s="51" t="s">
        <v>233</v>
      </c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  <c r="AA45" s="51"/>
      <c r="AB45" s="1"/>
      <c r="AC45" s="1"/>
      <c r="AD45" s="1"/>
      <c r="AE45" s="52" t="s">
        <v>234</v>
      </c>
      <c r="AF45" s="52"/>
      <c r="AG45" s="52"/>
      <c r="AH45" s="52"/>
      <c r="AI45" s="52"/>
      <c r="AJ45" s="52"/>
      <c r="AK45" s="52"/>
      <c r="AL45" s="1"/>
      <c r="AM45" s="1"/>
    </row>
    <row r="46" customFormat="false" ht="30" hidden="false" customHeight="true" outlineLevel="0" collapsed="false">
      <c r="B46" s="1"/>
      <c r="C46" s="53" t="s">
        <v>235</v>
      </c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  <c r="AB46" s="54" t="s">
        <v>236</v>
      </c>
      <c r="AC46" s="54"/>
      <c r="AD46" s="54"/>
      <c r="AE46" s="54"/>
      <c r="AF46" s="54"/>
      <c r="AG46" s="54"/>
      <c r="AH46" s="54"/>
      <c r="AI46" s="54"/>
      <c r="AJ46" s="54"/>
      <c r="AK46" s="54"/>
      <c r="AL46" s="1"/>
      <c r="AM46" s="1"/>
    </row>
    <row r="47" customFormat="false" ht="15.75" hidden="false" customHeight="true" outlineLevel="0" collapsed="false">
      <c r="B47" s="1"/>
      <c r="C47" s="55" t="s">
        <v>237</v>
      </c>
      <c r="D47" s="55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customFormat="false" ht="9.75" hidden="false" customHeight="true" outlineLevel="0" collapsed="false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customFormat="false" ht="3.75" hidden="false" customHeight="true" outlineLevel="0" collapsed="false"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</row>
    <row r="50" customFormat="false" ht="7.5" hidden="false" customHeight="true" outlineLevel="0" collapsed="false"/>
    <row r="51" customFormat="false" ht="13.5" hidden="false" customHeight="true" outlineLevel="0" collapsed="false">
      <c r="B51" s="56" t="s">
        <v>238</v>
      </c>
      <c r="C51" s="56"/>
      <c r="D51" s="56"/>
      <c r="E51" s="56"/>
      <c r="F51" s="56"/>
      <c r="G51" s="56"/>
      <c r="H51" s="56"/>
      <c r="I51" s="56"/>
      <c r="J51" s="56"/>
      <c r="K51" s="56"/>
      <c r="M51" s="56" t="s">
        <v>136</v>
      </c>
      <c r="N51" s="56"/>
      <c r="O51" s="56"/>
      <c r="P51" s="56"/>
      <c r="Q51" s="56"/>
      <c r="R51" s="56"/>
      <c r="S51" s="56"/>
      <c r="T51" s="56"/>
      <c r="U51" s="56"/>
      <c r="V51" s="56"/>
      <c r="X51" s="56" t="s">
        <v>239</v>
      </c>
      <c r="Y51" s="56"/>
      <c r="Z51" s="56"/>
      <c r="AA51" s="56"/>
      <c r="AB51" s="56"/>
      <c r="AC51" s="56"/>
      <c r="AD51" s="56"/>
      <c r="AE51" s="56"/>
      <c r="AG51" s="56" t="s">
        <v>240</v>
      </c>
      <c r="AH51" s="56"/>
      <c r="AI51" s="56"/>
      <c r="AJ51" s="56"/>
      <c r="AK51" s="56"/>
      <c r="AL51" s="56"/>
      <c r="AM51" s="56"/>
    </row>
    <row r="52" customFormat="false" ht="21.75" hidden="false" customHeight="true" outlineLevel="0" collapsed="false">
      <c r="B52" s="57" t="str">
        <f aca="false">Dashboard!$B$29</f>
        <v>Chaima</v>
      </c>
      <c r="C52" s="57"/>
      <c r="D52" s="57"/>
      <c r="E52" s="57"/>
      <c r="F52" s="57"/>
      <c r="G52" s="57"/>
      <c r="H52" s="57"/>
      <c r="I52" s="57"/>
      <c r="J52" s="57"/>
      <c r="K52" s="57"/>
      <c r="M52" s="57" t="str">
        <f aca="false">Dashboard!$C$6</f>
        <v>Bindhya TB</v>
      </c>
      <c r="N52" s="57"/>
      <c r="O52" s="57"/>
      <c r="P52" s="57"/>
      <c r="Q52" s="57"/>
      <c r="R52" s="57"/>
      <c r="S52" s="57"/>
      <c r="T52" s="57"/>
      <c r="U52" s="57"/>
      <c r="V52" s="57"/>
      <c r="X52" s="57" t="str">
        <f aca="false">TEXT(Dashboard!$C$8,"mmmm yyyy")</f>
        <v>October 2026</v>
      </c>
      <c r="Y52" s="57"/>
      <c r="Z52" s="57"/>
      <c r="AA52" s="57"/>
      <c r="AB52" s="57"/>
      <c r="AC52" s="57"/>
      <c r="AD52" s="57"/>
      <c r="AE52" s="57"/>
      <c r="AG52" s="106"/>
      <c r="AH52" s="106"/>
      <c r="AI52" s="106"/>
      <c r="AJ52" s="106"/>
      <c r="AK52" s="106"/>
      <c r="AL52" s="106"/>
      <c r="AM52" s="106"/>
    </row>
    <row r="53" customFormat="false" ht="9.75" hidden="false" customHeight="true" outlineLevel="0" collapsed="false"/>
    <row r="54" customFormat="false" ht="21.75" hidden="false" customHeight="true" outlineLevel="0" collapsed="false">
      <c r="B54" s="6"/>
      <c r="C54" s="19" t="s">
        <v>241</v>
      </c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</row>
    <row r="55" customFormat="false" ht="27.75" hidden="false" customHeight="true" outlineLevel="0" collapsed="false">
      <c r="B55" s="60"/>
      <c r="C55" s="61" t="n">
        <v>1</v>
      </c>
      <c r="D55" s="62" t="s">
        <v>242</v>
      </c>
      <c r="E55" s="62"/>
      <c r="F55" s="62"/>
      <c r="G55" s="62"/>
      <c r="H55" s="62"/>
      <c r="I55" s="62"/>
      <c r="J55" s="62"/>
      <c r="L55" s="60"/>
      <c r="M55" s="61" t="n">
        <v>2</v>
      </c>
      <c r="N55" s="62" t="s">
        <v>13</v>
      </c>
      <c r="O55" s="62"/>
      <c r="P55" s="62"/>
      <c r="Q55" s="62"/>
      <c r="R55" s="62"/>
      <c r="S55" s="62"/>
      <c r="T55" s="62"/>
      <c r="V55" s="60"/>
      <c r="W55" s="61" t="n">
        <v>3</v>
      </c>
      <c r="X55" s="62" t="s">
        <v>243</v>
      </c>
      <c r="Y55" s="62"/>
      <c r="Z55" s="62"/>
      <c r="AA55" s="62"/>
      <c r="AB55" s="62"/>
      <c r="AC55" s="62"/>
      <c r="AD55" s="62"/>
      <c r="AF55" s="60"/>
      <c r="AG55" s="61" t="n">
        <v>4</v>
      </c>
      <c r="AH55" s="62" t="s">
        <v>244</v>
      </c>
      <c r="AI55" s="62"/>
      <c r="AJ55" s="62"/>
      <c r="AK55" s="62"/>
      <c r="AL55" s="62"/>
      <c r="AM55" s="62"/>
    </row>
    <row r="56" customFormat="false" ht="25.5" hidden="false" customHeight="true" outlineLevel="0" collapsed="false">
      <c r="B56" s="63"/>
      <c r="C56" s="97" t="str">
        <f aca="false">IF(Dashboard!$C$29="","",Dashboard!$C$29)</f>
        <v/>
      </c>
      <c r="D56" s="97"/>
      <c r="E56" s="97"/>
      <c r="F56" s="97"/>
      <c r="G56" s="97"/>
      <c r="H56" s="97"/>
      <c r="I56" s="97"/>
      <c r="J56" s="65"/>
      <c r="L56" s="63"/>
      <c r="M56" s="97" t="n">
        <f aca="false">Dashboard!$D$29</f>
        <v>0</v>
      </c>
      <c r="N56" s="97"/>
      <c r="O56" s="97"/>
      <c r="P56" s="97"/>
      <c r="Q56" s="97"/>
      <c r="R56" s="97"/>
      <c r="S56" s="97"/>
      <c r="T56" s="65"/>
      <c r="V56" s="63"/>
      <c r="W56" s="107" t="str">
        <f aca="false">IF(C56="","☐ Yes        ☐ No",IF(M56&gt;=C56,"☑ Yes        ☐ No","☐ Yes        ☑ No"))</f>
        <v>☐ Yes        ☐ No</v>
      </c>
      <c r="X56" s="107"/>
      <c r="Y56" s="107"/>
      <c r="Z56" s="107"/>
      <c r="AA56" s="107"/>
      <c r="AB56" s="107"/>
      <c r="AC56" s="107"/>
      <c r="AD56" s="65"/>
      <c r="AF56" s="63"/>
      <c r="AG56" s="108"/>
      <c r="AH56" s="108"/>
      <c r="AI56" s="108"/>
      <c r="AJ56" s="108"/>
      <c r="AK56" s="108"/>
      <c r="AL56" s="108"/>
      <c r="AM56" s="65"/>
    </row>
    <row r="57" customFormat="false" ht="6" hidden="false" customHeight="true" outlineLevel="0" collapsed="false">
      <c r="B57" s="67"/>
      <c r="C57" s="68"/>
      <c r="D57" s="68"/>
      <c r="E57" s="68"/>
      <c r="F57" s="68"/>
      <c r="G57" s="68"/>
      <c r="H57" s="68"/>
      <c r="I57" s="68"/>
      <c r="J57" s="69"/>
      <c r="L57" s="67"/>
      <c r="M57" s="68"/>
      <c r="N57" s="68"/>
      <c r="O57" s="68"/>
      <c r="P57" s="68"/>
      <c r="Q57" s="68"/>
      <c r="R57" s="68"/>
      <c r="S57" s="68"/>
      <c r="T57" s="69"/>
      <c r="V57" s="67"/>
      <c r="W57" s="68"/>
      <c r="X57" s="68"/>
      <c r="Y57" s="68"/>
      <c r="Z57" s="68"/>
      <c r="AA57" s="68"/>
      <c r="AB57" s="68"/>
      <c r="AC57" s="68"/>
      <c r="AD57" s="69"/>
      <c r="AF57" s="67"/>
      <c r="AG57" s="68"/>
      <c r="AH57" s="68"/>
      <c r="AI57" s="68"/>
      <c r="AJ57" s="68"/>
      <c r="AK57" s="68"/>
      <c r="AL57" s="68"/>
      <c r="AM57" s="69"/>
    </row>
    <row r="58" customFormat="false" ht="7.5" hidden="false" customHeight="true" outlineLevel="0" collapsed="false"/>
    <row r="59" customFormat="false" ht="21.75" hidden="false" customHeight="true" outlineLevel="0" collapsed="false">
      <c r="B59" s="109" t="n">
        <v>5</v>
      </c>
      <c r="D59" s="110" t="s">
        <v>245</v>
      </c>
      <c r="E59" s="110"/>
      <c r="F59" s="110"/>
      <c r="G59" s="110"/>
      <c r="H59" s="110"/>
      <c r="I59" s="110"/>
      <c r="J59" s="110"/>
      <c r="K59" s="110"/>
      <c r="L59" s="110"/>
      <c r="M59" s="110"/>
      <c r="N59" s="110"/>
      <c r="O59" s="110"/>
      <c r="P59" s="110"/>
      <c r="Q59" s="110"/>
      <c r="R59" s="110"/>
      <c r="S59" s="110"/>
      <c r="T59" s="110"/>
      <c r="U59" s="110"/>
      <c r="V59" s="110"/>
      <c r="W59" s="110"/>
      <c r="X59" s="110"/>
      <c r="Y59" s="111" t="s">
        <v>246</v>
      </c>
      <c r="Z59" s="111"/>
      <c r="AA59" s="111"/>
      <c r="AB59" s="111"/>
      <c r="AC59" s="111"/>
      <c r="AD59" s="111"/>
    </row>
    <row r="60" customFormat="false" ht="19.5" hidden="false" customHeight="true" outlineLevel="0" collapsed="false">
      <c r="B60" s="112" t="s">
        <v>247</v>
      </c>
      <c r="C60" s="113" t="s">
        <v>248</v>
      </c>
      <c r="D60" s="113"/>
      <c r="E60" s="113"/>
      <c r="F60" s="113"/>
      <c r="G60" s="113"/>
      <c r="H60" s="113"/>
      <c r="I60" s="113"/>
      <c r="J60" s="112" t="s">
        <v>247</v>
      </c>
      <c r="K60" s="113" t="s">
        <v>249</v>
      </c>
      <c r="L60" s="113"/>
      <c r="M60" s="113"/>
      <c r="N60" s="113"/>
      <c r="O60" s="113"/>
      <c r="P60" s="113"/>
      <c r="Q60" s="113"/>
      <c r="R60" s="112" t="s">
        <v>247</v>
      </c>
      <c r="S60" s="113" t="s">
        <v>250</v>
      </c>
      <c r="T60" s="113"/>
      <c r="U60" s="113"/>
      <c r="V60" s="113"/>
      <c r="W60" s="113"/>
      <c r="X60" s="113"/>
      <c r="Y60" s="112" t="s">
        <v>247</v>
      </c>
      <c r="Z60" s="113" t="s">
        <v>251</v>
      </c>
      <c r="AA60" s="113"/>
      <c r="AB60" s="113"/>
      <c r="AC60" s="113"/>
      <c r="AD60" s="113"/>
      <c r="AE60" s="113"/>
      <c r="AF60" s="112" t="s">
        <v>247</v>
      </c>
      <c r="AG60" s="113" t="s">
        <v>252</v>
      </c>
      <c r="AH60" s="113"/>
      <c r="AI60" s="113"/>
      <c r="AJ60" s="113"/>
      <c r="AK60" s="113"/>
      <c r="AL60" s="113"/>
      <c r="AM60" s="113"/>
    </row>
    <row r="61" customFormat="false" ht="19.5" hidden="false" customHeight="true" outlineLevel="0" collapsed="false">
      <c r="B61" s="112" t="s">
        <v>247</v>
      </c>
      <c r="C61" s="113" t="s">
        <v>253</v>
      </c>
      <c r="D61" s="113"/>
      <c r="E61" s="113"/>
      <c r="F61" s="113"/>
      <c r="G61" s="114"/>
      <c r="H61" s="114"/>
      <c r="I61" s="114"/>
      <c r="J61" s="114"/>
      <c r="K61" s="114"/>
      <c r="L61" s="114"/>
      <c r="M61" s="114"/>
      <c r="N61" s="114"/>
      <c r="O61" s="114"/>
      <c r="P61" s="114"/>
    </row>
    <row r="62" customFormat="false" ht="9.75" hidden="false" customHeight="true" outlineLevel="0" collapsed="false"/>
    <row r="63" customFormat="false" ht="21.75" hidden="false" customHeight="true" outlineLevel="0" collapsed="false">
      <c r="B63" s="6"/>
      <c r="C63" s="19" t="s">
        <v>254</v>
      </c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59" t="s">
        <v>255</v>
      </c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  <c r="AF63" s="59"/>
      <c r="AG63" s="59"/>
      <c r="AH63" s="59"/>
      <c r="AI63" s="59"/>
      <c r="AJ63" s="59"/>
      <c r="AK63" s="59"/>
      <c r="AL63" s="59"/>
      <c r="AM63" s="59"/>
    </row>
    <row r="64" customFormat="false" ht="24" hidden="false" customHeight="true" outlineLevel="0" collapsed="false">
      <c r="B64" s="115" t="n">
        <v>1</v>
      </c>
      <c r="C64" s="115"/>
      <c r="D64" s="115"/>
      <c r="E64" s="115"/>
      <c r="F64" s="116" t="n">
        <v>2</v>
      </c>
      <c r="G64" s="116"/>
      <c r="H64" s="116"/>
      <c r="I64" s="116"/>
      <c r="J64" s="117" t="n">
        <v>3</v>
      </c>
      <c r="K64" s="117"/>
      <c r="L64" s="117"/>
      <c r="M64" s="117"/>
      <c r="N64" s="118" t="n">
        <v>4</v>
      </c>
      <c r="O64" s="118"/>
      <c r="P64" s="118"/>
      <c r="Q64" s="118"/>
      <c r="R64" s="119" t="n">
        <v>5</v>
      </c>
      <c r="S64" s="119"/>
      <c r="T64" s="119"/>
      <c r="U64" s="119"/>
      <c r="V64" s="119" t="n">
        <v>6</v>
      </c>
      <c r="W64" s="119"/>
      <c r="X64" s="119"/>
      <c r="Y64" s="119"/>
      <c r="Z64" s="120" t="n">
        <v>7</v>
      </c>
      <c r="AA64" s="120"/>
      <c r="AB64" s="120"/>
      <c r="AC64" s="120"/>
      <c r="AD64" s="121" t="n">
        <v>8</v>
      </c>
      <c r="AE64" s="121"/>
      <c r="AF64" s="121"/>
      <c r="AG64" s="121"/>
      <c r="AH64" s="122" t="n">
        <v>9</v>
      </c>
      <c r="AI64" s="122"/>
      <c r="AJ64" s="122"/>
      <c r="AK64" s="123" t="n">
        <v>10</v>
      </c>
      <c r="AL64" s="123"/>
      <c r="AM64" s="123"/>
    </row>
    <row r="65" customFormat="false" ht="18" hidden="false" customHeight="true" outlineLevel="0" collapsed="false">
      <c r="B65" s="124" t="s">
        <v>256</v>
      </c>
      <c r="C65" s="124"/>
      <c r="D65" s="124"/>
      <c r="E65" s="124"/>
      <c r="F65" s="124" t="s">
        <v>257</v>
      </c>
      <c r="G65" s="124"/>
      <c r="H65" s="124"/>
      <c r="I65" s="124"/>
      <c r="J65" s="124" t="s">
        <v>258</v>
      </c>
      <c r="K65" s="124"/>
      <c r="L65" s="124"/>
      <c r="M65" s="124"/>
      <c r="N65" s="124" t="s">
        <v>259</v>
      </c>
      <c r="O65" s="124"/>
      <c r="P65" s="124"/>
      <c r="Q65" s="124"/>
      <c r="R65" s="124" t="s">
        <v>260</v>
      </c>
      <c r="S65" s="124"/>
      <c r="T65" s="124"/>
      <c r="U65" s="124"/>
      <c r="V65" s="124" t="s">
        <v>261</v>
      </c>
      <c r="W65" s="124"/>
      <c r="X65" s="124"/>
      <c r="Y65" s="124"/>
      <c r="Z65" s="124" t="s">
        <v>262</v>
      </c>
      <c r="AA65" s="124"/>
      <c r="AB65" s="124"/>
      <c r="AC65" s="124"/>
      <c r="AD65" s="124" t="s">
        <v>263</v>
      </c>
      <c r="AE65" s="124"/>
      <c r="AF65" s="124"/>
      <c r="AG65" s="124"/>
      <c r="AH65" s="124" t="s">
        <v>264</v>
      </c>
      <c r="AI65" s="124"/>
      <c r="AJ65" s="124"/>
      <c r="AK65" s="124" t="s">
        <v>265</v>
      </c>
      <c r="AL65" s="124"/>
      <c r="AM65" s="124"/>
    </row>
    <row r="66" customFormat="false" ht="6" hidden="false" customHeight="true" outlineLevel="0" collapsed="false"/>
    <row r="67" customFormat="false" ht="24" hidden="false" customHeight="true" outlineLevel="0" collapsed="false">
      <c r="B67" s="125" t="s">
        <v>266</v>
      </c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6" t="s">
        <v>267</v>
      </c>
      <c r="O67" s="126"/>
      <c r="P67" s="126"/>
      <c r="Q67" s="126"/>
      <c r="R67" s="126"/>
      <c r="S67" s="125" t="s">
        <v>268</v>
      </c>
      <c r="T67" s="125"/>
      <c r="U67" s="125"/>
      <c r="V67" s="125"/>
      <c r="W67" s="125"/>
      <c r="X67" s="125"/>
      <c r="Y67" s="125"/>
      <c r="Z67" s="125"/>
      <c r="AA67" s="125"/>
      <c r="AB67" s="125"/>
      <c r="AC67" s="125"/>
      <c r="AD67" s="125" t="s">
        <v>269</v>
      </c>
      <c r="AE67" s="125"/>
      <c r="AF67" s="125"/>
      <c r="AG67" s="125"/>
      <c r="AH67" s="125"/>
      <c r="AI67" s="125"/>
      <c r="AJ67" s="125"/>
      <c r="AK67" s="125"/>
      <c r="AL67" s="125"/>
      <c r="AM67" s="125"/>
    </row>
    <row r="68" customFormat="false" ht="37.5" hidden="false" customHeight="true" outlineLevel="0" collapsed="false">
      <c r="B68" s="127" t="n">
        <v>6</v>
      </c>
      <c r="C68" s="128" t="s">
        <v>270</v>
      </c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9"/>
      <c r="O68" s="129"/>
      <c r="P68" s="129"/>
      <c r="Q68" s="130" t="s">
        <v>271</v>
      </c>
      <c r="R68" s="130"/>
      <c r="S68" s="131"/>
      <c r="T68" s="131"/>
      <c r="U68" s="131"/>
      <c r="V68" s="131"/>
      <c r="W68" s="131"/>
      <c r="X68" s="131"/>
      <c r="Y68" s="131"/>
      <c r="Z68" s="131"/>
      <c r="AA68" s="131"/>
      <c r="AB68" s="131"/>
      <c r="AC68" s="131"/>
      <c r="AD68" s="131"/>
      <c r="AE68" s="131"/>
      <c r="AF68" s="131"/>
      <c r="AG68" s="131"/>
      <c r="AH68" s="131"/>
      <c r="AI68" s="131"/>
      <c r="AJ68" s="131"/>
      <c r="AK68" s="131"/>
      <c r="AL68" s="131"/>
      <c r="AM68" s="131"/>
    </row>
    <row r="69" customFormat="false" ht="37.5" hidden="false" customHeight="true" outlineLevel="0" collapsed="false">
      <c r="B69" s="127" t="n">
        <v>7</v>
      </c>
      <c r="C69" s="128" t="s">
        <v>272</v>
      </c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9"/>
      <c r="O69" s="129"/>
      <c r="P69" s="129"/>
      <c r="Q69" s="130" t="s">
        <v>271</v>
      </c>
      <c r="R69" s="130"/>
      <c r="S69" s="131"/>
      <c r="T69" s="131"/>
      <c r="U69" s="131"/>
      <c r="V69" s="131"/>
      <c r="W69" s="131"/>
      <c r="X69" s="131"/>
      <c r="Y69" s="131"/>
      <c r="Z69" s="131"/>
      <c r="AA69" s="131"/>
      <c r="AB69" s="131"/>
      <c r="AC69" s="131"/>
      <c r="AD69" s="131"/>
      <c r="AE69" s="131"/>
      <c r="AF69" s="131"/>
      <c r="AG69" s="131"/>
      <c r="AH69" s="131"/>
      <c r="AI69" s="131"/>
      <c r="AJ69" s="131"/>
      <c r="AK69" s="131"/>
      <c r="AL69" s="131"/>
      <c r="AM69" s="131"/>
    </row>
    <row r="70" customFormat="false" ht="37.5" hidden="false" customHeight="true" outlineLevel="0" collapsed="false">
      <c r="B70" s="127" t="n">
        <v>8</v>
      </c>
      <c r="C70" s="128" t="s">
        <v>273</v>
      </c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9"/>
      <c r="O70" s="129"/>
      <c r="P70" s="129"/>
      <c r="Q70" s="130" t="s">
        <v>271</v>
      </c>
      <c r="R70" s="130"/>
      <c r="S70" s="131"/>
      <c r="T70" s="131"/>
      <c r="U70" s="131"/>
      <c r="V70" s="131"/>
      <c r="W70" s="131"/>
      <c r="X70" s="131"/>
      <c r="Y70" s="131"/>
      <c r="Z70" s="131"/>
      <c r="AA70" s="131"/>
      <c r="AB70" s="131"/>
      <c r="AC70" s="131"/>
      <c r="AD70" s="131"/>
      <c r="AE70" s="131"/>
      <c r="AF70" s="131"/>
      <c r="AG70" s="131"/>
      <c r="AH70" s="131"/>
      <c r="AI70" s="131"/>
      <c r="AJ70" s="131"/>
      <c r="AK70" s="131"/>
      <c r="AL70" s="131"/>
      <c r="AM70" s="131"/>
    </row>
    <row r="71" customFormat="false" ht="37.5" hidden="false" customHeight="true" outlineLevel="0" collapsed="false">
      <c r="B71" s="127" t="n">
        <v>9</v>
      </c>
      <c r="C71" s="128" t="s">
        <v>274</v>
      </c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9"/>
      <c r="O71" s="129"/>
      <c r="P71" s="129"/>
      <c r="Q71" s="130" t="s">
        <v>271</v>
      </c>
      <c r="R71" s="130"/>
      <c r="S71" s="131"/>
      <c r="T71" s="131"/>
      <c r="U71" s="131"/>
      <c r="V71" s="131"/>
      <c r="W71" s="131"/>
      <c r="X71" s="131"/>
      <c r="Y71" s="131"/>
      <c r="Z71" s="131"/>
      <c r="AA71" s="131"/>
      <c r="AB71" s="131"/>
      <c r="AC71" s="131"/>
      <c r="AD71" s="131"/>
      <c r="AE71" s="131"/>
      <c r="AF71" s="131"/>
      <c r="AG71" s="131"/>
      <c r="AH71" s="131"/>
      <c r="AI71" s="131"/>
      <c r="AJ71" s="131"/>
      <c r="AK71" s="131"/>
      <c r="AL71" s="131"/>
      <c r="AM71" s="131"/>
    </row>
    <row r="72" customFormat="false" ht="37.5" hidden="false" customHeight="true" outlineLevel="0" collapsed="false">
      <c r="B72" s="127" t="n">
        <v>10</v>
      </c>
      <c r="C72" s="128" t="s">
        <v>275</v>
      </c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9"/>
      <c r="O72" s="129"/>
      <c r="P72" s="129"/>
      <c r="Q72" s="130" t="s">
        <v>271</v>
      </c>
      <c r="R72" s="130"/>
      <c r="S72" s="131"/>
      <c r="T72" s="131"/>
      <c r="U72" s="131"/>
      <c r="V72" s="131"/>
      <c r="W72" s="131"/>
      <c r="X72" s="131"/>
      <c r="Y72" s="131"/>
      <c r="Z72" s="131"/>
      <c r="AA72" s="131"/>
      <c r="AB72" s="131"/>
      <c r="AC72" s="131"/>
      <c r="AD72" s="131"/>
      <c r="AE72" s="131"/>
      <c r="AF72" s="131"/>
      <c r="AG72" s="131"/>
      <c r="AH72" s="131"/>
      <c r="AI72" s="131"/>
      <c r="AJ72" s="131"/>
      <c r="AK72" s="131"/>
      <c r="AL72" s="131"/>
      <c r="AM72" s="131"/>
    </row>
    <row r="73" customFormat="false" ht="37.5" hidden="false" customHeight="true" outlineLevel="0" collapsed="false">
      <c r="B73" s="127" t="n">
        <v>11</v>
      </c>
      <c r="C73" s="128" t="s">
        <v>276</v>
      </c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9"/>
      <c r="O73" s="129"/>
      <c r="P73" s="129"/>
      <c r="Q73" s="130" t="s">
        <v>271</v>
      </c>
      <c r="R73" s="130"/>
      <c r="S73" s="131"/>
      <c r="T73" s="131"/>
      <c r="U73" s="131"/>
      <c r="V73" s="131"/>
      <c r="W73" s="131"/>
      <c r="X73" s="131"/>
      <c r="Y73" s="131"/>
      <c r="Z73" s="131"/>
      <c r="AA73" s="131"/>
      <c r="AB73" s="131"/>
      <c r="AC73" s="131"/>
      <c r="AD73" s="131"/>
      <c r="AE73" s="131"/>
      <c r="AF73" s="131"/>
      <c r="AG73" s="131"/>
      <c r="AH73" s="131"/>
      <c r="AI73" s="131"/>
      <c r="AJ73" s="131"/>
      <c r="AK73" s="131"/>
      <c r="AL73" s="131"/>
      <c r="AM73" s="131"/>
    </row>
    <row r="74" customFormat="false" ht="27.75" hidden="false" customHeight="true" outlineLevel="0" collapsed="false">
      <c r="B74" s="109" t="n">
        <v>12</v>
      </c>
      <c r="C74" s="132" t="s">
        <v>277</v>
      </c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3" t="str">
        <f aca="false">IF(COUNT(N68:N73)=0,"",SUM(N68:N73))</f>
        <v/>
      </c>
      <c r="O74" s="133"/>
      <c r="P74" s="133"/>
      <c r="Q74" s="134" t="s">
        <v>278</v>
      </c>
      <c r="R74" s="134"/>
      <c r="S74" s="135"/>
      <c r="T74" s="135"/>
      <c r="U74" s="135"/>
      <c r="V74" s="135"/>
      <c r="W74" s="135"/>
      <c r="X74" s="135"/>
      <c r="Y74" s="135"/>
      <c r="Z74" s="135"/>
      <c r="AA74" s="135"/>
      <c r="AB74" s="135"/>
      <c r="AC74" s="135"/>
      <c r="AD74" s="135"/>
      <c r="AE74" s="135"/>
      <c r="AF74" s="135"/>
      <c r="AG74" s="135"/>
      <c r="AH74" s="135"/>
      <c r="AI74" s="135"/>
      <c r="AJ74" s="135"/>
      <c r="AK74" s="135"/>
      <c r="AL74" s="135"/>
      <c r="AM74" s="135"/>
    </row>
    <row r="75" customFormat="false" ht="9.75" hidden="false" customHeight="true" outlineLevel="0" collapsed="false"/>
    <row r="76" customFormat="false" ht="21.75" hidden="false" customHeight="true" outlineLevel="0" collapsed="false">
      <c r="B76" s="6"/>
      <c r="C76" s="19" t="s">
        <v>279</v>
      </c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</row>
    <row r="77" customFormat="false" ht="24" hidden="false" customHeight="true" outlineLevel="0" collapsed="false">
      <c r="B77" s="60"/>
      <c r="C77" s="61" t="n">
        <v>13</v>
      </c>
      <c r="D77" s="75" t="s">
        <v>280</v>
      </c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92"/>
      <c r="V77" s="60"/>
      <c r="W77" s="61" t="n">
        <v>14</v>
      </c>
      <c r="X77" s="75" t="s">
        <v>281</v>
      </c>
      <c r="Y77" s="75"/>
      <c r="Z77" s="75"/>
      <c r="AA77" s="75"/>
      <c r="AB77" s="75"/>
      <c r="AC77" s="75"/>
      <c r="AD77" s="75"/>
      <c r="AE77" s="75"/>
      <c r="AF77" s="75"/>
      <c r="AG77" s="75"/>
      <c r="AH77" s="75"/>
      <c r="AI77" s="75"/>
      <c r="AJ77" s="75"/>
      <c r="AK77" s="75"/>
      <c r="AL77" s="75"/>
      <c r="AM77" s="92"/>
    </row>
    <row r="78" customFormat="false" ht="18" hidden="false" customHeight="true" outlineLevel="0" collapsed="false">
      <c r="B78" s="63"/>
      <c r="C78" s="136"/>
      <c r="D78" s="136"/>
      <c r="E78" s="136"/>
      <c r="F78" s="136"/>
      <c r="G78" s="136"/>
      <c r="H78" s="136"/>
      <c r="I78" s="136"/>
      <c r="J78" s="136"/>
      <c r="K78" s="136"/>
      <c r="L78" s="136"/>
      <c r="M78" s="136"/>
      <c r="N78" s="136"/>
      <c r="O78" s="136"/>
      <c r="P78" s="136"/>
      <c r="Q78" s="136"/>
      <c r="R78" s="136"/>
      <c r="S78" s="136"/>
      <c r="T78" s="65"/>
      <c r="V78" s="63"/>
      <c r="W78" s="136"/>
      <c r="X78" s="136"/>
      <c r="Y78" s="136"/>
      <c r="Z78" s="136"/>
      <c r="AA78" s="136"/>
      <c r="AB78" s="136"/>
      <c r="AC78" s="136"/>
      <c r="AD78" s="136"/>
      <c r="AE78" s="136"/>
      <c r="AF78" s="136"/>
      <c r="AG78" s="136"/>
      <c r="AH78" s="136"/>
      <c r="AI78" s="136"/>
      <c r="AJ78" s="136"/>
      <c r="AK78" s="136"/>
      <c r="AL78" s="136"/>
      <c r="AM78" s="65"/>
    </row>
    <row r="79" customFormat="false" ht="18" hidden="false" customHeight="true" outlineLevel="0" collapsed="false">
      <c r="B79" s="63"/>
      <c r="C79" s="136"/>
      <c r="D79" s="136"/>
      <c r="E79" s="136"/>
      <c r="F79" s="136"/>
      <c r="G79" s="136"/>
      <c r="H79" s="136"/>
      <c r="I79" s="136"/>
      <c r="J79" s="136"/>
      <c r="K79" s="136"/>
      <c r="L79" s="136"/>
      <c r="M79" s="136"/>
      <c r="N79" s="136"/>
      <c r="O79" s="136"/>
      <c r="P79" s="136"/>
      <c r="Q79" s="136"/>
      <c r="R79" s="136"/>
      <c r="S79" s="136"/>
      <c r="T79" s="65"/>
      <c r="V79" s="63"/>
      <c r="W79" s="136"/>
      <c r="X79" s="136"/>
      <c r="Y79" s="136"/>
      <c r="Z79" s="136"/>
      <c r="AA79" s="136"/>
      <c r="AB79" s="136"/>
      <c r="AC79" s="136"/>
      <c r="AD79" s="136"/>
      <c r="AE79" s="136"/>
      <c r="AF79" s="136"/>
      <c r="AG79" s="136"/>
      <c r="AH79" s="136"/>
      <c r="AI79" s="136"/>
      <c r="AJ79" s="136"/>
      <c r="AK79" s="136"/>
      <c r="AL79" s="136"/>
      <c r="AM79" s="65"/>
    </row>
    <row r="80" customFormat="false" ht="18" hidden="false" customHeight="true" outlineLevel="0" collapsed="false">
      <c r="B80" s="63"/>
      <c r="C80" s="136"/>
      <c r="D80" s="136"/>
      <c r="E80" s="136"/>
      <c r="F80" s="136"/>
      <c r="G80" s="136"/>
      <c r="H80" s="136"/>
      <c r="I80" s="136"/>
      <c r="J80" s="136"/>
      <c r="K80" s="136"/>
      <c r="L80" s="136"/>
      <c r="M80" s="136"/>
      <c r="N80" s="136"/>
      <c r="O80" s="136"/>
      <c r="P80" s="136"/>
      <c r="Q80" s="136"/>
      <c r="R80" s="136"/>
      <c r="S80" s="136"/>
      <c r="T80" s="65"/>
      <c r="V80" s="63"/>
      <c r="W80" s="136"/>
      <c r="X80" s="136"/>
      <c r="Y80" s="136"/>
      <c r="Z80" s="136"/>
      <c r="AA80" s="136"/>
      <c r="AB80" s="136"/>
      <c r="AC80" s="136"/>
      <c r="AD80" s="136"/>
      <c r="AE80" s="136"/>
      <c r="AF80" s="136"/>
      <c r="AG80" s="136"/>
      <c r="AH80" s="136"/>
      <c r="AI80" s="136"/>
      <c r="AJ80" s="136"/>
      <c r="AK80" s="136"/>
      <c r="AL80" s="136"/>
      <c r="AM80" s="65"/>
    </row>
    <row r="81" customFormat="false" ht="6" hidden="false" customHeight="true" outlineLevel="0" collapsed="false">
      <c r="B81" s="67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9"/>
      <c r="V81" s="67"/>
      <c r="W81" s="68"/>
      <c r="X81" s="68"/>
      <c r="Y81" s="68"/>
      <c r="Z81" s="68"/>
      <c r="AA81" s="68"/>
      <c r="AB81" s="68"/>
      <c r="AC81" s="68"/>
      <c r="AD81" s="68"/>
      <c r="AE81" s="68"/>
      <c r="AF81" s="68"/>
      <c r="AG81" s="68"/>
      <c r="AH81" s="68"/>
      <c r="AI81" s="68"/>
      <c r="AJ81" s="68"/>
      <c r="AK81" s="68"/>
      <c r="AL81" s="68"/>
      <c r="AM81" s="69"/>
    </row>
    <row r="82" customFormat="false" ht="54" hidden="false" customHeight="true" outlineLevel="0" collapsed="false"/>
    <row r="83" customFormat="false" ht="6" hidden="false" customHeight="true" outlineLevel="0" collapsed="false"/>
    <row r="84" customFormat="false" ht="19.5" hidden="false" customHeight="true" outlineLevel="0" collapsed="false">
      <c r="B84" s="73" t="s">
        <v>107</v>
      </c>
      <c r="C84" s="73"/>
      <c r="D84" s="73"/>
      <c r="E84" s="73"/>
      <c r="F84" s="73"/>
      <c r="G84" s="73"/>
      <c r="H84" s="73"/>
      <c r="I84" s="73"/>
      <c r="J84" s="73"/>
      <c r="K84" s="73"/>
      <c r="L84" s="74" t="s">
        <v>108</v>
      </c>
      <c r="M84" s="74"/>
      <c r="N84" s="74"/>
      <c r="O84" s="74"/>
      <c r="P84" s="74"/>
      <c r="Q84" s="74"/>
      <c r="R84" s="74"/>
      <c r="S84" s="74"/>
      <c r="U84" s="73" t="s">
        <v>282</v>
      </c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4" t="s">
        <v>108</v>
      </c>
      <c r="AG84" s="74"/>
      <c r="AH84" s="74"/>
      <c r="AI84" s="74"/>
      <c r="AJ84" s="74"/>
      <c r="AK84" s="74"/>
      <c r="AL84" s="74"/>
      <c r="AM84" s="74"/>
    </row>
    <row r="85" customFormat="false" ht="9.75" hidden="false" customHeight="true" outlineLevel="0" collapsed="false"/>
    <row r="86" customFormat="false" ht="18" hidden="false" customHeight="true" outlineLevel="0" collapsed="false">
      <c r="B86" s="75" t="s">
        <v>283</v>
      </c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6" t="s">
        <v>111</v>
      </c>
      <c r="U86" s="76"/>
      <c r="V86" s="76"/>
      <c r="W86" s="76"/>
      <c r="X86" s="76"/>
      <c r="Y86" s="76"/>
      <c r="Z86" s="76"/>
      <c r="AA86" s="76"/>
      <c r="AB86" s="76"/>
      <c r="AC86" s="76"/>
      <c r="AD86" s="76"/>
      <c r="AE86" s="76"/>
      <c r="AF86" s="76"/>
      <c r="AG86" s="76"/>
      <c r="AH86" s="76"/>
      <c r="AI86" s="76"/>
      <c r="AJ86" s="76"/>
      <c r="AK86" s="76"/>
      <c r="AL86" s="76"/>
      <c r="AM86" s="76"/>
    </row>
    <row r="87" customFormat="false" ht="7.5" hidden="false" customHeight="true" outlineLevel="0" collapsed="false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customFormat="false" ht="19.5" hidden="false" customHeight="true" outlineLevel="0" collapsed="false">
      <c r="B88" s="1"/>
      <c r="C88" s="51" t="s">
        <v>233</v>
      </c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1"/>
      <c r="AC88" s="1"/>
      <c r="AD88" s="1"/>
      <c r="AE88" s="52" t="s">
        <v>234</v>
      </c>
      <c r="AF88" s="52"/>
      <c r="AG88" s="52"/>
      <c r="AH88" s="52"/>
      <c r="AI88" s="52"/>
      <c r="AJ88" s="52"/>
      <c r="AK88" s="52"/>
      <c r="AL88" s="1"/>
      <c r="AM88" s="1"/>
    </row>
    <row r="89" customFormat="false" ht="30" hidden="false" customHeight="true" outlineLevel="0" collapsed="false">
      <c r="B89" s="1"/>
      <c r="C89" s="53" t="s">
        <v>235</v>
      </c>
      <c r="D89" s="53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  <c r="AB89" s="54" t="s">
        <v>236</v>
      </c>
      <c r="AC89" s="54"/>
      <c r="AD89" s="54"/>
      <c r="AE89" s="54"/>
      <c r="AF89" s="54"/>
      <c r="AG89" s="54"/>
      <c r="AH89" s="54"/>
      <c r="AI89" s="54"/>
      <c r="AJ89" s="54"/>
      <c r="AK89" s="54"/>
      <c r="AL89" s="1"/>
      <c r="AM89" s="1"/>
    </row>
    <row r="90" customFormat="false" ht="15.75" hidden="false" customHeight="true" outlineLevel="0" collapsed="false">
      <c r="B90" s="1"/>
      <c r="C90" s="55" t="s">
        <v>237</v>
      </c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  <c r="AA90" s="55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customFormat="false" ht="9.75" hidden="false" customHeight="true" outlineLevel="0" collapsed="false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customFormat="false" ht="3.75" hidden="false" customHeight="true" outlineLevel="0" collapsed="false"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</row>
    <row r="93" customFormat="false" ht="7.5" hidden="false" customHeight="true" outlineLevel="0" collapsed="false"/>
    <row r="94" customFormat="false" ht="13.5" hidden="false" customHeight="true" outlineLevel="0" collapsed="false">
      <c r="B94" s="56" t="s">
        <v>238</v>
      </c>
      <c r="C94" s="56"/>
      <c r="D94" s="56"/>
      <c r="E94" s="56"/>
      <c r="F94" s="56"/>
      <c r="G94" s="56"/>
      <c r="H94" s="56"/>
      <c r="I94" s="56"/>
      <c r="J94" s="56"/>
      <c r="K94" s="56"/>
      <c r="M94" s="56" t="s">
        <v>136</v>
      </c>
      <c r="N94" s="56"/>
      <c r="O94" s="56"/>
      <c r="P94" s="56"/>
      <c r="Q94" s="56"/>
      <c r="R94" s="56"/>
      <c r="S94" s="56"/>
      <c r="T94" s="56"/>
      <c r="U94" s="56"/>
      <c r="V94" s="56"/>
      <c r="X94" s="56" t="s">
        <v>239</v>
      </c>
      <c r="Y94" s="56"/>
      <c r="Z94" s="56"/>
      <c r="AA94" s="56"/>
      <c r="AB94" s="56"/>
      <c r="AC94" s="56"/>
      <c r="AD94" s="56"/>
      <c r="AE94" s="56"/>
      <c r="AG94" s="56" t="s">
        <v>240</v>
      </c>
      <c r="AH94" s="56"/>
      <c r="AI94" s="56"/>
      <c r="AJ94" s="56"/>
      <c r="AK94" s="56"/>
      <c r="AL94" s="56"/>
      <c r="AM94" s="56"/>
    </row>
    <row r="95" customFormat="false" ht="21.75" hidden="false" customHeight="true" outlineLevel="0" collapsed="false">
      <c r="B95" s="57" t="str">
        <f aca="false">Dashboard!$B$30</f>
        <v>Harinder</v>
      </c>
      <c r="C95" s="57"/>
      <c r="D95" s="57"/>
      <c r="E95" s="57"/>
      <c r="F95" s="57"/>
      <c r="G95" s="57"/>
      <c r="H95" s="57"/>
      <c r="I95" s="57"/>
      <c r="J95" s="57"/>
      <c r="K95" s="57"/>
      <c r="M95" s="57" t="str">
        <f aca="false">Dashboard!$C$6</f>
        <v>Bindhya TB</v>
      </c>
      <c r="N95" s="57"/>
      <c r="O95" s="57"/>
      <c r="P95" s="57"/>
      <c r="Q95" s="57"/>
      <c r="R95" s="57"/>
      <c r="S95" s="57"/>
      <c r="T95" s="57"/>
      <c r="U95" s="57"/>
      <c r="V95" s="57"/>
      <c r="X95" s="57" t="str">
        <f aca="false">TEXT(Dashboard!$C$8,"mmmm yyyy")</f>
        <v>October 2026</v>
      </c>
      <c r="Y95" s="57"/>
      <c r="Z95" s="57"/>
      <c r="AA95" s="57"/>
      <c r="AB95" s="57"/>
      <c r="AC95" s="57"/>
      <c r="AD95" s="57"/>
      <c r="AE95" s="57"/>
      <c r="AG95" s="106"/>
      <c r="AH95" s="106"/>
      <c r="AI95" s="106"/>
      <c r="AJ95" s="106"/>
      <c r="AK95" s="106"/>
      <c r="AL95" s="106"/>
      <c r="AM95" s="106"/>
    </row>
    <row r="96" customFormat="false" ht="9.75" hidden="false" customHeight="true" outlineLevel="0" collapsed="false"/>
    <row r="97" customFormat="false" ht="21.75" hidden="false" customHeight="true" outlineLevel="0" collapsed="false">
      <c r="B97" s="6"/>
      <c r="C97" s="19" t="s">
        <v>241</v>
      </c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</row>
    <row r="98" customFormat="false" ht="27.75" hidden="false" customHeight="true" outlineLevel="0" collapsed="false">
      <c r="B98" s="60"/>
      <c r="C98" s="61" t="n">
        <v>1</v>
      </c>
      <c r="D98" s="62" t="s">
        <v>242</v>
      </c>
      <c r="E98" s="62"/>
      <c r="F98" s="62"/>
      <c r="G98" s="62"/>
      <c r="H98" s="62"/>
      <c r="I98" s="62"/>
      <c r="J98" s="62"/>
      <c r="L98" s="60"/>
      <c r="M98" s="61" t="n">
        <v>2</v>
      </c>
      <c r="N98" s="62" t="s">
        <v>13</v>
      </c>
      <c r="O98" s="62"/>
      <c r="P98" s="62"/>
      <c r="Q98" s="62"/>
      <c r="R98" s="62"/>
      <c r="S98" s="62"/>
      <c r="T98" s="62"/>
      <c r="V98" s="60"/>
      <c r="W98" s="61" t="n">
        <v>3</v>
      </c>
      <c r="X98" s="62" t="s">
        <v>243</v>
      </c>
      <c r="Y98" s="62"/>
      <c r="Z98" s="62"/>
      <c r="AA98" s="62"/>
      <c r="AB98" s="62"/>
      <c r="AC98" s="62"/>
      <c r="AD98" s="62"/>
      <c r="AF98" s="60"/>
      <c r="AG98" s="61" t="n">
        <v>4</v>
      </c>
      <c r="AH98" s="62" t="s">
        <v>244</v>
      </c>
      <c r="AI98" s="62"/>
      <c r="AJ98" s="62"/>
      <c r="AK98" s="62"/>
      <c r="AL98" s="62"/>
      <c r="AM98" s="62"/>
    </row>
    <row r="99" customFormat="false" ht="25.5" hidden="false" customHeight="true" outlineLevel="0" collapsed="false">
      <c r="B99" s="63"/>
      <c r="C99" s="97" t="str">
        <f aca="false">IF(Dashboard!$C$30="","",Dashboard!$C$30)</f>
        <v/>
      </c>
      <c r="D99" s="97"/>
      <c r="E99" s="97"/>
      <c r="F99" s="97"/>
      <c r="G99" s="97"/>
      <c r="H99" s="97"/>
      <c r="I99" s="97"/>
      <c r="J99" s="65"/>
      <c r="L99" s="63"/>
      <c r="M99" s="97" t="n">
        <f aca="false">Dashboard!$D$30</f>
        <v>0</v>
      </c>
      <c r="N99" s="97"/>
      <c r="O99" s="97"/>
      <c r="P99" s="97"/>
      <c r="Q99" s="97"/>
      <c r="R99" s="97"/>
      <c r="S99" s="97"/>
      <c r="T99" s="65"/>
      <c r="V99" s="63"/>
      <c r="W99" s="107" t="str">
        <f aca="false">IF(C99="","☐ Yes        ☐ No",IF(M99&gt;=C99,"☑ Yes        ☐ No","☐ Yes        ☑ No"))</f>
        <v>☐ Yes        ☐ No</v>
      </c>
      <c r="X99" s="107"/>
      <c r="Y99" s="107"/>
      <c r="Z99" s="107"/>
      <c r="AA99" s="107"/>
      <c r="AB99" s="107"/>
      <c r="AC99" s="107"/>
      <c r="AD99" s="65"/>
      <c r="AF99" s="63"/>
      <c r="AG99" s="108"/>
      <c r="AH99" s="108"/>
      <c r="AI99" s="108"/>
      <c r="AJ99" s="108"/>
      <c r="AK99" s="108"/>
      <c r="AL99" s="108"/>
      <c r="AM99" s="65"/>
    </row>
    <row r="100" customFormat="false" ht="6" hidden="false" customHeight="true" outlineLevel="0" collapsed="false">
      <c r="B100" s="67"/>
      <c r="C100" s="68"/>
      <c r="D100" s="68"/>
      <c r="E100" s="68"/>
      <c r="F100" s="68"/>
      <c r="G100" s="68"/>
      <c r="H100" s="68"/>
      <c r="I100" s="68"/>
      <c r="J100" s="69"/>
      <c r="L100" s="67"/>
      <c r="M100" s="68"/>
      <c r="N100" s="68"/>
      <c r="O100" s="68"/>
      <c r="P100" s="68"/>
      <c r="Q100" s="68"/>
      <c r="R100" s="68"/>
      <c r="S100" s="68"/>
      <c r="T100" s="69"/>
      <c r="V100" s="67"/>
      <c r="W100" s="68"/>
      <c r="X100" s="68"/>
      <c r="Y100" s="68"/>
      <c r="Z100" s="68"/>
      <c r="AA100" s="68"/>
      <c r="AB100" s="68"/>
      <c r="AC100" s="68"/>
      <c r="AD100" s="69"/>
      <c r="AF100" s="67"/>
      <c r="AG100" s="68"/>
      <c r="AH100" s="68"/>
      <c r="AI100" s="68"/>
      <c r="AJ100" s="68"/>
      <c r="AK100" s="68"/>
      <c r="AL100" s="68"/>
      <c r="AM100" s="69"/>
    </row>
    <row r="101" customFormat="false" ht="7.5" hidden="false" customHeight="true" outlineLevel="0" collapsed="false"/>
    <row r="102" customFormat="false" ht="21.75" hidden="false" customHeight="true" outlineLevel="0" collapsed="false">
      <c r="B102" s="109" t="n">
        <v>5</v>
      </c>
      <c r="D102" s="110" t="s">
        <v>245</v>
      </c>
      <c r="E102" s="110"/>
      <c r="F102" s="110"/>
      <c r="G102" s="110"/>
      <c r="H102" s="110"/>
      <c r="I102" s="110"/>
      <c r="J102" s="110"/>
      <c r="K102" s="110"/>
      <c r="L102" s="110"/>
      <c r="M102" s="110"/>
      <c r="N102" s="110"/>
      <c r="O102" s="110"/>
      <c r="P102" s="110"/>
      <c r="Q102" s="110"/>
      <c r="R102" s="110"/>
      <c r="S102" s="110"/>
      <c r="T102" s="110"/>
      <c r="U102" s="110"/>
      <c r="V102" s="110"/>
      <c r="W102" s="110"/>
      <c r="X102" s="110"/>
      <c r="Y102" s="111" t="s">
        <v>246</v>
      </c>
      <c r="Z102" s="111"/>
      <c r="AA102" s="111"/>
      <c r="AB102" s="111"/>
      <c r="AC102" s="111"/>
      <c r="AD102" s="111"/>
    </row>
    <row r="103" customFormat="false" ht="19.5" hidden="false" customHeight="true" outlineLevel="0" collapsed="false">
      <c r="B103" s="112" t="s">
        <v>247</v>
      </c>
      <c r="C103" s="113" t="s">
        <v>248</v>
      </c>
      <c r="D103" s="113"/>
      <c r="E103" s="113"/>
      <c r="F103" s="113"/>
      <c r="G103" s="113"/>
      <c r="H103" s="113"/>
      <c r="I103" s="113"/>
      <c r="J103" s="112" t="s">
        <v>247</v>
      </c>
      <c r="K103" s="113" t="s">
        <v>249</v>
      </c>
      <c r="L103" s="113"/>
      <c r="M103" s="113"/>
      <c r="N103" s="113"/>
      <c r="O103" s="113"/>
      <c r="P103" s="113"/>
      <c r="Q103" s="113"/>
      <c r="R103" s="112" t="s">
        <v>247</v>
      </c>
      <c r="S103" s="113" t="s">
        <v>250</v>
      </c>
      <c r="T103" s="113"/>
      <c r="U103" s="113"/>
      <c r="V103" s="113"/>
      <c r="W103" s="113"/>
      <c r="X103" s="113"/>
      <c r="Y103" s="112" t="s">
        <v>247</v>
      </c>
      <c r="Z103" s="113" t="s">
        <v>251</v>
      </c>
      <c r="AA103" s="113"/>
      <c r="AB103" s="113"/>
      <c r="AC103" s="113"/>
      <c r="AD103" s="113"/>
      <c r="AE103" s="113"/>
      <c r="AF103" s="112" t="s">
        <v>247</v>
      </c>
      <c r="AG103" s="113" t="s">
        <v>252</v>
      </c>
      <c r="AH103" s="113"/>
      <c r="AI103" s="113"/>
      <c r="AJ103" s="113"/>
      <c r="AK103" s="113"/>
      <c r="AL103" s="113"/>
      <c r="AM103" s="113"/>
    </row>
    <row r="104" customFormat="false" ht="19.5" hidden="false" customHeight="true" outlineLevel="0" collapsed="false">
      <c r="B104" s="112" t="s">
        <v>247</v>
      </c>
      <c r="C104" s="113" t="s">
        <v>253</v>
      </c>
      <c r="D104" s="113"/>
      <c r="E104" s="113"/>
      <c r="F104" s="113"/>
      <c r="G104" s="114"/>
      <c r="H104" s="114"/>
      <c r="I104" s="114"/>
      <c r="J104" s="114"/>
      <c r="K104" s="114"/>
      <c r="L104" s="114"/>
      <c r="M104" s="114"/>
      <c r="N104" s="114"/>
      <c r="O104" s="114"/>
      <c r="P104" s="114"/>
    </row>
    <row r="105" customFormat="false" ht="9.75" hidden="false" customHeight="true" outlineLevel="0" collapsed="false"/>
    <row r="106" customFormat="false" ht="21.75" hidden="false" customHeight="true" outlineLevel="0" collapsed="false">
      <c r="B106" s="6"/>
      <c r="C106" s="19" t="s">
        <v>254</v>
      </c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59" t="s">
        <v>255</v>
      </c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  <c r="AF106" s="59"/>
      <c r="AG106" s="59"/>
      <c r="AH106" s="59"/>
      <c r="AI106" s="59"/>
      <c r="AJ106" s="59"/>
      <c r="AK106" s="59"/>
      <c r="AL106" s="59"/>
      <c r="AM106" s="59"/>
    </row>
    <row r="107" customFormat="false" ht="24" hidden="false" customHeight="true" outlineLevel="0" collapsed="false">
      <c r="B107" s="115" t="n">
        <v>1</v>
      </c>
      <c r="C107" s="115"/>
      <c r="D107" s="115"/>
      <c r="E107" s="115"/>
      <c r="F107" s="116" t="n">
        <v>2</v>
      </c>
      <c r="G107" s="116"/>
      <c r="H107" s="116"/>
      <c r="I107" s="116"/>
      <c r="J107" s="117" t="n">
        <v>3</v>
      </c>
      <c r="K107" s="117"/>
      <c r="L107" s="117"/>
      <c r="M107" s="117"/>
      <c r="N107" s="118" t="n">
        <v>4</v>
      </c>
      <c r="O107" s="118"/>
      <c r="P107" s="118"/>
      <c r="Q107" s="118"/>
      <c r="R107" s="119" t="n">
        <v>5</v>
      </c>
      <c r="S107" s="119"/>
      <c r="T107" s="119"/>
      <c r="U107" s="119"/>
      <c r="V107" s="119" t="n">
        <v>6</v>
      </c>
      <c r="W107" s="119"/>
      <c r="X107" s="119"/>
      <c r="Y107" s="119"/>
      <c r="Z107" s="120" t="n">
        <v>7</v>
      </c>
      <c r="AA107" s="120"/>
      <c r="AB107" s="120"/>
      <c r="AC107" s="120"/>
      <c r="AD107" s="121" t="n">
        <v>8</v>
      </c>
      <c r="AE107" s="121"/>
      <c r="AF107" s="121"/>
      <c r="AG107" s="121"/>
      <c r="AH107" s="122" t="n">
        <v>9</v>
      </c>
      <c r="AI107" s="122"/>
      <c r="AJ107" s="122"/>
      <c r="AK107" s="123" t="n">
        <v>10</v>
      </c>
      <c r="AL107" s="123"/>
      <c r="AM107" s="123"/>
    </row>
    <row r="108" customFormat="false" ht="18" hidden="false" customHeight="true" outlineLevel="0" collapsed="false">
      <c r="B108" s="124" t="s">
        <v>256</v>
      </c>
      <c r="C108" s="124"/>
      <c r="D108" s="124"/>
      <c r="E108" s="124"/>
      <c r="F108" s="124" t="s">
        <v>257</v>
      </c>
      <c r="G108" s="124"/>
      <c r="H108" s="124"/>
      <c r="I108" s="124"/>
      <c r="J108" s="124" t="s">
        <v>258</v>
      </c>
      <c r="K108" s="124"/>
      <c r="L108" s="124"/>
      <c r="M108" s="124"/>
      <c r="N108" s="124" t="s">
        <v>259</v>
      </c>
      <c r="O108" s="124"/>
      <c r="P108" s="124"/>
      <c r="Q108" s="124"/>
      <c r="R108" s="124" t="s">
        <v>260</v>
      </c>
      <c r="S108" s="124"/>
      <c r="T108" s="124"/>
      <c r="U108" s="124"/>
      <c r="V108" s="124" t="s">
        <v>261</v>
      </c>
      <c r="W108" s="124"/>
      <c r="X108" s="124"/>
      <c r="Y108" s="124"/>
      <c r="Z108" s="124" t="s">
        <v>262</v>
      </c>
      <c r="AA108" s="124"/>
      <c r="AB108" s="124"/>
      <c r="AC108" s="124"/>
      <c r="AD108" s="124" t="s">
        <v>263</v>
      </c>
      <c r="AE108" s="124"/>
      <c r="AF108" s="124"/>
      <c r="AG108" s="124"/>
      <c r="AH108" s="124" t="s">
        <v>264</v>
      </c>
      <c r="AI108" s="124"/>
      <c r="AJ108" s="124"/>
      <c r="AK108" s="124" t="s">
        <v>265</v>
      </c>
      <c r="AL108" s="124"/>
      <c r="AM108" s="124"/>
    </row>
    <row r="109" customFormat="false" ht="6" hidden="false" customHeight="true" outlineLevel="0" collapsed="false"/>
    <row r="110" customFormat="false" ht="24" hidden="false" customHeight="true" outlineLevel="0" collapsed="false">
      <c r="B110" s="125" t="s">
        <v>266</v>
      </c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6" t="s">
        <v>267</v>
      </c>
      <c r="O110" s="126"/>
      <c r="P110" s="126"/>
      <c r="Q110" s="126"/>
      <c r="R110" s="126"/>
      <c r="S110" s="125" t="s">
        <v>268</v>
      </c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  <c r="AD110" s="125" t="s">
        <v>269</v>
      </c>
      <c r="AE110" s="125"/>
      <c r="AF110" s="125"/>
      <c r="AG110" s="125"/>
      <c r="AH110" s="125"/>
      <c r="AI110" s="125"/>
      <c r="AJ110" s="125"/>
      <c r="AK110" s="125"/>
      <c r="AL110" s="125"/>
      <c r="AM110" s="125"/>
    </row>
    <row r="111" customFormat="false" ht="37.5" hidden="false" customHeight="true" outlineLevel="0" collapsed="false">
      <c r="B111" s="127" t="n">
        <v>6</v>
      </c>
      <c r="C111" s="128" t="s">
        <v>270</v>
      </c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9"/>
      <c r="O111" s="129"/>
      <c r="P111" s="129"/>
      <c r="Q111" s="130" t="s">
        <v>271</v>
      </c>
      <c r="R111" s="130"/>
      <c r="S111" s="131"/>
      <c r="T111" s="131"/>
      <c r="U111" s="131"/>
      <c r="V111" s="131"/>
      <c r="W111" s="131"/>
      <c r="X111" s="131"/>
      <c r="Y111" s="131"/>
      <c r="Z111" s="131"/>
      <c r="AA111" s="131"/>
      <c r="AB111" s="131"/>
      <c r="AC111" s="131"/>
      <c r="AD111" s="131"/>
      <c r="AE111" s="131"/>
      <c r="AF111" s="131"/>
      <c r="AG111" s="131"/>
      <c r="AH111" s="131"/>
      <c r="AI111" s="131"/>
      <c r="AJ111" s="131"/>
      <c r="AK111" s="131"/>
      <c r="AL111" s="131"/>
      <c r="AM111" s="131"/>
    </row>
    <row r="112" customFormat="false" ht="37.5" hidden="false" customHeight="true" outlineLevel="0" collapsed="false">
      <c r="B112" s="127" t="n">
        <v>7</v>
      </c>
      <c r="C112" s="128" t="s">
        <v>272</v>
      </c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9"/>
      <c r="O112" s="129"/>
      <c r="P112" s="129"/>
      <c r="Q112" s="130" t="s">
        <v>271</v>
      </c>
      <c r="R112" s="130"/>
      <c r="S112" s="131"/>
      <c r="T112" s="131"/>
      <c r="U112" s="131"/>
      <c r="V112" s="131"/>
      <c r="W112" s="131"/>
      <c r="X112" s="131"/>
      <c r="Y112" s="131"/>
      <c r="Z112" s="131"/>
      <c r="AA112" s="131"/>
      <c r="AB112" s="131"/>
      <c r="AC112" s="131"/>
      <c r="AD112" s="131"/>
      <c r="AE112" s="131"/>
      <c r="AF112" s="131"/>
      <c r="AG112" s="131"/>
      <c r="AH112" s="131"/>
      <c r="AI112" s="131"/>
      <c r="AJ112" s="131"/>
      <c r="AK112" s="131"/>
      <c r="AL112" s="131"/>
      <c r="AM112" s="131"/>
    </row>
    <row r="113" customFormat="false" ht="37.5" hidden="false" customHeight="true" outlineLevel="0" collapsed="false">
      <c r="B113" s="127" t="n">
        <v>8</v>
      </c>
      <c r="C113" s="128" t="s">
        <v>284</v>
      </c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9"/>
      <c r="O113" s="129"/>
      <c r="P113" s="129"/>
      <c r="Q113" s="130" t="s">
        <v>271</v>
      </c>
      <c r="R113" s="130"/>
      <c r="S113" s="131"/>
      <c r="T113" s="131"/>
      <c r="U113" s="131"/>
      <c r="V113" s="131"/>
      <c r="W113" s="131"/>
      <c r="X113" s="131"/>
      <c r="Y113" s="131"/>
      <c r="Z113" s="131"/>
      <c r="AA113" s="131"/>
      <c r="AB113" s="131"/>
      <c r="AC113" s="131"/>
      <c r="AD113" s="131"/>
      <c r="AE113" s="131"/>
      <c r="AF113" s="131"/>
      <c r="AG113" s="131"/>
      <c r="AH113" s="131"/>
      <c r="AI113" s="131"/>
      <c r="AJ113" s="131"/>
      <c r="AK113" s="131"/>
      <c r="AL113" s="131"/>
      <c r="AM113" s="131"/>
    </row>
    <row r="114" customFormat="false" ht="37.5" hidden="false" customHeight="true" outlineLevel="0" collapsed="false">
      <c r="B114" s="127" t="n">
        <v>9</v>
      </c>
      <c r="C114" s="128" t="s">
        <v>274</v>
      </c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9"/>
      <c r="O114" s="129"/>
      <c r="P114" s="129"/>
      <c r="Q114" s="130" t="s">
        <v>271</v>
      </c>
      <c r="R114" s="130"/>
      <c r="S114" s="131"/>
      <c r="T114" s="131"/>
      <c r="U114" s="131"/>
      <c r="V114" s="131"/>
      <c r="W114" s="131"/>
      <c r="X114" s="131"/>
      <c r="Y114" s="131"/>
      <c r="Z114" s="131"/>
      <c r="AA114" s="131"/>
      <c r="AB114" s="131"/>
      <c r="AC114" s="131"/>
      <c r="AD114" s="131"/>
      <c r="AE114" s="131"/>
      <c r="AF114" s="131"/>
      <c r="AG114" s="131"/>
      <c r="AH114" s="131"/>
      <c r="AI114" s="131"/>
      <c r="AJ114" s="131"/>
      <c r="AK114" s="131"/>
      <c r="AL114" s="131"/>
      <c r="AM114" s="131"/>
    </row>
    <row r="115" customFormat="false" ht="37.5" hidden="false" customHeight="true" outlineLevel="0" collapsed="false">
      <c r="B115" s="127" t="n">
        <v>10</v>
      </c>
      <c r="C115" s="128" t="s">
        <v>275</v>
      </c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9"/>
      <c r="O115" s="129"/>
      <c r="P115" s="129"/>
      <c r="Q115" s="130" t="s">
        <v>271</v>
      </c>
      <c r="R115" s="130"/>
      <c r="S115" s="131"/>
      <c r="T115" s="131"/>
      <c r="U115" s="131"/>
      <c r="V115" s="131"/>
      <c r="W115" s="131"/>
      <c r="X115" s="131"/>
      <c r="Y115" s="131"/>
      <c r="Z115" s="131"/>
      <c r="AA115" s="131"/>
      <c r="AB115" s="131"/>
      <c r="AC115" s="131"/>
      <c r="AD115" s="131"/>
      <c r="AE115" s="131"/>
      <c r="AF115" s="131"/>
      <c r="AG115" s="131"/>
      <c r="AH115" s="131"/>
      <c r="AI115" s="131"/>
      <c r="AJ115" s="131"/>
      <c r="AK115" s="131"/>
      <c r="AL115" s="131"/>
      <c r="AM115" s="131"/>
    </row>
    <row r="116" customFormat="false" ht="37.5" hidden="false" customHeight="true" outlineLevel="0" collapsed="false">
      <c r="B116" s="127" t="n">
        <v>11</v>
      </c>
      <c r="C116" s="128" t="s">
        <v>276</v>
      </c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9"/>
      <c r="O116" s="129"/>
      <c r="P116" s="129"/>
      <c r="Q116" s="130" t="s">
        <v>271</v>
      </c>
      <c r="R116" s="130"/>
      <c r="S116" s="131"/>
      <c r="T116" s="131"/>
      <c r="U116" s="131"/>
      <c r="V116" s="131"/>
      <c r="W116" s="131"/>
      <c r="X116" s="131"/>
      <c r="Y116" s="131"/>
      <c r="Z116" s="131"/>
      <c r="AA116" s="131"/>
      <c r="AB116" s="131"/>
      <c r="AC116" s="131"/>
      <c r="AD116" s="131"/>
      <c r="AE116" s="131"/>
      <c r="AF116" s="131"/>
      <c r="AG116" s="131"/>
      <c r="AH116" s="131"/>
      <c r="AI116" s="131"/>
      <c r="AJ116" s="131"/>
      <c r="AK116" s="131"/>
      <c r="AL116" s="131"/>
      <c r="AM116" s="131"/>
    </row>
    <row r="117" customFormat="false" ht="27.75" hidden="false" customHeight="true" outlineLevel="0" collapsed="false">
      <c r="B117" s="109" t="n">
        <v>12</v>
      </c>
      <c r="C117" s="132" t="s">
        <v>277</v>
      </c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3" t="str">
        <f aca="false">IF(COUNT(N111:N116)=0,"",SUM(N111:N116))</f>
        <v/>
      </c>
      <c r="O117" s="133"/>
      <c r="P117" s="133"/>
      <c r="Q117" s="134" t="s">
        <v>278</v>
      </c>
      <c r="R117" s="134"/>
      <c r="S117" s="135"/>
      <c r="T117" s="135"/>
      <c r="U117" s="135"/>
      <c r="V117" s="135"/>
      <c r="W117" s="135"/>
      <c r="X117" s="135"/>
      <c r="Y117" s="135"/>
      <c r="Z117" s="135"/>
      <c r="AA117" s="135"/>
      <c r="AB117" s="135"/>
      <c r="AC117" s="135"/>
      <c r="AD117" s="135"/>
      <c r="AE117" s="135"/>
      <c r="AF117" s="135"/>
      <c r="AG117" s="135"/>
      <c r="AH117" s="135"/>
      <c r="AI117" s="135"/>
      <c r="AJ117" s="135"/>
      <c r="AK117" s="135"/>
      <c r="AL117" s="135"/>
      <c r="AM117" s="135"/>
    </row>
    <row r="118" customFormat="false" ht="9.75" hidden="false" customHeight="true" outlineLevel="0" collapsed="false"/>
    <row r="119" customFormat="false" ht="21.75" hidden="false" customHeight="true" outlineLevel="0" collapsed="false">
      <c r="B119" s="6"/>
      <c r="C119" s="19" t="s">
        <v>279</v>
      </c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</row>
    <row r="120" customFormat="false" ht="24" hidden="false" customHeight="true" outlineLevel="0" collapsed="false">
      <c r="B120" s="60"/>
      <c r="C120" s="61" t="n">
        <v>13</v>
      </c>
      <c r="D120" s="75" t="s">
        <v>280</v>
      </c>
      <c r="E120" s="75"/>
      <c r="F120" s="75"/>
      <c r="G120" s="75"/>
      <c r="H120" s="75"/>
      <c r="I120" s="75"/>
      <c r="J120" s="75"/>
      <c r="K120" s="75"/>
      <c r="L120" s="75"/>
      <c r="M120" s="75"/>
      <c r="N120" s="75"/>
      <c r="O120" s="75"/>
      <c r="P120" s="75"/>
      <c r="Q120" s="75"/>
      <c r="R120" s="75"/>
      <c r="S120" s="75"/>
      <c r="T120" s="92"/>
      <c r="V120" s="60"/>
      <c r="W120" s="61" t="n">
        <v>14</v>
      </c>
      <c r="X120" s="75" t="s">
        <v>281</v>
      </c>
      <c r="Y120" s="75"/>
      <c r="Z120" s="75"/>
      <c r="AA120" s="75"/>
      <c r="AB120" s="75"/>
      <c r="AC120" s="75"/>
      <c r="AD120" s="75"/>
      <c r="AE120" s="75"/>
      <c r="AF120" s="75"/>
      <c r="AG120" s="75"/>
      <c r="AH120" s="75"/>
      <c r="AI120" s="75"/>
      <c r="AJ120" s="75"/>
      <c r="AK120" s="75"/>
      <c r="AL120" s="75"/>
      <c r="AM120" s="92"/>
    </row>
    <row r="121" customFormat="false" ht="18" hidden="false" customHeight="true" outlineLevel="0" collapsed="false">
      <c r="B121" s="63"/>
      <c r="C121" s="136"/>
      <c r="D121" s="136"/>
      <c r="E121" s="136"/>
      <c r="F121" s="136"/>
      <c r="G121" s="136"/>
      <c r="H121" s="136"/>
      <c r="I121" s="136"/>
      <c r="J121" s="136"/>
      <c r="K121" s="136"/>
      <c r="L121" s="136"/>
      <c r="M121" s="136"/>
      <c r="N121" s="136"/>
      <c r="O121" s="136"/>
      <c r="P121" s="136"/>
      <c r="Q121" s="136"/>
      <c r="R121" s="136"/>
      <c r="S121" s="136"/>
      <c r="T121" s="65"/>
      <c r="V121" s="63"/>
      <c r="W121" s="136"/>
      <c r="X121" s="136"/>
      <c r="Y121" s="136"/>
      <c r="Z121" s="136"/>
      <c r="AA121" s="136"/>
      <c r="AB121" s="136"/>
      <c r="AC121" s="136"/>
      <c r="AD121" s="136"/>
      <c r="AE121" s="136"/>
      <c r="AF121" s="136"/>
      <c r="AG121" s="136"/>
      <c r="AH121" s="136"/>
      <c r="AI121" s="136"/>
      <c r="AJ121" s="136"/>
      <c r="AK121" s="136"/>
      <c r="AL121" s="136"/>
      <c r="AM121" s="65"/>
    </row>
    <row r="122" customFormat="false" ht="18" hidden="false" customHeight="true" outlineLevel="0" collapsed="false">
      <c r="B122" s="63"/>
      <c r="C122" s="136"/>
      <c r="D122" s="136"/>
      <c r="E122" s="136"/>
      <c r="F122" s="136"/>
      <c r="G122" s="136"/>
      <c r="H122" s="136"/>
      <c r="I122" s="136"/>
      <c r="J122" s="136"/>
      <c r="K122" s="136"/>
      <c r="L122" s="136"/>
      <c r="M122" s="136"/>
      <c r="N122" s="136"/>
      <c r="O122" s="136"/>
      <c r="P122" s="136"/>
      <c r="Q122" s="136"/>
      <c r="R122" s="136"/>
      <c r="S122" s="136"/>
      <c r="T122" s="65"/>
      <c r="V122" s="63"/>
      <c r="W122" s="136"/>
      <c r="X122" s="136"/>
      <c r="Y122" s="136"/>
      <c r="Z122" s="136"/>
      <c r="AA122" s="136"/>
      <c r="AB122" s="136"/>
      <c r="AC122" s="136"/>
      <c r="AD122" s="136"/>
      <c r="AE122" s="136"/>
      <c r="AF122" s="136"/>
      <c r="AG122" s="136"/>
      <c r="AH122" s="136"/>
      <c r="AI122" s="136"/>
      <c r="AJ122" s="136"/>
      <c r="AK122" s="136"/>
      <c r="AL122" s="136"/>
      <c r="AM122" s="65"/>
    </row>
    <row r="123" customFormat="false" ht="18" hidden="false" customHeight="true" outlineLevel="0" collapsed="false">
      <c r="B123" s="63"/>
      <c r="C123" s="136"/>
      <c r="D123" s="136"/>
      <c r="E123" s="136"/>
      <c r="F123" s="136"/>
      <c r="G123" s="136"/>
      <c r="H123" s="136"/>
      <c r="I123" s="136"/>
      <c r="J123" s="136"/>
      <c r="K123" s="136"/>
      <c r="L123" s="136"/>
      <c r="M123" s="136"/>
      <c r="N123" s="136"/>
      <c r="O123" s="136"/>
      <c r="P123" s="136"/>
      <c r="Q123" s="136"/>
      <c r="R123" s="136"/>
      <c r="S123" s="136"/>
      <c r="T123" s="65"/>
      <c r="V123" s="63"/>
      <c r="W123" s="136"/>
      <c r="X123" s="136"/>
      <c r="Y123" s="136"/>
      <c r="Z123" s="136"/>
      <c r="AA123" s="136"/>
      <c r="AB123" s="136"/>
      <c r="AC123" s="136"/>
      <c r="AD123" s="136"/>
      <c r="AE123" s="136"/>
      <c r="AF123" s="136"/>
      <c r="AG123" s="136"/>
      <c r="AH123" s="136"/>
      <c r="AI123" s="136"/>
      <c r="AJ123" s="136"/>
      <c r="AK123" s="136"/>
      <c r="AL123" s="136"/>
      <c r="AM123" s="65"/>
    </row>
    <row r="124" customFormat="false" ht="6" hidden="false" customHeight="true" outlineLevel="0" collapsed="false">
      <c r="B124" s="67"/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  <c r="S124" s="68"/>
      <c r="T124" s="69"/>
      <c r="V124" s="67"/>
      <c r="W124" s="68"/>
      <c r="X124" s="68"/>
      <c r="Y124" s="68"/>
      <c r="Z124" s="68"/>
      <c r="AA124" s="68"/>
      <c r="AB124" s="68"/>
      <c r="AC124" s="68"/>
      <c r="AD124" s="68"/>
      <c r="AE124" s="68"/>
      <c r="AF124" s="68"/>
      <c r="AG124" s="68"/>
      <c r="AH124" s="68"/>
      <c r="AI124" s="68"/>
      <c r="AJ124" s="68"/>
      <c r="AK124" s="68"/>
      <c r="AL124" s="68"/>
      <c r="AM124" s="69"/>
    </row>
    <row r="125" customFormat="false" ht="54" hidden="false" customHeight="true" outlineLevel="0" collapsed="false"/>
    <row r="126" customFormat="false" ht="6" hidden="false" customHeight="true" outlineLevel="0" collapsed="false"/>
    <row r="127" customFormat="false" ht="19.5" hidden="false" customHeight="true" outlineLevel="0" collapsed="false">
      <c r="B127" s="73" t="s">
        <v>107</v>
      </c>
      <c r="C127" s="73"/>
      <c r="D127" s="73"/>
      <c r="E127" s="73"/>
      <c r="F127" s="73"/>
      <c r="G127" s="73"/>
      <c r="H127" s="73"/>
      <c r="I127" s="73"/>
      <c r="J127" s="73"/>
      <c r="K127" s="73"/>
      <c r="L127" s="74" t="s">
        <v>108</v>
      </c>
      <c r="M127" s="74"/>
      <c r="N127" s="74"/>
      <c r="O127" s="74"/>
      <c r="P127" s="74"/>
      <c r="Q127" s="74"/>
      <c r="R127" s="74"/>
      <c r="S127" s="74"/>
      <c r="U127" s="73" t="s">
        <v>282</v>
      </c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4" t="s">
        <v>108</v>
      </c>
      <c r="AG127" s="74"/>
      <c r="AH127" s="74"/>
      <c r="AI127" s="74"/>
      <c r="AJ127" s="74"/>
      <c r="AK127" s="74"/>
      <c r="AL127" s="74"/>
      <c r="AM127" s="74"/>
    </row>
    <row r="128" customFormat="false" ht="9.75" hidden="false" customHeight="true" outlineLevel="0" collapsed="false"/>
    <row r="129" customFormat="false" ht="18" hidden="false" customHeight="true" outlineLevel="0" collapsed="false">
      <c r="B129" s="75" t="s">
        <v>283</v>
      </c>
      <c r="C129" s="75"/>
      <c r="D129" s="75"/>
      <c r="E129" s="75"/>
      <c r="F129" s="75"/>
      <c r="G129" s="75"/>
      <c r="H129" s="75"/>
      <c r="I129" s="75"/>
      <c r="J129" s="75"/>
      <c r="K129" s="75"/>
      <c r="L129" s="75"/>
      <c r="M129" s="75"/>
      <c r="N129" s="75"/>
      <c r="O129" s="75"/>
      <c r="P129" s="75"/>
      <c r="Q129" s="75"/>
      <c r="R129" s="75"/>
      <c r="S129" s="75"/>
      <c r="T129" s="76" t="s">
        <v>111</v>
      </c>
      <c r="U129" s="76"/>
      <c r="V129" s="76"/>
      <c r="W129" s="76"/>
      <c r="X129" s="76"/>
      <c r="Y129" s="76"/>
      <c r="Z129" s="76"/>
      <c r="AA129" s="76"/>
      <c r="AB129" s="76"/>
      <c r="AC129" s="76"/>
      <c r="AD129" s="76"/>
      <c r="AE129" s="76"/>
      <c r="AF129" s="76"/>
      <c r="AG129" s="76"/>
      <c r="AH129" s="76"/>
      <c r="AI129" s="76"/>
      <c r="AJ129" s="76"/>
      <c r="AK129" s="76"/>
      <c r="AL129" s="76"/>
      <c r="AM129" s="76"/>
    </row>
    <row r="130" customFormat="false" ht="7.5" hidden="false" customHeight="true" outlineLevel="0" collapsed="false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</row>
    <row r="131" customFormat="false" ht="19.5" hidden="false" customHeight="true" outlineLevel="0" collapsed="false">
      <c r="B131" s="1"/>
      <c r="C131" s="51" t="s">
        <v>233</v>
      </c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1"/>
      <c r="AC131" s="1"/>
      <c r="AD131" s="1"/>
      <c r="AE131" s="52" t="s">
        <v>234</v>
      </c>
      <c r="AF131" s="52"/>
      <c r="AG131" s="52"/>
      <c r="AH131" s="52"/>
      <c r="AI131" s="52"/>
      <c r="AJ131" s="52"/>
      <c r="AK131" s="52"/>
      <c r="AL131" s="1"/>
      <c r="AM131" s="1"/>
    </row>
    <row r="132" customFormat="false" ht="30" hidden="false" customHeight="true" outlineLevel="0" collapsed="false">
      <c r="B132" s="1"/>
      <c r="C132" s="53" t="s">
        <v>235</v>
      </c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  <c r="AB132" s="54" t="s">
        <v>236</v>
      </c>
      <c r="AC132" s="54"/>
      <c r="AD132" s="54"/>
      <c r="AE132" s="54"/>
      <c r="AF132" s="54"/>
      <c r="AG132" s="54"/>
      <c r="AH132" s="54"/>
      <c r="AI132" s="54"/>
      <c r="AJ132" s="54"/>
      <c r="AK132" s="54"/>
      <c r="AL132" s="1"/>
      <c r="AM132" s="1"/>
    </row>
    <row r="133" customFormat="false" ht="15.75" hidden="false" customHeight="true" outlineLevel="0" collapsed="false">
      <c r="B133" s="1"/>
      <c r="C133" s="55" t="s">
        <v>237</v>
      </c>
      <c r="D133" s="55"/>
      <c r="E133" s="55"/>
      <c r="F133" s="55"/>
      <c r="G133" s="55"/>
      <c r="H133" s="55"/>
      <c r="I133" s="55"/>
      <c r="J133" s="55"/>
      <c r="K133" s="55"/>
      <c r="L133" s="55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  <c r="AA133" s="55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</row>
    <row r="134" customFormat="false" ht="9.75" hidden="false" customHeight="true" outlineLevel="0" collapsed="false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</row>
    <row r="135" customFormat="false" ht="3.75" hidden="false" customHeight="true" outlineLevel="0" collapsed="false"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</row>
    <row r="136" customFormat="false" ht="7.5" hidden="false" customHeight="true" outlineLevel="0" collapsed="false"/>
    <row r="137" customFormat="false" ht="13.5" hidden="false" customHeight="true" outlineLevel="0" collapsed="false">
      <c r="B137" s="56" t="s">
        <v>238</v>
      </c>
      <c r="C137" s="56"/>
      <c r="D137" s="56"/>
      <c r="E137" s="56"/>
      <c r="F137" s="56"/>
      <c r="G137" s="56"/>
      <c r="H137" s="56"/>
      <c r="I137" s="56"/>
      <c r="J137" s="56"/>
      <c r="K137" s="56"/>
      <c r="M137" s="56" t="s">
        <v>136</v>
      </c>
      <c r="N137" s="56"/>
      <c r="O137" s="56"/>
      <c r="P137" s="56"/>
      <c r="Q137" s="56"/>
      <c r="R137" s="56"/>
      <c r="S137" s="56"/>
      <c r="T137" s="56"/>
      <c r="U137" s="56"/>
      <c r="V137" s="56"/>
      <c r="X137" s="56" t="s">
        <v>239</v>
      </c>
      <c r="Y137" s="56"/>
      <c r="Z137" s="56"/>
      <c r="AA137" s="56"/>
      <c r="AB137" s="56"/>
      <c r="AC137" s="56"/>
      <c r="AD137" s="56"/>
      <c r="AE137" s="56"/>
      <c r="AG137" s="56" t="s">
        <v>240</v>
      </c>
      <c r="AH137" s="56"/>
      <c r="AI137" s="56"/>
      <c r="AJ137" s="56"/>
      <c r="AK137" s="56"/>
      <c r="AL137" s="56"/>
      <c r="AM137" s="56"/>
    </row>
    <row r="138" customFormat="false" ht="21.75" hidden="false" customHeight="true" outlineLevel="0" collapsed="false">
      <c r="B138" s="57" t="str">
        <f aca="false">Dashboard!$B$31</f>
        <v>Ibrahim</v>
      </c>
      <c r="C138" s="57"/>
      <c r="D138" s="57"/>
      <c r="E138" s="57"/>
      <c r="F138" s="57"/>
      <c r="G138" s="57"/>
      <c r="H138" s="57"/>
      <c r="I138" s="57"/>
      <c r="J138" s="57"/>
      <c r="K138" s="57"/>
      <c r="M138" s="57" t="str">
        <f aca="false">Dashboard!$C$6</f>
        <v>Bindhya TB</v>
      </c>
      <c r="N138" s="57"/>
      <c r="O138" s="57"/>
      <c r="P138" s="57"/>
      <c r="Q138" s="57"/>
      <c r="R138" s="57"/>
      <c r="S138" s="57"/>
      <c r="T138" s="57"/>
      <c r="U138" s="57"/>
      <c r="V138" s="57"/>
      <c r="X138" s="57" t="str">
        <f aca="false">TEXT(Dashboard!$C$8,"mmmm yyyy")</f>
        <v>October 2026</v>
      </c>
      <c r="Y138" s="57"/>
      <c r="Z138" s="57"/>
      <c r="AA138" s="57"/>
      <c r="AB138" s="57"/>
      <c r="AC138" s="57"/>
      <c r="AD138" s="57"/>
      <c r="AE138" s="57"/>
      <c r="AG138" s="106"/>
      <c r="AH138" s="106"/>
      <c r="AI138" s="106"/>
      <c r="AJ138" s="106"/>
      <c r="AK138" s="106"/>
      <c r="AL138" s="106"/>
      <c r="AM138" s="106"/>
    </row>
    <row r="139" customFormat="false" ht="9.75" hidden="false" customHeight="true" outlineLevel="0" collapsed="false"/>
    <row r="140" customFormat="false" ht="21.75" hidden="false" customHeight="true" outlineLevel="0" collapsed="false">
      <c r="B140" s="6"/>
      <c r="C140" s="19" t="s">
        <v>241</v>
      </c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</row>
    <row r="141" customFormat="false" ht="27.75" hidden="false" customHeight="true" outlineLevel="0" collapsed="false">
      <c r="B141" s="60"/>
      <c r="C141" s="61" t="n">
        <v>1</v>
      </c>
      <c r="D141" s="62" t="s">
        <v>242</v>
      </c>
      <c r="E141" s="62"/>
      <c r="F141" s="62"/>
      <c r="G141" s="62"/>
      <c r="H141" s="62"/>
      <c r="I141" s="62"/>
      <c r="J141" s="62"/>
      <c r="L141" s="60"/>
      <c r="M141" s="61" t="n">
        <v>2</v>
      </c>
      <c r="N141" s="62" t="s">
        <v>13</v>
      </c>
      <c r="O141" s="62"/>
      <c r="P141" s="62"/>
      <c r="Q141" s="62"/>
      <c r="R141" s="62"/>
      <c r="S141" s="62"/>
      <c r="T141" s="62"/>
      <c r="V141" s="60"/>
      <c r="W141" s="61" t="n">
        <v>3</v>
      </c>
      <c r="X141" s="62" t="s">
        <v>243</v>
      </c>
      <c r="Y141" s="62"/>
      <c r="Z141" s="62"/>
      <c r="AA141" s="62"/>
      <c r="AB141" s="62"/>
      <c r="AC141" s="62"/>
      <c r="AD141" s="62"/>
      <c r="AF141" s="60"/>
      <c r="AG141" s="61" t="n">
        <v>4</v>
      </c>
      <c r="AH141" s="62" t="s">
        <v>244</v>
      </c>
      <c r="AI141" s="62"/>
      <c r="AJ141" s="62"/>
      <c r="AK141" s="62"/>
      <c r="AL141" s="62"/>
      <c r="AM141" s="62"/>
    </row>
    <row r="142" customFormat="false" ht="25.5" hidden="false" customHeight="true" outlineLevel="0" collapsed="false">
      <c r="B142" s="63"/>
      <c r="C142" s="97" t="str">
        <f aca="false">IF(Dashboard!$C$31="","",Dashboard!$C$31)</f>
        <v/>
      </c>
      <c r="D142" s="97"/>
      <c r="E142" s="97"/>
      <c r="F142" s="97"/>
      <c r="G142" s="97"/>
      <c r="H142" s="97"/>
      <c r="I142" s="97"/>
      <c r="J142" s="65"/>
      <c r="L142" s="63"/>
      <c r="M142" s="97" t="n">
        <f aca="false">Dashboard!$D$31</f>
        <v>0</v>
      </c>
      <c r="N142" s="97"/>
      <c r="O142" s="97"/>
      <c r="P142" s="97"/>
      <c r="Q142" s="97"/>
      <c r="R142" s="97"/>
      <c r="S142" s="97"/>
      <c r="T142" s="65"/>
      <c r="V142" s="63"/>
      <c r="W142" s="107" t="str">
        <f aca="false">IF(C142="","☐ Yes        ☐ No",IF(M142&gt;=C142,"☑ Yes        ☐ No","☐ Yes        ☑ No"))</f>
        <v>☐ Yes        ☐ No</v>
      </c>
      <c r="X142" s="107"/>
      <c r="Y142" s="107"/>
      <c r="Z142" s="107"/>
      <c r="AA142" s="107"/>
      <c r="AB142" s="107"/>
      <c r="AC142" s="107"/>
      <c r="AD142" s="65"/>
      <c r="AF142" s="63"/>
      <c r="AG142" s="108"/>
      <c r="AH142" s="108"/>
      <c r="AI142" s="108"/>
      <c r="AJ142" s="108"/>
      <c r="AK142" s="108"/>
      <c r="AL142" s="108"/>
      <c r="AM142" s="65"/>
    </row>
    <row r="143" customFormat="false" ht="6" hidden="false" customHeight="true" outlineLevel="0" collapsed="false">
      <c r="B143" s="67"/>
      <c r="C143" s="68"/>
      <c r="D143" s="68"/>
      <c r="E143" s="68"/>
      <c r="F143" s="68"/>
      <c r="G143" s="68"/>
      <c r="H143" s="68"/>
      <c r="I143" s="68"/>
      <c r="J143" s="69"/>
      <c r="L143" s="67"/>
      <c r="M143" s="68"/>
      <c r="N143" s="68"/>
      <c r="O143" s="68"/>
      <c r="P143" s="68"/>
      <c r="Q143" s="68"/>
      <c r="R143" s="68"/>
      <c r="S143" s="68"/>
      <c r="T143" s="69"/>
      <c r="V143" s="67"/>
      <c r="W143" s="68"/>
      <c r="X143" s="68"/>
      <c r="Y143" s="68"/>
      <c r="Z143" s="68"/>
      <c r="AA143" s="68"/>
      <c r="AB143" s="68"/>
      <c r="AC143" s="68"/>
      <c r="AD143" s="69"/>
      <c r="AF143" s="67"/>
      <c r="AG143" s="68"/>
      <c r="AH143" s="68"/>
      <c r="AI143" s="68"/>
      <c r="AJ143" s="68"/>
      <c r="AK143" s="68"/>
      <c r="AL143" s="68"/>
      <c r="AM143" s="69"/>
    </row>
    <row r="144" customFormat="false" ht="7.5" hidden="false" customHeight="true" outlineLevel="0" collapsed="false"/>
    <row r="145" customFormat="false" ht="21.75" hidden="false" customHeight="true" outlineLevel="0" collapsed="false">
      <c r="B145" s="109" t="n">
        <v>5</v>
      </c>
      <c r="D145" s="110" t="s">
        <v>245</v>
      </c>
      <c r="E145" s="110"/>
      <c r="F145" s="110"/>
      <c r="G145" s="110"/>
      <c r="H145" s="110"/>
      <c r="I145" s="110"/>
      <c r="J145" s="110"/>
      <c r="K145" s="110"/>
      <c r="L145" s="110"/>
      <c r="M145" s="110"/>
      <c r="N145" s="110"/>
      <c r="O145" s="110"/>
      <c r="P145" s="110"/>
      <c r="Q145" s="110"/>
      <c r="R145" s="110"/>
      <c r="S145" s="110"/>
      <c r="T145" s="110"/>
      <c r="U145" s="110"/>
      <c r="V145" s="110"/>
      <c r="W145" s="110"/>
      <c r="X145" s="110"/>
      <c r="Y145" s="111" t="s">
        <v>246</v>
      </c>
      <c r="Z145" s="111"/>
      <c r="AA145" s="111"/>
      <c r="AB145" s="111"/>
      <c r="AC145" s="111"/>
      <c r="AD145" s="111"/>
    </row>
    <row r="146" customFormat="false" ht="19.5" hidden="false" customHeight="true" outlineLevel="0" collapsed="false">
      <c r="B146" s="112" t="s">
        <v>247</v>
      </c>
      <c r="C146" s="113" t="s">
        <v>248</v>
      </c>
      <c r="D146" s="113"/>
      <c r="E146" s="113"/>
      <c r="F146" s="113"/>
      <c r="G146" s="113"/>
      <c r="H146" s="113"/>
      <c r="I146" s="113"/>
      <c r="J146" s="112" t="s">
        <v>247</v>
      </c>
      <c r="K146" s="113" t="s">
        <v>249</v>
      </c>
      <c r="L146" s="113"/>
      <c r="M146" s="113"/>
      <c r="N146" s="113"/>
      <c r="O146" s="113"/>
      <c r="P146" s="113"/>
      <c r="Q146" s="113"/>
      <c r="R146" s="112" t="s">
        <v>247</v>
      </c>
      <c r="S146" s="113" t="s">
        <v>250</v>
      </c>
      <c r="T146" s="113"/>
      <c r="U146" s="113"/>
      <c r="V146" s="113"/>
      <c r="W146" s="113"/>
      <c r="X146" s="113"/>
      <c r="Y146" s="112" t="s">
        <v>247</v>
      </c>
      <c r="Z146" s="113" t="s">
        <v>251</v>
      </c>
      <c r="AA146" s="113"/>
      <c r="AB146" s="113"/>
      <c r="AC146" s="113"/>
      <c r="AD146" s="113"/>
      <c r="AE146" s="113"/>
      <c r="AF146" s="112" t="s">
        <v>247</v>
      </c>
      <c r="AG146" s="113" t="s">
        <v>252</v>
      </c>
      <c r="AH146" s="113"/>
      <c r="AI146" s="113"/>
      <c r="AJ146" s="113"/>
      <c r="AK146" s="113"/>
      <c r="AL146" s="113"/>
      <c r="AM146" s="113"/>
    </row>
    <row r="147" customFormat="false" ht="19.5" hidden="false" customHeight="true" outlineLevel="0" collapsed="false">
      <c r="B147" s="112" t="s">
        <v>247</v>
      </c>
      <c r="C147" s="113" t="s">
        <v>253</v>
      </c>
      <c r="D147" s="113"/>
      <c r="E147" s="113"/>
      <c r="F147" s="113"/>
      <c r="G147" s="114"/>
      <c r="H147" s="114"/>
      <c r="I147" s="114"/>
      <c r="J147" s="114"/>
      <c r="K147" s="114"/>
      <c r="L147" s="114"/>
      <c r="M147" s="114"/>
      <c r="N147" s="114"/>
      <c r="O147" s="114"/>
      <c r="P147" s="114"/>
    </row>
    <row r="148" customFormat="false" ht="9.75" hidden="false" customHeight="true" outlineLevel="0" collapsed="false"/>
    <row r="149" customFormat="false" ht="21.75" hidden="false" customHeight="true" outlineLevel="0" collapsed="false">
      <c r="B149" s="6"/>
      <c r="C149" s="19" t="s">
        <v>254</v>
      </c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59" t="s">
        <v>255</v>
      </c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  <c r="AF149" s="59"/>
      <c r="AG149" s="59"/>
      <c r="AH149" s="59"/>
      <c r="AI149" s="59"/>
      <c r="AJ149" s="59"/>
      <c r="AK149" s="59"/>
      <c r="AL149" s="59"/>
      <c r="AM149" s="59"/>
    </row>
    <row r="150" customFormat="false" ht="24" hidden="false" customHeight="true" outlineLevel="0" collapsed="false">
      <c r="B150" s="115" t="n">
        <v>1</v>
      </c>
      <c r="C150" s="115"/>
      <c r="D150" s="115"/>
      <c r="E150" s="115"/>
      <c r="F150" s="116" t="n">
        <v>2</v>
      </c>
      <c r="G150" s="116"/>
      <c r="H150" s="116"/>
      <c r="I150" s="116"/>
      <c r="J150" s="117" t="n">
        <v>3</v>
      </c>
      <c r="K150" s="117"/>
      <c r="L150" s="117"/>
      <c r="M150" s="117"/>
      <c r="N150" s="118" t="n">
        <v>4</v>
      </c>
      <c r="O150" s="118"/>
      <c r="P150" s="118"/>
      <c r="Q150" s="118"/>
      <c r="R150" s="119" t="n">
        <v>5</v>
      </c>
      <c r="S150" s="119"/>
      <c r="T150" s="119"/>
      <c r="U150" s="119"/>
      <c r="V150" s="119" t="n">
        <v>6</v>
      </c>
      <c r="W150" s="119"/>
      <c r="X150" s="119"/>
      <c r="Y150" s="119"/>
      <c r="Z150" s="120" t="n">
        <v>7</v>
      </c>
      <c r="AA150" s="120"/>
      <c r="AB150" s="120"/>
      <c r="AC150" s="120"/>
      <c r="AD150" s="121" t="n">
        <v>8</v>
      </c>
      <c r="AE150" s="121"/>
      <c r="AF150" s="121"/>
      <c r="AG150" s="121"/>
      <c r="AH150" s="122" t="n">
        <v>9</v>
      </c>
      <c r="AI150" s="122"/>
      <c r="AJ150" s="122"/>
      <c r="AK150" s="123" t="n">
        <v>10</v>
      </c>
      <c r="AL150" s="123"/>
      <c r="AM150" s="123"/>
    </row>
    <row r="151" customFormat="false" ht="18" hidden="false" customHeight="true" outlineLevel="0" collapsed="false">
      <c r="B151" s="124" t="s">
        <v>256</v>
      </c>
      <c r="C151" s="124"/>
      <c r="D151" s="124"/>
      <c r="E151" s="124"/>
      <c r="F151" s="124" t="s">
        <v>257</v>
      </c>
      <c r="G151" s="124"/>
      <c r="H151" s="124"/>
      <c r="I151" s="124"/>
      <c r="J151" s="124" t="s">
        <v>258</v>
      </c>
      <c r="K151" s="124"/>
      <c r="L151" s="124"/>
      <c r="M151" s="124"/>
      <c r="N151" s="124" t="s">
        <v>259</v>
      </c>
      <c r="O151" s="124"/>
      <c r="P151" s="124"/>
      <c r="Q151" s="124"/>
      <c r="R151" s="124" t="s">
        <v>260</v>
      </c>
      <c r="S151" s="124"/>
      <c r="T151" s="124"/>
      <c r="U151" s="124"/>
      <c r="V151" s="124" t="s">
        <v>261</v>
      </c>
      <c r="W151" s="124"/>
      <c r="X151" s="124"/>
      <c r="Y151" s="124"/>
      <c r="Z151" s="124" t="s">
        <v>262</v>
      </c>
      <c r="AA151" s="124"/>
      <c r="AB151" s="124"/>
      <c r="AC151" s="124"/>
      <c r="AD151" s="124" t="s">
        <v>263</v>
      </c>
      <c r="AE151" s="124"/>
      <c r="AF151" s="124"/>
      <c r="AG151" s="124"/>
      <c r="AH151" s="124" t="s">
        <v>264</v>
      </c>
      <c r="AI151" s="124"/>
      <c r="AJ151" s="124"/>
      <c r="AK151" s="124" t="s">
        <v>265</v>
      </c>
      <c r="AL151" s="124"/>
      <c r="AM151" s="124"/>
    </row>
    <row r="152" customFormat="false" ht="6" hidden="false" customHeight="true" outlineLevel="0" collapsed="false"/>
    <row r="153" customFormat="false" ht="24" hidden="false" customHeight="true" outlineLevel="0" collapsed="false">
      <c r="B153" s="125" t="s">
        <v>266</v>
      </c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6" t="s">
        <v>267</v>
      </c>
      <c r="O153" s="126"/>
      <c r="P153" s="126"/>
      <c r="Q153" s="126"/>
      <c r="R153" s="126"/>
      <c r="S153" s="125" t="s">
        <v>268</v>
      </c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  <c r="AD153" s="125" t="s">
        <v>269</v>
      </c>
      <c r="AE153" s="125"/>
      <c r="AF153" s="125"/>
      <c r="AG153" s="125"/>
      <c r="AH153" s="125"/>
      <c r="AI153" s="125"/>
      <c r="AJ153" s="125"/>
      <c r="AK153" s="125"/>
      <c r="AL153" s="125"/>
      <c r="AM153" s="125"/>
    </row>
    <row r="154" customFormat="false" ht="37.5" hidden="false" customHeight="true" outlineLevel="0" collapsed="false">
      <c r="B154" s="127" t="n">
        <v>6</v>
      </c>
      <c r="C154" s="128" t="s">
        <v>270</v>
      </c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9"/>
      <c r="O154" s="129"/>
      <c r="P154" s="129"/>
      <c r="Q154" s="130" t="s">
        <v>271</v>
      </c>
      <c r="R154" s="130"/>
      <c r="S154" s="131"/>
      <c r="T154" s="131"/>
      <c r="U154" s="131"/>
      <c r="V154" s="131"/>
      <c r="W154" s="131"/>
      <c r="X154" s="131"/>
      <c r="Y154" s="131"/>
      <c r="Z154" s="131"/>
      <c r="AA154" s="131"/>
      <c r="AB154" s="131"/>
      <c r="AC154" s="131"/>
      <c r="AD154" s="131"/>
      <c r="AE154" s="131"/>
      <c r="AF154" s="131"/>
      <c r="AG154" s="131"/>
      <c r="AH154" s="131"/>
      <c r="AI154" s="131"/>
      <c r="AJ154" s="131"/>
      <c r="AK154" s="131"/>
      <c r="AL154" s="131"/>
      <c r="AM154" s="131"/>
    </row>
    <row r="155" customFormat="false" ht="37.5" hidden="false" customHeight="true" outlineLevel="0" collapsed="false">
      <c r="B155" s="127" t="n">
        <v>7</v>
      </c>
      <c r="C155" s="128" t="s">
        <v>272</v>
      </c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9"/>
      <c r="O155" s="129"/>
      <c r="P155" s="129"/>
      <c r="Q155" s="130" t="s">
        <v>271</v>
      </c>
      <c r="R155" s="130"/>
      <c r="S155" s="131"/>
      <c r="T155" s="131"/>
      <c r="U155" s="131"/>
      <c r="V155" s="131"/>
      <c r="W155" s="131"/>
      <c r="X155" s="131"/>
      <c r="Y155" s="131"/>
      <c r="Z155" s="131"/>
      <c r="AA155" s="131"/>
      <c r="AB155" s="131"/>
      <c r="AC155" s="131"/>
      <c r="AD155" s="131"/>
      <c r="AE155" s="131"/>
      <c r="AF155" s="131"/>
      <c r="AG155" s="131"/>
      <c r="AH155" s="131"/>
      <c r="AI155" s="131"/>
      <c r="AJ155" s="131"/>
      <c r="AK155" s="131"/>
      <c r="AL155" s="131"/>
      <c r="AM155" s="131"/>
    </row>
    <row r="156" customFormat="false" ht="37.5" hidden="false" customHeight="true" outlineLevel="0" collapsed="false">
      <c r="B156" s="127" t="n">
        <v>8</v>
      </c>
      <c r="C156" s="128" t="s">
        <v>273</v>
      </c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9"/>
      <c r="O156" s="129"/>
      <c r="P156" s="129"/>
      <c r="Q156" s="130" t="s">
        <v>271</v>
      </c>
      <c r="R156" s="130"/>
      <c r="S156" s="131"/>
      <c r="T156" s="131"/>
      <c r="U156" s="131"/>
      <c r="V156" s="131"/>
      <c r="W156" s="131"/>
      <c r="X156" s="131"/>
      <c r="Y156" s="131"/>
      <c r="Z156" s="131"/>
      <c r="AA156" s="131"/>
      <c r="AB156" s="131"/>
      <c r="AC156" s="131"/>
      <c r="AD156" s="131"/>
      <c r="AE156" s="131"/>
      <c r="AF156" s="131"/>
      <c r="AG156" s="131"/>
      <c r="AH156" s="131"/>
      <c r="AI156" s="131"/>
      <c r="AJ156" s="131"/>
      <c r="AK156" s="131"/>
      <c r="AL156" s="131"/>
      <c r="AM156" s="131"/>
    </row>
    <row r="157" customFormat="false" ht="37.5" hidden="false" customHeight="true" outlineLevel="0" collapsed="false">
      <c r="B157" s="127" t="n">
        <v>9</v>
      </c>
      <c r="C157" s="128" t="s">
        <v>274</v>
      </c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9"/>
      <c r="O157" s="129"/>
      <c r="P157" s="129"/>
      <c r="Q157" s="130" t="s">
        <v>271</v>
      </c>
      <c r="R157" s="130"/>
      <c r="S157" s="131"/>
      <c r="T157" s="131"/>
      <c r="U157" s="131"/>
      <c r="V157" s="131"/>
      <c r="W157" s="131"/>
      <c r="X157" s="131"/>
      <c r="Y157" s="131"/>
      <c r="Z157" s="131"/>
      <c r="AA157" s="131"/>
      <c r="AB157" s="131"/>
      <c r="AC157" s="131"/>
      <c r="AD157" s="131"/>
      <c r="AE157" s="131"/>
      <c r="AF157" s="131"/>
      <c r="AG157" s="131"/>
      <c r="AH157" s="131"/>
      <c r="AI157" s="131"/>
      <c r="AJ157" s="131"/>
      <c r="AK157" s="131"/>
      <c r="AL157" s="131"/>
      <c r="AM157" s="131"/>
    </row>
    <row r="158" customFormat="false" ht="37.5" hidden="false" customHeight="true" outlineLevel="0" collapsed="false">
      <c r="B158" s="127" t="n">
        <v>10</v>
      </c>
      <c r="C158" s="128" t="s">
        <v>275</v>
      </c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9"/>
      <c r="O158" s="129"/>
      <c r="P158" s="129"/>
      <c r="Q158" s="130" t="s">
        <v>271</v>
      </c>
      <c r="R158" s="130"/>
      <c r="S158" s="131"/>
      <c r="T158" s="131"/>
      <c r="U158" s="131"/>
      <c r="V158" s="131"/>
      <c r="W158" s="131"/>
      <c r="X158" s="131"/>
      <c r="Y158" s="131"/>
      <c r="Z158" s="131"/>
      <c r="AA158" s="131"/>
      <c r="AB158" s="131"/>
      <c r="AC158" s="131"/>
      <c r="AD158" s="131"/>
      <c r="AE158" s="131"/>
      <c r="AF158" s="131"/>
      <c r="AG158" s="131"/>
      <c r="AH158" s="131"/>
      <c r="AI158" s="131"/>
      <c r="AJ158" s="131"/>
      <c r="AK158" s="131"/>
      <c r="AL158" s="131"/>
      <c r="AM158" s="131"/>
    </row>
    <row r="159" customFormat="false" ht="37.5" hidden="false" customHeight="true" outlineLevel="0" collapsed="false">
      <c r="B159" s="127" t="n">
        <v>11</v>
      </c>
      <c r="C159" s="128" t="s">
        <v>276</v>
      </c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9"/>
      <c r="O159" s="129"/>
      <c r="P159" s="129"/>
      <c r="Q159" s="130" t="s">
        <v>271</v>
      </c>
      <c r="R159" s="130"/>
      <c r="S159" s="131"/>
      <c r="T159" s="131"/>
      <c r="U159" s="131"/>
      <c r="V159" s="131"/>
      <c r="W159" s="131"/>
      <c r="X159" s="131"/>
      <c r="Y159" s="131"/>
      <c r="Z159" s="131"/>
      <c r="AA159" s="131"/>
      <c r="AB159" s="131"/>
      <c r="AC159" s="131"/>
      <c r="AD159" s="131"/>
      <c r="AE159" s="131"/>
      <c r="AF159" s="131"/>
      <c r="AG159" s="131"/>
      <c r="AH159" s="131"/>
      <c r="AI159" s="131"/>
      <c r="AJ159" s="131"/>
      <c r="AK159" s="131"/>
      <c r="AL159" s="131"/>
      <c r="AM159" s="131"/>
    </row>
    <row r="160" customFormat="false" ht="27.75" hidden="false" customHeight="true" outlineLevel="0" collapsed="false">
      <c r="B160" s="109" t="n">
        <v>12</v>
      </c>
      <c r="C160" s="132" t="s">
        <v>277</v>
      </c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3" t="str">
        <f aca="false">IF(COUNT(N154:N159)=0,"",SUM(N154:N159))</f>
        <v/>
      </c>
      <c r="O160" s="133"/>
      <c r="P160" s="133"/>
      <c r="Q160" s="134" t="s">
        <v>278</v>
      </c>
      <c r="R160" s="134"/>
      <c r="S160" s="135"/>
      <c r="T160" s="135"/>
      <c r="U160" s="135"/>
      <c r="V160" s="135"/>
      <c r="W160" s="135"/>
      <c r="X160" s="135"/>
      <c r="Y160" s="135"/>
      <c r="Z160" s="135"/>
      <c r="AA160" s="135"/>
      <c r="AB160" s="135"/>
      <c r="AC160" s="135"/>
      <c r="AD160" s="135"/>
      <c r="AE160" s="135"/>
      <c r="AF160" s="135"/>
      <c r="AG160" s="135"/>
      <c r="AH160" s="135"/>
      <c r="AI160" s="135"/>
      <c r="AJ160" s="135"/>
      <c r="AK160" s="135"/>
      <c r="AL160" s="135"/>
      <c r="AM160" s="135"/>
    </row>
    <row r="161" customFormat="false" ht="9.75" hidden="false" customHeight="true" outlineLevel="0" collapsed="false"/>
    <row r="162" customFormat="false" ht="21.75" hidden="false" customHeight="true" outlineLevel="0" collapsed="false">
      <c r="B162" s="6"/>
      <c r="C162" s="19" t="s">
        <v>279</v>
      </c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</row>
    <row r="163" customFormat="false" ht="24" hidden="false" customHeight="true" outlineLevel="0" collapsed="false">
      <c r="B163" s="60"/>
      <c r="C163" s="61" t="n">
        <v>13</v>
      </c>
      <c r="D163" s="75" t="s">
        <v>280</v>
      </c>
      <c r="E163" s="75"/>
      <c r="F163" s="75"/>
      <c r="G163" s="75"/>
      <c r="H163" s="75"/>
      <c r="I163" s="75"/>
      <c r="J163" s="75"/>
      <c r="K163" s="75"/>
      <c r="L163" s="75"/>
      <c r="M163" s="75"/>
      <c r="N163" s="75"/>
      <c r="O163" s="75"/>
      <c r="P163" s="75"/>
      <c r="Q163" s="75"/>
      <c r="R163" s="75"/>
      <c r="S163" s="75"/>
      <c r="T163" s="92"/>
      <c r="V163" s="60"/>
      <c r="W163" s="61" t="n">
        <v>14</v>
      </c>
      <c r="X163" s="75" t="s">
        <v>281</v>
      </c>
      <c r="Y163" s="75"/>
      <c r="Z163" s="75"/>
      <c r="AA163" s="75"/>
      <c r="AB163" s="75"/>
      <c r="AC163" s="75"/>
      <c r="AD163" s="75"/>
      <c r="AE163" s="75"/>
      <c r="AF163" s="75"/>
      <c r="AG163" s="75"/>
      <c r="AH163" s="75"/>
      <c r="AI163" s="75"/>
      <c r="AJ163" s="75"/>
      <c r="AK163" s="75"/>
      <c r="AL163" s="75"/>
      <c r="AM163" s="92"/>
    </row>
    <row r="164" customFormat="false" ht="18" hidden="false" customHeight="true" outlineLevel="0" collapsed="false">
      <c r="B164" s="63"/>
      <c r="C164" s="136"/>
      <c r="D164" s="136"/>
      <c r="E164" s="136"/>
      <c r="F164" s="136"/>
      <c r="G164" s="136"/>
      <c r="H164" s="136"/>
      <c r="I164" s="136"/>
      <c r="J164" s="136"/>
      <c r="K164" s="136"/>
      <c r="L164" s="136"/>
      <c r="M164" s="136"/>
      <c r="N164" s="136"/>
      <c r="O164" s="136"/>
      <c r="P164" s="136"/>
      <c r="Q164" s="136"/>
      <c r="R164" s="136"/>
      <c r="S164" s="136"/>
      <c r="T164" s="65"/>
      <c r="V164" s="63"/>
      <c r="W164" s="136"/>
      <c r="X164" s="136"/>
      <c r="Y164" s="136"/>
      <c r="Z164" s="136"/>
      <c r="AA164" s="136"/>
      <c r="AB164" s="136"/>
      <c r="AC164" s="136"/>
      <c r="AD164" s="136"/>
      <c r="AE164" s="136"/>
      <c r="AF164" s="136"/>
      <c r="AG164" s="136"/>
      <c r="AH164" s="136"/>
      <c r="AI164" s="136"/>
      <c r="AJ164" s="136"/>
      <c r="AK164" s="136"/>
      <c r="AL164" s="136"/>
      <c r="AM164" s="65"/>
    </row>
    <row r="165" customFormat="false" ht="18" hidden="false" customHeight="true" outlineLevel="0" collapsed="false">
      <c r="B165" s="63"/>
      <c r="C165" s="136"/>
      <c r="D165" s="136"/>
      <c r="E165" s="136"/>
      <c r="F165" s="136"/>
      <c r="G165" s="136"/>
      <c r="H165" s="136"/>
      <c r="I165" s="136"/>
      <c r="J165" s="136"/>
      <c r="K165" s="136"/>
      <c r="L165" s="136"/>
      <c r="M165" s="136"/>
      <c r="N165" s="136"/>
      <c r="O165" s="136"/>
      <c r="P165" s="136"/>
      <c r="Q165" s="136"/>
      <c r="R165" s="136"/>
      <c r="S165" s="136"/>
      <c r="T165" s="65"/>
      <c r="V165" s="63"/>
      <c r="W165" s="136"/>
      <c r="X165" s="136"/>
      <c r="Y165" s="136"/>
      <c r="Z165" s="136"/>
      <c r="AA165" s="136"/>
      <c r="AB165" s="136"/>
      <c r="AC165" s="136"/>
      <c r="AD165" s="136"/>
      <c r="AE165" s="136"/>
      <c r="AF165" s="136"/>
      <c r="AG165" s="136"/>
      <c r="AH165" s="136"/>
      <c r="AI165" s="136"/>
      <c r="AJ165" s="136"/>
      <c r="AK165" s="136"/>
      <c r="AL165" s="136"/>
      <c r="AM165" s="65"/>
    </row>
    <row r="166" customFormat="false" ht="18" hidden="false" customHeight="true" outlineLevel="0" collapsed="false">
      <c r="B166" s="63"/>
      <c r="C166" s="136"/>
      <c r="D166" s="136"/>
      <c r="E166" s="136"/>
      <c r="F166" s="136"/>
      <c r="G166" s="136"/>
      <c r="H166" s="136"/>
      <c r="I166" s="136"/>
      <c r="J166" s="136"/>
      <c r="K166" s="136"/>
      <c r="L166" s="136"/>
      <c r="M166" s="136"/>
      <c r="N166" s="136"/>
      <c r="O166" s="136"/>
      <c r="P166" s="136"/>
      <c r="Q166" s="136"/>
      <c r="R166" s="136"/>
      <c r="S166" s="136"/>
      <c r="T166" s="65"/>
      <c r="V166" s="63"/>
      <c r="W166" s="136"/>
      <c r="X166" s="136"/>
      <c r="Y166" s="136"/>
      <c r="Z166" s="136"/>
      <c r="AA166" s="136"/>
      <c r="AB166" s="136"/>
      <c r="AC166" s="136"/>
      <c r="AD166" s="136"/>
      <c r="AE166" s="136"/>
      <c r="AF166" s="136"/>
      <c r="AG166" s="136"/>
      <c r="AH166" s="136"/>
      <c r="AI166" s="136"/>
      <c r="AJ166" s="136"/>
      <c r="AK166" s="136"/>
      <c r="AL166" s="136"/>
      <c r="AM166" s="65"/>
    </row>
    <row r="167" customFormat="false" ht="6" hidden="false" customHeight="true" outlineLevel="0" collapsed="false">
      <c r="B167" s="67"/>
      <c r="C167" s="68"/>
      <c r="D167" s="68"/>
      <c r="E167" s="68"/>
      <c r="F167" s="68"/>
      <c r="G167" s="68"/>
      <c r="H167" s="68"/>
      <c r="I167" s="68"/>
      <c r="J167" s="68"/>
      <c r="K167" s="68"/>
      <c r="L167" s="68"/>
      <c r="M167" s="68"/>
      <c r="N167" s="68"/>
      <c r="O167" s="68"/>
      <c r="P167" s="68"/>
      <c r="Q167" s="68"/>
      <c r="R167" s="68"/>
      <c r="S167" s="68"/>
      <c r="T167" s="69"/>
      <c r="V167" s="67"/>
      <c r="W167" s="68"/>
      <c r="X167" s="68"/>
      <c r="Y167" s="68"/>
      <c r="Z167" s="68"/>
      <c r="AA167" s="68"/>
      <c r="AB167" s="68"/>
      <c r="AC167" s="68"/>
      <c r="AD167" s="68"/>
      <c r="AE167" s="68"/>
      <c r="AF167" s="68"/>
      <c r="AG167" s="68"/>
      <c r="AH167" s="68"/>
      <c r="AI167" s="68"/>
      <c r="AJ167" s="68"/>
      <c r="AK167" s="68"/>
      <c r="AL167" s="68"/>
      <c r="AM167" s="69"/>
    </row>
    <row r="168" customFormat="false" ht="54" hidden="false" customHeight="true" outlineLevel="0" collapsed="false"/>
    <row r="169" customFormat="false" ht="6" hidden="false" customHeight="true" outlineLevel="0" collapsed="false"/>
    <row r="170" customFormat="false" ht="19.5" hidden="false" customHeight="true" outlineLevel="0" collapsed="false">
      <c r="B170" s="73" t="s">
        <v>107</v>
      </c>
      <c r="C170" s="73"/>
      <c r="D170" s="73"/>
      <c r="E170" s="73"/>
      <c r="F170" s="73"/>
      <c r="G170" s="73"/>
      <c r="H170" s="73"/>
      <c r="I170" s="73"/>
      <c r="J170" s="73"/>
      <c r="K170" s="73"/>
      <c r="L170" s="74" t="s">
        <v>108</v>
      </c>
      <c r="M170" s="74"/>
      <c r="N170" s="74"/>
      <c r="O170" s="74"/>
      <c r="P170" s="74"/>
      <c r="Q170" s="74"/>
      <c r="R170" s="74"/>
      <c r="S170" s="74"/>
      <c r="U170" s="73" t="s">
        <v>282</v>
      </c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4" t="s">
        <v>108</v>
      </c>
      <c r="AG170" s="74"/>
      <c r="AH170" s="74"/>
      <c r="AI170" s="74"/>
      <c r="AJ170" s="74"/>
      <c r="AK170" s="74"/>
      <c r="AL170" s="74"/>
      <c r="AM170" s="74"/>
    </row>
    <row r="171" customFormat="false" ht="9.75" hidden="false" customHeight="true" outlineLevel="0" collapsed="false"/>
    <row r="172" customFormat="false" ht="18" hidden="false" customHeight="true" outlineLevel="0" collapsed="false">
      <c r="B172" s="75" t="s">
        <v>283</v>
      </c>
      <c r="C172" s="75"/>
      <c r="D172" s="75"/>
      <c r="E172" s="75"/>
      <c r="F172" s="75"/>
      <c r="G172" s="75"/>
      <c r="H172" s="75"/>
      <c r="I172" s="75"/>
      <c r="J172" s="75"/>
      <c r="K172" s="75"/>
      <c r="L172" s="75"/>
      <c r="M172" s="75"/>
      <c r="N172" s="75"/>
      <c r="O172" s="75"/>
      <c r="P172" s="75"/>
      <c r="Q172" s="75"/>
      <c r="R172" s="75"/>
      <c r="S172" s="75"/>
      <c r="T172" s="76" t="s">
        <v>111</v>
      </c>
      <c r="U172" s="76"/>
      <c r="V172" s="76"/>
      <c r="W172" s="76"/>
      <c r="X172" s="76"/>
      <c r="Y172" s="76"/>
      <c r="Z172" s="76"/>
      <c r="AA172" s="76"/>
      <c r="AB172" s="76"/>
      <c r="AC172" s="76"/>
      <c r="AD172" s="76"/>
      <c r="AE172" s="76"/>
      <c r="AF172" s="76"/>
      <c r="AG172" s="76"/>
      <c r="AH172" s="76"/>
      <c r="AI172" s="76"/>
      <c r="AJ172" s="76"/>
      <c r="AK172" s="76"/>
      <c r="AL172" s="76"/>
      <c r="AM172" s="76"/>
    </row>
    <row r="173" customFormat="false" ht="7.5" hidden="false" customHeight="true" outlineLevel="0" collapsed="false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customFormat="false" ht="19.5" hidden="false" customHeight="true" outlineLevel="0" collapsed="false">
      <c r="B174" s="1"/>
      <c r="C174" s="51" t="s">
        <v>233</v>
      </c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1"/>
      <c r="AC174" s="1"/>
      <c r="AD174" s="1"/>
      <c r="AE174" s="52" t="s">
        <v>234</v>
      </c>
      <c r="AF174" s="52"/>
      <c r="AG174" s="52"/>
      <c r="AH174" s="52"/>
      <c r="AI174" s="52"/>
      <c r="AJ174" s="52"/>
      <c r="AK174" s="52"/>
      <c r="AL174" s="1"/>
      <c r="AM174" s="1"/>
    </row>
    <row r="175" customFormat="false" ht="30" hidden="false" customHeight="true" outlineLevel="0" collapsed="false">
      <c r="B175" s="1"/>
      <c r="C175" s="53" t="s">
        <v>235</v>
      </c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4" t="s">
        <v>236</v>
      </c>
      <c r="AC175" s="54"/>
      <c r="AD175" s="54"/>
      <c r="AE175" s="54"/>
      <c r="AF175" s="54"/>
      <c r="AG175" s="54"/>
      <c r="AH175" s="54"/>
      <c r="AI175" s="54"/>
      <c r="AJ175" s="54"/>
      <c r="AK175" s="54"/>
      <c r="AL175" s="1"/>
      <c r="AM175" s="1"/>
    </row>
    <row r="176" customFormat="false" ht="15.75" hidden="false" customHeight="true" outlineLevel="0" collapsed="false">
      <c r="B176" s="1"/>
      <c r="C176" s="55" t="s">
        <v>237</v>
      </c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customFormat="false" ht="9.75" hidden="false" customHeight="true" outlineLevel="0" collapsed="false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 customFormat="false" ht="3.75" hidden="false" customHeight="true" outlineLevel="0" collapsed="false"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</row>
    <row r="179" customFormat="false" ht="7.5" hidden="false" customHeight="true" outlineLevel="0" collapsed="false"/>
    <row r="180" customFormat="false" ht="13.5" hidden="false" customHeight="true" outlineLevel="0" collapsed="false">
      <c r="B180" s="56" t="s">
        <v>238</v>
      </c>
      <c r="C180" s="56"/>
      <c r="D180" s="56"/>
      <c r="E180" s="56"/>
      <c r="F180" s="56"/>
      <c r="G180" s="56"/>
      <c r="H180" s="56"/>
      <c r="I180" s="56"/>
      <c r="J180" s="56"/>
      <c r="K180" s="56"/>
      <c r="M180" s="56" t="s">
        <v>136</v>
      </c>
      <c r="N180" s="56"/>
      <c r="O180" s="56"/>
      <c r="P180" s="56"/>
      <c r="Q180" s="56"/>
      <c r="R180" s="56"/>
      <c r="S180" s="56"/>
      <c r="T180" s="56"/>
      <c r="U180" s="56"/>
      <c r="V180" s="56"/>
      <c r="X180" s="56" t="s">
        <v>239</v>
      </c>
      <c r="Y180" s="56"/>
      <c r="Z180" s="56"/>
      <c r="AA180" s="56"/>
      <c r="AB180" s="56"/>
      <c r="AC180" s="56"/>
      <c r="AD180" s="56"/>
      <c r="AE180" s="56"/>
      <c r="AG180" s="56" t="s">
        <v>240</v>
      </c>
      <c r="AH180" s="56"/>
      <c r="AI180" s="56"/>
      <c r="AJ180" s="56"/>
      <c r="AK180" s="56"/>
      <c r="AL180" s="56"/>
      <c r="AM180" s="56"/>
    </row>
    <row r="181" customFormat="false" ht="21.75" hidden="false" customHeight="true" outlineLevel="0" collapsed="false">
      <c r="B181" s="57" t="str">
        <f aca="false">Dashboard!$B$32</f>
        <v>Khozema</v>
      </c>
      <c r="C181" s="57"/>
      <c r="D181" s="57"/>
      <c r="E181" s="57"/>
      <c r="F181" s="57"/>
      <c r="G181" s="57"/>
      <c r="H181" s="57"/>
      <c r="I181" s="57"/>
      <c r="J181" s="57"/>
      <c r="K181" s="57"/>
      <c r="M181" s="57" t="str">
        <f aca="false">Dashboard!$C$6</f>
        <v>Bindhya TB</v>
      </c>
      <c r="N181" s="57"/>
      <c r="O181" s="57"/>
      <c r="P181" s="57"/>
      <c r="Q181" s="57"/>
      <c r="R181" s="57"/>
      <c r="S181" s="57"/>
      <c r="T181" s="57"/>
      <c r="U181" s="57"/>
      <c r="V181" s="57"/>
      <c r="X181" s="57" t="str">
        <f aca="false">TEXT(Dashboard!$C$8,"mmmm yyyy")</f>
        <v>October 2026</v>
      </c>
      <c r="Y181" s="57"/>
      <c r="Z181" s="57"/>
      <c r="AA181" s="57"/>
      <c r="AB181" s="57"/>
      <c r="AC181" s="57"/>
      <c r="AD181" s="57"/>
      <c r="AE181" s="57"/>
      <c r="AG181" s="106"/>
      <c r="AH181" s="106"/>
      <c r="AI181" s="106"/>
      <c r="AJ181" s="106"/>
      <c r="AK181" s="106"/>
      <c r="AL181" s="106"/>
      <c r="AM181" s="106"/>
    </row>
    <row r="182" customFormat="false" ht="9.75" hidden="false" customHeight="true" outlineLevel="0" collapsed="false"/>
    <row r="183" customFormat="false" ht="21.75" hidden="false" customHeight="true" outlineLevel="0" collapsed="false">
      <c r="B183" s="6"/>
      <c r="C183" s="19" t="s">
        <v>241</v>
      </c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</row>
    <row r="184" customFormat="false" ht="27.75" hidden="false" customHeight="true" outlineLevel="0" collapsed="false">
      <c r="B184" s="60"/>
      <c r="C184" s="61" t="n">
        <v>1</v>
      </c>
      <c r="D184" s="62" t="s">
        <v>242</v>
      </c>
      <c r="E184" s="62"/>
      <c r="F184" s="62"/>
      <c r="G184" s="62"/>
      <c r="H184" s="62"/>
      <c r="I184" s="62"/>
      <c r="J184" s="62"/>
      <c r="L184" s="60"/>
      <c r="M184" s="61" t="n">
        <v>2</v>
      </c>
      <c r="N184" s="62" t="s">
        <v>13</v>
      </c>
      <c r="O184" s="62"/>
      <c r="P184" s="62"/>
      <c r="Q184" s="62"/>
      <c r="R184" s="62"/>
      <c r="S184" s="62"/>
      <c r="T184" s="62"/>
      <c r="V184" s="60"/>
      <c r="W184" s="61" t="n">
        <v>3</v>
      </c>
      <c r="X184" s="62" t="s">
        <v>243</v>
      </c>
      <c r="Y184" s="62"/>
      <c r="Z184" s="62"/>
      <c r="AA184" s="62"/>
      <c r="AB184" s="62"/>
      <c r="AC184" s="62"/>
      <c r="AD184" s="62"/>
      <c r="AF184" s="60"/>
      <c r="AG184" s="61" t="n">
        <v>4</v>
      </c>
      <c r="AH184" s="62" t="s">
        <v>244</v>
      </c>
      <c r="AI184" s="62"/>
      <c r="AJ184" s="62"/>
      <c r="AK184" s="62"/>
      <c r="AL184" s="62"/>
      <c r="AM184" s="62"/>
    </row>
    <row r="185" customFormat="false" ht="25.5" hidden="false" customHeight="true" outlineLevel="0" collapsed="false">
      <c r="B185" s="63"/>
      <c r="C185" s="97" t="str">
        <f aca="false">IF(Dashboard!$C$32="","",Dashboard!$C$32)</f>
        <v/>
      </c>
      <c r="D185" s="97"/>
      <c r="E185" s="97"/>
      <c r="F185" s="97"/>
      <c r="G185" s="97"/>
      <c r="H185" s="97"/>
      <c r="I185" s="97"/>
      <c r="J185" s="65"/>
      <c r="L185" s="63"/>
      <c r="M185" s="97" t="n">
        <f aca="false">Dashboard!$D$32</f>
        <v>0</v>
      </c>
      <c r="N185" s="97"/>
      <c r="O185" s="97"/>
      <c r="P185" s="97"/>
      <c r="Q185" s="97"/>
      <c r="R185" s="97"/>
      <c r="S185" s="97"/>
      <c r="T185" s="65"/>
      <c r="V185" s="63"/>
      <c r="W185" s="107" t="str">
        <f aca="false">IF(C185="","☐ Yes        ☐ No",IF(M185&gt;=C185,"☑ Yes        ☐ No","☐ Yes        ☑ No"))</f>
        <v>☐ Yes        ☐ No</v>
      </c>
      <c r="X185" s="107"/>
      <c r="Y185" s="107"/>
      <c r="Z185" s="107"/>
      <c r="AA185" s="107"/>
      <c r="AB185" s="107"/>
      <c r="AC185" s="107"/>
      <c r="AD185" s="65"/>
      <c r="AF185" s="63"/>
      <c r="AG185" s="108"/>
      <c r="AH185" s="108"/>
      <c r="AI185" s="108"/>
      <c r="AJ185" s="108"/>
      <c r="AK185" s="108"/>
      <c r="AL185" s="108"/>
      <c r="AM185" s="65"/>
    </row>
    <row r="186" customFormat="false" ht="6" hidden="false" customHeight="true" outlineLevel="0" collapsed="false">
      <c r="B186" s="67"/>
      <c r="C186" s="68"/>
      <c r="D186" s="68"/>
      <c r="E186" s="68"/>
      <c r="F186" s="68"/>
      <c r="G186" s="68"/>
      <c r="H186" s="68"/>
      <c r="I186" s="68"/>
      <c r="J186" s="69"/>
      <c r="L186" s="67"/>
      <c r="M186" s="68"/>
      <c r="N186" s="68"/>
      <c r="O186" s="68"/>
      <c r="P186" s="68"/>
      <c r="Q186" s="68"/>
      <c r="R186" s="68"/>
      <c r="S186" s="68"/>
      <c r="T186" s="69"/>
      <c r="V186" s="67"/>
      <c r="W186" s="68"/>
      <c r="X186" s="68"/>
      <c r="Y186" s="68"/>
      <c r="Z186" s="68"/>
      <c r="AA186" s="68"/>
      <c r="AB186" s="68"/>
      <c r="AC186" s="68"/>
      <c r="AD186" s="69"/>
      <c r="AF186" s="67"/>
      <c r="AG186" s="68"/>
      <c r="AH186" s="68"/>
      <c r="AI186" s="68"/>
      <c r="AJ186" s="68"/>
      <c r="AK186" s="68"/>
      <c r="AL186" s="68"/>
      <c r="AM186" s="69"/>
    </row>
    <row r="187" customFormat="false" ht="7.5" hidden="false" customHeight="true" outlineLevel="0" collapsed="false"/>
    <row r="188" customFormat="false" ht="21.75" hidden="false" customHeight="true" outlineLevel="0" collapsed="false">
      <c r="B188" s="109" t="n">
        <v>5</v>
      </c>
      <c r="D188" s="110" t="s">
        <v>245</v>
      </c>
      <c r="E188" s="110"/>
      <c r="F188" s="110"/>
      <c r="G188" s="110"/>
      <c r="H188" s="110"/>
      <c r="I188" s="110"/>
      <c r="J188" s="110"/>
      <c r="K188" s="110"/>
      <c r="L188" s="110"/>
      <c r="M188" s="110"/>
      <c r="N188" s="110"/>
      <c r="O188" s="110"/>
      <c r="P188" s="110"/>
      <c r="Q188" s="110"/>
      <c r="R188" s="110"/>
      <c r="S188" s="110"/>
      <c r="T188" s="110"/>
      <c r="U188" s="110"/>
      <c r="V188" s="110"/>
      <c r="W188" s="110"/>
      <c r="X188" s="110"/>
      <c r="Y188" s="111" t="s">
        <v>246</v>
      </c>
      <c r="Z188" s="111"/>
      <c r="AA188" s="111"/>
      <c r="AB188" s="111"/>
      <c r="AC188" s="111"/>
      <c r="AD188" s="111"/>
    </row>
    <row r="189" customFormat="false" ht="19.5" hidden="false" customHeight="true" outlineLevel="0" collapsed="false">
      <c r="B189" s="112" t="s">
        <v>247</v>
      </c>
      <c r="C189" s="113" t="s">
        <v>248</v>
      </c>
      <c r="D189" s="113"/>
      <c r="E189" s="113"/>
      <c r="F189" s="113"/>
      <c r="G189" s="113"/>
      <c r="H189" s="113"/>
      <c r="I189" s="113"/>
      <c r="J189" s="112" t="s">
        <v>247</v>
      </c>
      <c r="K189" s="113" t="s">
        <v>249</v>
      </c>
      <c r="L189" s="113"/>
      <c r="M189" s="113"/>
      <c r="N189" s="113"/>
      <c r="O189" s="113"/>
      <c r="P189" s="113"/>
      <c r="Q189" s="113"/>
      <c r="R189" s="112" t="s">
        <v>247</v>
      </c>
      <c r="S189" s="113" t="s">
        <v>250</v>
      </c>
      <c r="T189" s="113"/>
      <c r="U189" s="113"/>
      <c r="V189" s="113"/>
      <c r="W189" s="113"/>
      <c r="X189" s="113"/>
      <c r="Y189" s="112" t="s">
        <v>247</v>
      </c>
      <c r="Z189" s="113" t="s">
        <v>251</v>
      </c>
      <c r="AA189" s="113"/>
      <c r="AB189" s="113"/>
      <c r="AC189" s="113"/>
      <c r="AD189" s="113"/>
      <c r="AE189" s="113"/>
      <c r="AF189" s="112" t="s">
        <v>247</v>
      </c>
      <c r="AG189" s="113" t="s">
        <v>252</v>
      </c>
      <c r="AH189" s="113"/>
      <c r="AI189" s="113"/>
      <c r="AJ189" s="113"/>
      <c r="AK189" s="113"/>
      <c r="AL189" s="113"/>
      <c r="AM189" s="113"/>
    </row>
    <row r="190" customFormat="false" ht="19.5" hidden="false" customHeight="true" outlineLevel="0" collapsed="false">
      <c r="B190" s="112" t="s">
        <v>247</v>
      </c>
      <c r="C190" s="113" t="s">
        <v>253</v>
      </c>
      <c r="D190" s="113"/>
      <c r="E190" s="113"/>
      <c r="F190" s="113"/>
      <c r="G190" s="114"/>
      <c r="H190" s="114"/>
      <c r="I190" s="114"/>
      <c r="J190" s="114"/>
      <c r="K190" s="114"/>
      <c r="L190" s="114"/>
      <c r="M190" s="114"/>
      <c r="N190" s="114"/>
      <c r="O190" s="114"/>
      <c r="P190" s="114"/>
    </row>
    <row r="191" customFormat="false" ht="9.75" hidden="false" customHeight="true" outlineLevel="0" collapsed="false"/>
    <row r="192" customFormat="false" ht="21.75" hidden="false" customHeight="true" outlineLevel="0" collapsed="false">
      <c r="B192" s="6"/>
      <c r="C192" s="19" t="s">
        <v>254</v>
      </c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59" t="s">
        <v>255</v>
      </c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  <c r="AF192" s="59"/>
      <c r="AG192" s="59"/>
      <c r="AH192" s="59"/>
      <c r="AI192" s="59"/>
      <c r="AJ192" s="59"/>
      <c r="AK192" s="59"/>
      <c r="AL192" s="59"/>
      <c r="AM192" s="59"/>
    </row>
    <row r="193" customFormat="false" ht="24" hidden="false" customHeight="true" outlineLevel="0" collapsed="false">
      <c r="B193" s="115" t="n">
        <v>1</v>
      </c>
      <c r="C193" s="115"/>
      <c r="D193" s="115"/>
      <c r="E193" s="115"/>
      <c r="F193" s="116" t="n">
        <v>2</v>
      </c>
      <c r="G193" s="116"/>
      <c r="H193" s="116"/>
      <c r="I193" s="116"/>
      <c r="J193" s="117" t="n">
        <v>3</v>
      </c>
      <c r="K193" s="117"/>
      <c r="L193" s="117"/>
      <c r="M193" s="117"/>
      <c r="N193" s="118" t="n">
        <v>4</v>
      </c>
      <c r="O193" s="118"/>
      <c r="P193" s="118"/>
      <c r="Q193" s="118"/>
      <c r="R193" s="119" t="n">
        <v>5</v>
      </c>
      <c r="S193" s="119"/>
      <c r="T193" s="119"/>
      <c r="U193" s="119"/>
      <c r="V193" s="119" t="n">
        <v>6</v>
      </c>
      <c r="W193" s="119"/>
      <c r="X193" s="119"/>
      <c r="Y193" s="119"/>
      <c r="Z193" s="120" t="n">
        <v>7</v>
      </c>
      <c r="AA193" s="120"/>
      <c r="AB193" s="120"/>
      <c r="AC193" s="120"/>
      <c r="AD193" s="121" t="n">
        <v>8</v>
      </c>
      <c r="AE193" s="121"/>
      <c r="AF193" s="121"/>
      <c r="AG193" s="121"/>
      <c r="AH193" s="122" t="n">
        <v>9</v>
      </c>
      <c r="AI193" s="122"/>
      <c r="AJ193" s="122"/>
      <c r="AK193" s="123" t="n">
        <v>10</v>
      </c>
      <c r="AL193" s="123"/>
      <c r="AM193" s="123"/>
    </row>
    <row r="194" customFormat="false" ht="18" hidden="false" customHeight="true" outlineLevel="0" collapsed="false">
      <c r="B194" s="124" t="s">
        <v>256</v>
      </c>
      <c r="C194" s="124"/>
      <c r="D194" s="124"/>
      <c r="E194" s="124"/>
      <c r="F194" s="124" t="s">
        <v>257</v>
      </c>
      <c r="G194" s="124"/>
      <c r="H194" s="124"/>
      <c r="I194" s="124"/>
      <c r="J194" s="124" t="s">
        <v>258</v>
      </c>
      <c r="K194" s="124"/>
      <c r="L194" s="124"/>
      <c r="M194" s="124"/>
      <c r="N194" s="124" t="s">
        <v>259</v>
      </c>
      <c r="O194" s="124"/>
      <c r="P194" s="124"/>
      <c r="Q194" s="124"/>
      <c r="R194" s="124" t="s">
        <v>260</v>
      </c>
      <c r="S194" s="124"/>
      <c r="T194" s="124"/>
      <c r="U194" s="124"/>
      <c r="V194" s="124" t="s">
        <v>261</v>
      </c>
      <c r="W194" s="124"/>
      <c r="X194" s="124"/>
      <c r="Y194" s="124"/>
      <c r="Z194" s="124" t="s">
        <v>262</v>
      </c>
      <c r="AA194" s="124"/>
      <c r="AB194" s="124"/>
      <c r="AC194" s="124"/>
      <c r="AD194" s="124" t="s">
        <v>263</v>
      </c>
      <c r="AE194" s="124"/>
      <c r="AF194" s="124"/>
      <c r="AG194" s="124"/>
      <c r="AH194" s="124" t="s">
        <v>264</v>
      </c>
      <c r="AI194" s="124"/>
      <c r="AJ194" s="124"/>
      <c r="AK194" s="124" t="s">
        <v>265</v>
      </c>
      <c r="AL194" s="124"/>
      <c r="AM194" s="124"/>
    </row>
    <row r="195" customFormat="false" ht="6" hidden="false" customHeight="true" outlineLevel="0" collapsed="false"/>
    <row r="196" customFormat="false" ht="24" hidden="false" customHeight="true" outlineLevel="0" collapsed="false">
      <c r="B196" s="125" t="s">
        <v>266</v>
      </c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6" t="s">
        <v>267</v>
      </c>
      <c r="O196" s="126"/>
      <c r="P196" s="126"/>
      <c r="Q196" s="126"/>
      <c r="R196" s="126"/>
      <c r="S196" s="125" t="s">
        <v>268</v>
      </c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  <c r="AD196" s="125" t="s">
        <v>269</v>
      </c>
      <c r="AE196" s="125"/>
      <c r="AF196" s="125"/>
      <c r="AG196" s="125"/>
      <c r="AH196" s="125"/>
      <c r="AI196" s="125"/>
      <c r="AJ196" s="125"/>
      <c r="AK196" s="125"/>
      <c r="AL196" s="125"/>
      <c r="AM196" s="125"/>
    </row>
    <row r="197" customFormat="false" ht="37.5" hidden="false" customHeight="true" outlineLevel="0" collapsed="false">
      <c r="B197" s="127" t="n">
        <v>6</v>
      </c>
      <c r="C197" s="128" t="s">
        <v>270</v>
      </c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9"/>
      <c r="O197" s="129"/>
      <c r="P197" s="129"/>
      <c r="Q197" s="130" t="s">
        <v>271</v>
      </c>
      <c r="R197" s="130"/>
      <c r="S197" s="131"/>
      <c r="T197" s="131"/>
      <c r="U197" s="131"/>
      <c r="V197" s="131"/>
      <c r="W197" s="131"/>
      <c r="X197" s="131"/>
      <c r="Y197" s="131"/>
      <c r="Z197" s="131"/>
      <c r="AA197" s="131"/>
      <c r="AB197" s="131"/>
      <c r="AC197" s="131"/>
      <c r="AD197" s="131"/>
      <c r="AE197" s="131"/>
      <c r="AF197" s="131"/>
      <c r="AG197" s="131"/>
      <c r="AH197" s="131"/>
      <c r="AI197" s="131"/>
      <c r="AJ197" s="131"/>
      <c r="AK197" s="131"/>
      <c r="AL197" s="131"/>
      <c r="AM197" s="131"/>
    </row>
    <row r="198" customFormat="false" ht="37.5" hidden="false" customHeight="true" outlineLevel="0" collapsed="false">
      <c r="B198" s="127" t="n">
        <v>7</v>
      </c>
      <c r="C198" s="128" t="s">
        <v>272</v>
      </c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9"/>
      <c r="O198" s="129"/>
      <c r="P198" s="129"/>
      <c r="Q198" s="130" t="s">
        <v>271</v>
      </c>
      <c r="R198" s="130"/>
      <c r="S198" s="131"/>
      <c r="T198" s="131"/>
      <c r="U198" s="131"/>
      <c r="V198" s="131"/>
      <c r="W198" s="131"/>
      <c r="X198" s="131"/>
      <c r="Y198" s="131"/>
      <c r="Z198" s="131"/>
      <c r="AA198" s="131"/>
      <c r="AB198" s="131"/>
      <c r="AC198" s="131"/>
      <c r="AD198" s="131"/>
      <c r="AE198" s="131"/>
      <c r="AF198" s="131"/>
      <c r="AG198" s="131"/>
      <c r="AH198" s="131"/>
      <c r="AI198" s="131"/>
      <c r="AJ198" s="131"/>
      <c r="AK198" s="131"/>
      <c r="AL198" s="131"/>
      <c r="AM198" s="131"/>
    </row>
    <row r="199" customFormat="false" ht="37.5" hidden="false" customHeight="true" outlineLevel="0" collapsed="false">
      <c r="B199" s="127" t="n">
        <v>8</v>
      </c>
      <c r="C199" s="128" t="s">
        <v>273</v>
      </c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9"/>
      <c r="O199" s="129"/>
      <c r="P199" s="129"/>
      <c r="Q199" s="130" t="s">
        <v>271</v>
      </c>
      <c r="R199" s="130"/>
      <c r="S199" s="131"/>
      <c r="T199" s="131"/>
      <c r="U199" s="131"/>
      <c r="V199" s="131"/>
      <c r="W199" s="131"/>
      <c r="X199" s="131"/>
      <c r="Y199" s="131"/>
      <c r="Z199" s="131"/>
      <c r="AA199" s="131"/>
      <c r="AB199" s="131"/>
      <c r="AC199" s="131"/>
      <c r="AD199" s="131"/>
      <c r="AE199" s="131"/>
      <c r="AF199" s="131"/>
      <c r="AG199" s="131"/>
      <c r="AH199" s="131"/>
      <c r="AI199" s="131"/>
      <c r="AJ199" s="131"/>
      <c r="AK199" s="131"/>
      <c r="AL199" s="131"/>
      <c r="AM199" s="131"/>
    </row>
    <row r="200" customFormat="false" ht="37.5" hidden="false" customHeight="true" outlineLevel="0" collapsed="false">
      <c r="B200" s="127" t="n">
        <v>9</v>
      </c>
      <c r="C200" s="128" t="s">
        <v>274</v>
      </c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9"/>
      <c r="O200" s="129"/>
      <c r="P200" s="129"/>
      <c r="Q200" s="130" t="s">
        <v>271</v>
      </c>
      <c r="R200" s="130"/>
      <c r="S200" s="131"/>
      <c r="T200" s="131"/>
      <c r="U200" s="131"/>
      <c r="V200" s="131"/>
      <c r="W200" s="131"/>
      <c r="X200" s="131"/>
      <c r="Y200" s="131"/>
      <c r="Z200" s="131"/>
      <c r="AA200" s="131"/>
      <c r="AB200" s="131"/>
      <c r="AC200" s="131"/>
      <c r="AD200" s="131"/>
      <c r="AE200" s="131"/>
      <c r="AF200" s="131"/>
      <c r="AG200" s="131"/>
      <c r="AH200" s="131"/>
      <c r="AI200" s="131"/>
      <c r="AJ200" s="131"/>
      <c r="AK200" s="131"/>
      <c r="AL200" s="131"/>
      <c r="AM200" s="131"/>
    </row>
    <row r="201" customFormat="false" ht="37.5" hidden="false" customHeight="true" outlineLevel="0" collapsed="false">
      <c r="B201" s="127" t="n">
        <v>10</v>
      </c>
      <c r="C201" s="128" t="s">
        <v>275</v>
      </c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9"/>
      <c r="O201" s="129"/>
      <c r="P201" s="129"/>
      <c r="Q201" s="130" t="s">
        <v>271</v>
      </c>
      <c r="R201" s="130"/>
      <c r="S201" s="131"/>
      <c r="T201" s="131"/>
      <c r="U201" s="131"/>
      <c r="V201" s="131"/>
      <c r="W201" s="131"/>
      <c r="X201" s="131"/>
      <c r="Y201" s="131"/>
      <c r="Z201" s="131"/>
      <c r="AA201" s="131"/>
      <c r="AB201" s="131"/>
      <c r="AC201" s="131"/>
      <c r="AD201" s="131"/>
      <c r="AE201" s="131"/>
      <c r="AF201" s="131"/>
      <c r="AG201" s="131"/>
      <c r="AH201" s="131"/>
      <c r="AI201" s="131"/>
      <c r="AJ201" s="131"/>
      <c r="AK201" s="131"/>
      <c r="AL201" s="131"/>
      <c r="AM201" s="131"/>
    </row>
    <row r="202" customFormat="false" ht="37.5" hidden="false" customHeight="true" outlineLevel="0" collapsed="false">
      <c r="B202" s="127" t="n">
        <v>11</v>
      </c>
      <c r="C202" s="128" t="s">
        <v>276</v>
      </c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9"/>
      <c r="O202" s="129"/>
      <c r="P202" s="129"/>
      <c r="Q202" s="130" t="s">
        <v>271</v>
      </c>
      <c r="R202" s="130"/>
      <c r="S202" s="131"/>
      <c r="T202" s="131"/>
      <c r="U202" s="131"/>
      <c r="V202" s="131"/>
      <c r="W202" s="131"/>
      <c r="X202" s="131"/>
      <c r="Y202" s="131"/>
      <c r="Z202" s="131"/>
      <c r="AA202" s="131"/>
      <c r="AB202" s="131"/>
      <c r="AC202" s="131"/>
      <c r="AD202" s="131"/>
      <c r="AE202" s="131"/>
      <c r="AF202" s="131"/>
      <c r="AG202" s="131"/>
      <c r="AH202" s="131"/>
      <c r="AI202" s="131"/>
      <c r="AJ202" s="131"/>
      <c r="AK202" s="131"/>
      <c r="AL202" s="131"/>
      <c r="AM202" s="131"/>
    </row>
    <row r="203" customFormat="false" ht="27.75" hidden="false" customHeight="true" outlineLevel="0" collapsed="false">
      <c r="B203" s="109" t="n">
        <v>12</v>
      </c>
      <c r="C203" s="132" t="s">
        <v>277</v>
      </c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3" t="str">
        <f aca="false">IF(COUNT(N197:N202)=0,"",SUM(N197:N202))</f>
        <v/>
      </c>
      <c r="O203" s="133"/>
      <c r="P203" s="133"/>
      <c r="Q203" s="134" t="s">
        <v>278</v>
      </c>
      <c r="R203" s="134"/>
      <c r="S203" s="135"/>
      <c r="T203" s="135"/>
      <c r="U203" s="135"/>
      <c r="V203" s="135"/>
      <c r="W203" s="135"/>
      <c r="X203" s="135"/>
      <c r="Y203" s="135"/>
      <c r="Z203" s="135"/>
      <c r="AA203" s="135"/>
      <c r="AB203" s="135"/>
      <c r="AC203" s="135"/>
      <c r="AD203" s="135"/>
      <c r="AE203" s="135"/>
      <c r="AF203" s="135"/>
      <c r="AG203" s="135"/>
      <c r="AH203" s="135"/>
      <c r="AI203" s="135"/>
      <c r="AJ203" s="135"/>
      <c r="AK203" s="135"/>
      <c r="AL203" s="135"/>
      <c r="AM203" s="135"/>
    </row>
    <row r="204" customFormat="false" ht="9.75" hidden="false" customHeight="true" outlineLevel="0" collapsed="false"/>
    <row r="205" customFormat="false" ht="21.75" hidden="false" customHeight="true" outlineLevel="0" collapsed="false">
      <c r="B205" s="6"/>
      <c r="C205" s="19" t="s">
        <v>279</v>
      </c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</row>
    <row r="206" customFormat="false" ht="24" hidden="false" customHeight="true" outlineLevel="0" collapsed="false">
      <c r="B206" s="60"/>
      <c r="C206" s="61" t="n">
        <v>13</v>
      </c>
      <c r="D206" s="75" t="s">
        <v>280</v>
      </c>
      <c r="E206" s="75"/>
      <c r="F206" s="75"/>
      <c r="G206" s="75"/>
      <c r="H206" s="75"/>
      <c r="I206" s="75"/>
      <c r="J206" s="75"/>
      <c r="K206" s="75"/>
      <c r="L206" s="75"/>
      <c r="M206" s="75"/>
      <c r="N206" s="75"/>
      <c r="O206" s="75"/>
      <c r="P206" s="75"/>
      <c r="Q206" s="75"/>
      <c r="R206" s="75"/>
      <c r="S206" s="75"/>
      <c r="T206" s="92"/>
      <c r="V206" s="60"/>
      <c r="W206" s="61" t="n">
        <v>14</v>
      </c>
      <c r="X206" s="75" t="s">
        <v>281</v>
      </c>
      <c r="Y206" s="75"/>
      <c r="Z206" s="75"/>
      <c r="AA206" s="75"/>
      <c r="AB206" s="75"/>
      <c r="AC206" s="75"/>
      <c r="AD206" s="75"/>
      <c r="AE206" s="75"/>
      <c r="AF206" s="75"/>
      <c r="AG206" s="75"/>
      <c r="AH206" s="75"/>
      <c r="AI206" s="75"/>
      <c r="AJ206" s="75"/>
      <c r="AK206" s="75"/>
      <c r="AL206" s="75"/>
      <c r="AM206" s="92"/>
    </row>
    <row r="207" customFormat="false" ht="18" hidden="false" customHeight="true" outlineLevel="0" collapsed="false">
      <c r="B207" s="63"/>
      <c r="C207" s="136"/>
      <c r="D207" s="136"/>
      <c r="E207" s="136"/>
      <c r="F207" s="136"/>
      <c r="G207" s="136"/>
      <c r="H207" s="136"/>
      <c r="I207" s="136"/>
      <c r="J207" s="136"/>
      <c r="K207" s="136"/>
      <c r="L207" s="136"/>
      <c r="M207" s="136"/>
      <c r="N207" s="136"/>
      <c r="O207" s="136"/>
      <c r="P207" s="136"/>
      <c r="Q207" s="136"/>
      <c r="R207" s="136"/>
      <c r="S207" s="136"/>
      <c r="T207" s="65"/>
      <c r="V207" s="63"/>
      <c r="W207" s="136"/>
      <c r="X207" s="136"/>
      <c r="Y207" s="136"/>
      <c r="Z207" s="136"/>
      <c r="AA207" s="136"/>
      <c r="AB207" s="136"/>
      <c r="AC207" s="136"/>
      <c r="AD207" s="136"/>
      <c r="AE207" s="136"/>
      <c r="AF207" s="136"/>
      <c r="AG207" s="136"/>
      <c r="AH207" s="136"/>
      <c r="AI207" s="136"/>
      <c r="AJ207" s="136"/>
      <c r="AK207" s="136"/>
      <c r="AL207" s="136"/>
      <c r="AM207" s="65"/>
    </row>
    <row r="208" customFormat="false" ht="18" hidden="false" customHeight="true" outlineLevel="0" collapsed="false">
      <c r="B208" s="63"/>
      <c r="C208" s="136"/>
      <c r="D208" s="136"/>
      <c r="E208" s="136"/>
      <c r="F208" s="136"/>
      <c r="G208" s="136"/>
      <c r="H208" s="136"/>
      <c r="I208" s="136"/>
      <c r="J208" s="136"/>
      <c r="K208" s="136"/>
      <c r="L208" s="136"/>
      <c r="M208" s="136"/>
      <c r="N208" s="136"/>
      <c r="O208" s="136"/>
      <c r="P208" s="136"/>
      <c r="Q208" s="136"/>
      <c r="R208" s="136"/>
      <c r="S208" s="136"/>
      <c r="T208" s="65"/>
      <c r="V208" s="63"/>
      <c r="W208" s="136"/>
      <c r="X208" s="136"/>
      <c r="Y208" s="136"/>
      <c r="Z208" s="136"/>
      <c r="AA208" s="136"/>
      <c r="AB208" s="136"/>
      <c r="AC208" s="136"/>
      <c r="AD208" s="136"/>
      <c r="AE208" s="136"/>
      <c r="AF208" s="136"/>
      <c r="AG208" s="136"/>
      <c r="AH208" s="136"/>
      <c r="AI208" s="136"/>
      <c r="AJ208" s="136"/>
      <c r="AK208" s="136"/>
      <c r="AL208" s="136"/>
      <c r="AM208" s="65"/>
    </row>
    <row r="209" customFormat="false" ht="18" hidden="false" customHeight="true" outlineLevel="0" collapsed="false">
      <c r="B209" s="63"/>
      <c r="C209" s="136"/>
      <c r="D209" s="136"/>
      <c r="E209" s="136"/>
      <c r="F209" s="136"/>
      <c r="G209" s="136"/>
      <c r="H209" s="136"/>
      <c r="I209" s="136"/>
      <c r="J209" s="136"/>
      <c r="K209" s="136"/>
      <c r="L209" s="136"/>
      <c r="M209" s="136"/>
      <c r="N209" s="136"/>
      <c r="O209" s="136"/>
      <c r="P209" s="136"/>
      <c r="Q209" s="136"/>
      <c r="R209" s="136"/>
      <c r="S209" s="136"/>
      <c r="T209" s="65"/>
      <c r="V209" s="63"/>
      <c r="W209" s="136"/>
      <c r="X209" s="136"/>
      <c r="Y209" s="136"/>
      <c r="Z209" s="136"/>
      <c r="AA209" s="136"/>
      <c r="AB209" s="136"/>
      <c r="AC209" s="136"/>
      <c r="AD209" s="136"/>
      <c r="AE209" s="136"/>
      <c r="AF209" s="136"/>
      <c r="AG209" s="136"/>
      <c r="AH209" s="136"/>
      <c r="AI209" s="136"/>
      <c r="AJ209" s="136"/>
      <c r="AK209" s="136"/>
      <c r="AL209" s="136"/>
      <c r="AM209" s="65"/>
    </row>
    <row r="210" customFormat="false" ht="6" hidden="false" customHeight="true" outlineLevel="0" collapsed="false">
      <c r="B210" s="67"/>
      <c r="C210" s="68"/>
      <c r="D210" s="68"/>
      <c r="E210" s="68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  <c r="S210" s="68"/>
      <c r="T210" s="69"/>
      <c r="V210" s="67"/>
      <c r="W210" s="68"/>
      <c r="X210" s="68"/>
      <c r="Y210" s="68"/>
      <c r="Z210" s="68"/>
      <c r="AA210" s="68"/>
      <c r="AB210" s="68"/>
      <c r="AC210" s="68"/>
      <c r="AD210" s="68"/>
      <c r="AE210" s="68"/>
      <c r="AF210" s="68"/>
      <c r="AG210" s="68"/>
      <c r="AH210" s="68"/>
      <c r="AI210" s="68"/>
      <c r="AJ210" s="68"/>
      <c r="AK210" s="68"/>
      <c r="AL210" s="68"/>
      <c r="AM210" s="69"/>
    </row>
    <row r="211" customFormat="false" ht="54" hidden="false" customHeight="true" outlineLevel="0" collapsed="false"/>
    <row r="212" customFormat="false" ht="6" hidden="false" customHeight="true" outlineLevel="0" collapsed="false"/>
    <row r="213" customFormat="false" ht="19.5" hidden="false" customHeight="true" outlineLevel="0" collapsed="false">
      <c r="B213" s="73" t="s">
        <v>107</v>
      </c>
      <c r="C213" s="73"/>
      <c r="D213" s="73"/>
      <c r="E213" s="73"/>
      <c r="F213" s="73"/>
      <c r="G213" s="73"/>
      <c r="H213" s="73"/>
      <c r="I213" s="73"/>
      <c r="J213" s="73"/>
      <c r="K213" s="73"/>
      <c r="L213" s="74" t="s">
        <v>108</v>
      </c>
      <c r="M213" s="74"/>
      <c r="N213" s="74"/>
      <c r="O213" s="74"/>
      <c r="P213" s="74"/>
      <c r="Q213" s="74"/>
      <c r="R213" s="74"/>
      <c r="S213" s="74"/>
      <c r="U213" s="73" t="s">
        <v>282</v>
      </c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4" t="s">
        <v>108</v>
      </c>
      <c r="AG213" s="74"/>
      <c r="AH213" s="74"/>
      <c r="AI213" s="74"/>
      <c r="AJ213" s="74"/>
      <c r="AK213" s="74"/>
      <c r="AL213" s="74"/>
      <c r="AM213" s="74"/>
    </row>
    <row r="214" customFormat="false" ht="9.75" hidden="false" customHeight="true" outlineLevel="0" collapsed="false"/>
    <row r="215" customFormat="false" ht="18" hidden="false" customHeight="true" outlineLevel="0" collapsed="false">
      <c r="B215" s="75" t="s">
        <v>283</v>
      </c>
      <c r="C215" s="75"/>
      <c r="D215" s="75"/>
      <c r="E215" s="75"/>
      <c r="F215" s="75"/>
      <c r="G215" s="75"/>
      <c r="H215" s="75"/>
      <c r="I215" s="75"/>
      <c r="J215" s="75"/>
      <c r="K215" s="75"/>
      <c r="L215" s="75"/>
      <c r="M215" s="75"/>
      <c r="N215" s="75"/>
      <c r="O215" s="75"/>
      <c r="P215" s="75"/>
      <c r="Q215" s="75"/>
      <c r="R215" s="75"/>
      <c r="S215" s="75"/>
      <c r="T215" s="76" t="s">
        <v>111</v>
      </c>
      <c r="U215" s="76"/>
      <c r="V215" s="76"/>
      <c r="W215" s="76"/>
      <c r="X215" s="76"/>
      <c r="Y215" s="76"/>
      <c r="Z215" s="76"/>
      <c r="AA215" s="76"/>
      <c r="AB215" s="76"/>
      <c r="AC215" s="76"/>
      <c r="AD215" s="76"/>
      <c r="AE215" s="76"/>
      <c r="AF215" s="76"/>
      <c r="AG215" s="76"/>
      <c r="AH215" s="76"/>
      <c r="AI215" s="76"/>
      <c r="AJ215" s="76"/>
      <c r="AK215" s="76"/>
      <c r="AL215" s="76"/>
      <c r="AM215" s="76"/>
    </row>
    <row r="216" customFormat="false" ht="7.5" hidden="false" customHeight="true" outlineLevel="0" collapsed="false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</row>
    <row r="217" customFormat="false" ht="19.5" hidden="false" customHeight="true" outlineLevel="0" collapsed="false">
      <c r="B217" s="1"/>
      <c r="C217" s="51" t="s">
        <v>233</v>
      </c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  <c r="AA217" s="51"/>
      <c r="AB217" s="1"/>
      <c r="AC217" s="1"/>
      <c r="AD217" s="1"/>
      <c r="AE217" s="52" t="s">
        <v>234</v>
      </c>
      <c r="AF217" s="52"/>
      <c r="AG217" s="52"/>
      <c r="AH217" s="52"/>
      <c r="AI217" s="52"/>
      <c r="AJ217" s="52"/>
      <c r="AK217" s="52"/>
      <c r="AL217" s="1"/>
      <c r="AM217" s="1"/>
    </row>
    <row r="218" customFormat="false" ht="30" hidden="false" customHeight="true" outlineLevel="0" collapsed="false">
      <c r="B218" s="1"/>
      <c r="C218" s="53" t="s">
        <v>235</v>
      </c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4" t="s">
        <v>236</v>
      </c>
      <c r="AC218" s="54"/>
      <c r="AD218" s="54"/>
      <c r="AE218" s="54"/>
      <c r="AF218" s="54"/>
      <c r="AG218" s="54"/>
      <c r="AH218" s="54"/>
      <c r="AI218" s="54"/>
      <c r="AJ218" s="54"/>
      <c r="AK218" s="54"/>
      <c r="AL218" s="1"/>
      <c r="AM218" s="1"/>
    </row>
    <row r="219" customFormat="false" ht="15.75" hidden="false" customHeight="true" outlineLevel="0" collapsed="false">
      <c r="B219" s="1"/>
      <c r="C219" s="55" t="s">
        <v>237</v>
      </c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</row>
    <row r="220" customFormat="false" ht="9.75" hidden="false" customHeight="true" outlineLevel="0" collapsed="false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</row>
    <row r="221" customFormat="false" ht="3.75" hidden="false" customHeight="true" outlineLevel="0" collapsed="false"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</row>
    <row r="222" customFormat="false" ht="7.5" hidden="false" customHeight="true" outlineLevel="0" collapsed="false"/>
    <row r="223" customFormat="false" ht="13.5" hidden="false" customHeight="true" outlineLevel="0" collapsed="false">
      <c r="B223" s="56" t="s">
        <v>238</v>
      </c>
      <c r="C223" s="56"/>
      <c r="D223" s="56"/>
      <c r="E223" s="56"/>
      <c r="F223" s="56"/>
      <c r="G223" s="56"/>
      <c r="H223" s="56"/>
      <c r="I223" s="56"/>
      <c r="J223" s="56"/>
      <c r="K223" s="56"/>
      <c r="M223" s="56" t="s">
        <v>136</v>
      </c>
      <c r="N223" s="56"/>
      <c r="O223" s="56"/>
      <c r="P223" s="56"/>
      <c r="Q223" s="56"/>
      <c r="R223" s="56"/>
      <c r="S223" s="56"/>
      <c r="T223" s="56"/>
      <c r="U223" s="56"/>
      <c r="V223" s="56"/>
      <c r="X223" s="56" t="s">
        <v>239</v>
      </c>
      <c r="Y223" s="56"/>
      <c r="Z223" s="56"/>
      <c r="AA223" s="56"/>
      <c r="AB223" s="56"/>
      <c r="AC223" s="56"/>
      <c r="AD223" s="56"/>
      <c r="AE223" s="56"/>
      <c r="AG223" s="56" t="s">
        <v>240</v>
      </c>
      <c r="AH223" s="56"/>
      <c r="AI223" s="56"/>
      <c r="AJ223" s="56"/>
      <c r="AK223" s="56"/>
      <c r="AL223" s="56"/>
      <c r="AM223" s="56"/>
    </row>
    <row r="224" customFormat="false" ht="21.75" hidden="false" customHeight="true" outlineLevel="0" collapsed="false">
      <c r="B224" s="57" t="str">
        <f aca="false">Dashboard!$B$33</f>
        <v>Layan</v>
      </c>
      <c r="C224" s="57"/>
      <c r="D224" s="57"/>
      <c r="E224" s="57"/>
      <c r="F224" s="57"/>
      <c r="G224" s="57"/>
      <c r="H224" s="57"/>
      <c r="I224" s="57"/>
      <c r="J224" s="57"/>
      <c r="K224" s="57"/>
      <c r="M224" s="57" t="str">
        <f aca="false">Dashboard!$C$6</f>
        <v>Bindhya TB</v>
      </c>
      <c r="N224" s="57"/>
      <c r="O224" s="57"/>
      <c r="P224" s="57"/>
      <c r="Q224" s="57"/>
      <c r="R224" s="57"/>
      <c r="S224" s="57"/>
      <c r="T224" s="57"/>
      <c r="U224" s="57"/>
      <c r="V224" s="57"/>
      <c r="X224" s="57" t="str">
        <f aca="false">TEXT(Dashboard!$C$8,"mmmm yyyy")</f>
        <v>October 2026</v>
      </c>
      <c r="Y224" s="57"/>
      <c r="Z224" s="57"/>
      <c r="AA224" s="57"/>
      <c r="AB224" s="57"/>
      <c r="AC224" s="57"/>
      <c r="AD224" s="57"/>
      <c r="AE224" s="57"/>
      <c r="AG224" s="106"/>
      <c r="AH224" s="106"/>
      <c r="AI224" s="106"/>
      <c r="AJ224" s="106"/>
      <c r="AK224" s="106"/>
      <c r="AL224" s="106"/>
      <c r="AM224" s="106"/>
    </row>
    <row r="225" customFormat="false" ht="9.75" hidden="false" customHeight="true" outlineLevel="0" collapsed="false"/>
    <row r="226" customFormat="false" ht="21.75" hidden="false" customHeight="true" outlineLevel="0" collapsed="false">
      <c r="B226" s="6"/>
      <c r="C226" s="19" t="s">
        <v>241</v>
      </c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</row>
    <row r="227" customFormat="false" ht="27.75" hidden="false" customHeight="true" outlineLevel="0" collapsed="false">
      <c r="B227" s="60"/>
      <c r="C227" s="61" t="n">
        <v>1</v>
      </c>
      <c r="D227" s="62" t="s">
        <v>242</v>
      </c>
      <c r="E227" s="62"/>
      <c r="F227" s="62"/>
      <c r="G227" s="62"/>
      <c r="H227" s="62"/>
      <c r="I227" s="62"/>
      <c r="J227" s="62"/>
      <c r="L227" s="60"/>
      <c r="M227" s="61" t="n">
        <v>2</v>
      </c>
      <c r="N227" s="62" t="s">
        <v>13</v>
      </c>
      <c r="O227" s="62"/>
      <c r="P227" s="62"/>
      <c r="Q227" s="62"/>
      <c r="R227" s="62"/>
      <c r="S227" s="62"/>
      <c r="T227" s="62"/>
      <c r="V227" s="60"/>
      <c r="W227" s="61" t="n">
        <v>3</v>
      </c>
      <c r="X227" s="62" t="s">
        <v>243</v>
      </c>
      <c r="Y227" s="62"/>
      <c r="Z227" s="62"/>
      <c r="AA227" s="62"/>
      <c r="AB227" s="62"/>
      <c r="AC227" s="62"/>
      <c r="AD227" s="62"/>
      <c r="AF227" s="60"/>
      <c r="AG227" s="61" t="n">
        <v>4</v>
      </c>
      <c r="AH227" s="62" t="s">
        <v>244</v>
      </c>
      <c r="AI227" s="62"/>
      <c r="AJ227" s="62"/>
      <c r="AK227" s="62"/>
      <c r="AL227" s="62"/>
      <c r="AM227" s="62"/>
    </row>
    <row r="228" customFormat="false" ht="25.5" hidden="false" customHeight="true" outlineLevel="0" collapsed="false">
      <c r="B228" s="63"/>
      <c r="C228" s="97" t="str">
        <f aca="false">IF(Dashboard!$C$33="","",Dashboard!$C$33)</f>
        <v/>
      </c>
      <c r="D228" s="97"/>
      <c r="E228" s="97"/>
      <c r="F228" s="97"/>
      <c r="G228" s="97"/>
      <c r="H228" s="97"/>
      <c r="I228" s="97"/>
      <c r="J228" s="65"/>
      <c r="L228" s="63"/>
      <c r="M228" s="97" t="n">
        <f aca="false">Dashboard!$D$33</f>
        <v>0</v>
      </c>
      <c r="N228" s="97"/>
      <c r="O228" s="97"/>
      <c r="P228" s="97"/>
      <c r="Q228" s="97"/>
      <c r="R228" s="97"/>
      <c r="S228" s="97"/>
      <c r="T228" s="65"/>
      <c r="V228" s="63"/>
      <c r="W228" s="107" t="str">
        <f aca="false">IF(C228="","☐ Yes        ☐ No",IF(M228&gt;=C228,"☑ Yes        ☐ No","☐ Yes        ☑ No"))</f>
        <v>☐ Yes        ☐ No</v>
      </c>
      <c r="X228" s="107"/>
      <c r="Y228" s="107"/>
      <c r="Z228" s="107"/>
      <c r="AA228" s="107"/>
      <c r="AB228" s="107"/>
      <c r="AC228" s="107"/>
      <c r="AD228" s="65"/>
      <c r="AF228" s="63"/>
      <c r="AG228" s="108"/>
      <c r="AH228" s="108"/>
      <c r="AI228" s="108"/>
      <c r="AJ228" s="108"/>
      <c r="AK228" s="108"/>
      <c r="AL228" s="108"/>
      <c r="AM228" s="65"/>
    </row>
    <row r="229" customFormat="false" ht="6" hidden="false" customHeight="true" outlineLevel="0" collapsed="false">
      <c r="B229" s="67"/>
      <c r="C229" s="68"/>
      <c r="D229" s="68"/>
      <c r="E229" s="68"/>
      <c r="F229" s="68"/>
      <c r="G229" s="68"/>
      <c r="H229" s="68"/>
      <c r="I229" s="68"/>
      <c r="J229" s="69"/>
      <c r="L229" s="67"/>
      <c r="M229" s="68"/>
      <c r="N229" s="68"/>
      <c r="O229" s="68"/>
      <c r="P229" s="68"/>
      <c r="Q229" s="68"/>
      <c r="R229" s="68"/>
      <c r="S229" s="68"/>
      <c r="T229" s="69"/>
      <c r="V229" s="67"/>
      <c r="W229" s="68"/>
      <c r="X229" s="68"/>
      <c r="Y229" s="68"/>
      <c r="Z229" s="68"/>
      <c r="AA229" s="68"/>
      <c r="AB229" s="68"/>
      <c r="AC229" s="68"/>
      <c r="AD229" s="69"/>
      <c r="AF229" s="67"/>
      <c r="AG229" s="68"/>
      <c r="AH229" s="68"/>
      <c r="AI229" s="68"/>
      <c r="AJ229" s="68"/>
      <c r="AK229" s="68"/>
      <c r="AL229" s="68"/>
      <c r="AM229" s="69"/>
    </row>
    <row r="230" customFormat="false" ht="7.5" hidden="false" customHeight="true" outlineLevel="0" collapsed="false"/>
    <row r="231" customFormat="false" ht="21.75" hidden="false" customHeight="true" outlineLevel="0" collapsed="false">
      <c r="B231" s="109" t="n">
        <v>5</v>
      </c>
      <c r="D231" s="110" t="s">
        <v>245</v>
      </c>
      <c r="E231" s="110"/>
      <c r="F231" s="110"/>
      <c r="G231" s="110"/>
      <c r="H231" s="110"/>
      <c r="I231" s="110"/>
      <c r="J231" s="110"/>
      <c r="K231" s="110"/>
      <c r="L231" s="110"/>
      <c r="M231" s="110"/>
      <c r="N231" s="110"/>
      <c r="O231" s="110"/>
      <c r="P231" s="110"/>
      <c r="Q231" s="110"/>
      <c r="R231" s="110"/>
      <c r="S231" s="110"/>
      <c r="T231" s="110"/>
      <c r="U231" s="110"/>
      <c r="V231" s="110"/>
      <c r="W231" s="110"/>
      <c r="X231" s="110"/>
      <c r="Y231" s="111" t="s">
        <v>246</v>
      </c>
      <c r="Z231" s="111"/>
      <c r="AA231" s="111"/>
      <c r="AB231" s="111"/>
      <c r="AC231" s="111"/>
      <c r="AD231" s="111"/>
    </row>
    <row r="232" customFormat="false" ht="19.5" hidden="false" customHeight="true" outlineLevel="0" collapsed="false">
      <c r="B232" s="112" t="s">
        <v>247</v>
      </c>
      <c r="C232" s="113" t="s">
        <v>248</v>
      </c>
      <c r="D232" s="113"/>
      <c r="E232" s="113"/>
      <c r="F232" s="113"/>
      <c r="G232" s="113"/>
      <c r="H232" s="113"/>
      <c r="I232" s="113"/>
      <c r="J232" s="112" t="s">
        <v>247</v>
      </c>
      <c r="K232" s="113" t="s">
        <v>249</v>
      </c>
      <c r="L232" s="113"/>
      <c r="M232" s="113"/>
      <c r="N232" s="113"/>
      <c r="O232" s="113"/>
      <c r="P232" s="113"/>
      <c r="Q232" s="113"/>
      <c r="R232" s="112" t="s">
        <v>247</v>
      </c>
      <c r="S232" s="113" t="s">
        <v>250</v>
      </c>
      <c r="T232" s="113"/>
      <c r="U232" s="113"/>
      <c r="V232" s="113"/>
      <c r="W232" s="113"/>
      <c r="X232" s="113"/>
      <c r="Y232" s="112" t="s">
        <v>247</v>
      </c>
      <c r="Z232" s="113" t="s">
        <v>251</v>
      </c>
      <c r="AA232" s="113"/>
      <c r="AB232" s="113"/>
      <c r="AC232" s="113"/>
      <c r="AD232" s="113"/>
      <c r="AE232" s="113"/>
      <c r="AF232" s="112" t="s">
        <v>247</v>
      </c>
      <c r="AG232" s="113" t="s">
        <v>252</v>
      </c>
      <c r="AH232" s="113"/>
      <c r="AI232" s="113"/>
      <c r="AJ232" s="113"/>
      <c r="AK232" s="113"/>
      <c r="AL232" s="113"/>
      <c r="AM232" s="113"/>
    </row>
    <row r="233" customFormat="false" ht="19.5" hidden="false" customHeight="true" outlineLevel="0" collapsed="false">
      <c r="B233" s="112" t="s">
        <v>247</v>
      </c>
      <c r="C233" s="113" t="s">
        <v>253</v>
      </c>
      <c r="D233" s="113"/>
      <c r="E233" s="113"/>
      <c r="F233" s="113"/>
      <c r="G233" s="114"/>
      <c r="H233" s="114"/>
      <c r="I233" s="114"/>
      <c r="J233" s="114"/>
      <c r="K233" s="114"/>
      <c r="L233" s="114"/>
      <c r="M233" s="114"/>
      <c r="N233" s="114"/>
      <c r="O233" s="114"/>
      <c r="P233" s="114"/>
    </row>
    <row r="234" customFormat="false" ht="9.75" hidden="false" customHeight="true" outlineLevel="0" collapsed="false"/>
    <row r="235" customFormat="false" ht="21.75" hidden="false" customHeight="true" outlineLevel="0" collapsed="false">
      <c r="B235" s="6"/>
      <c r="C235" s="19" t="s">
        <v>254</v>
      </c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59" t="s">
        <v>255</v>
      </c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  <c r="AF235" s="59"/>
      <c r="AG235" s="59"/>
      <c r="AH235" s="59"/>
      <c r="AI235" s="59"/>
      <c r="AJ235" s="59"/>
      <c r="AK235" s="59"/>
      <c r="AL235" s="59"/>
      <c r="AM235" s="59"/>
    </row>
    <row r="236" customFormat="false" ht="24" hidden="false" customHeight="true" outlineLevel="0" collapsed="false">
      <c r="B236" s="115" t="n">
        <v>1</v>
      </c>
      <c r="C236" s="115"/>
      <c r="D236" s="115"/>
      <c r="E236" s="115"/>
      <c r="F236" s="116" t="n">
        <v>2</v>
      </c>
      <c r="G236" s="116"/>
      <c r="H236" s="116"/>
      <c r="I236" s="116"/>
      <c r="J236" s="117" t="n">
        <v>3</v>
      </c>
      <c r="K236" s="117"/>
      <c r="L236" s="117"/>
      <c r="M236" s="117"/>
      <c r="N236" s="118" t="n">
        <v>4</v>
      </c>
      <c r="O236" s="118"/>
      <c r="P236" s="118"/>
      <c r="Q236" s="118"/>
      <c r="R236" s="119" t="n">
        <v>5</v>
      </c>
      <c r="S236" s="119"/>
      <c r="T236" s="119"/>
      <c r="U236" s="119"/>
      <c r="V236" s="119" t="n">
        <v>6</v>
      </c>
      <c r="W236" s="119"/>
      <c r="X236" s="119"/>
      <c r="Y236" s="119"/>
      <c r="Z236" s="120" t="n">
        <v>7</v>
      </c>
      <c r="AA236" s="120"/>
      <c r="AB236" s="120"/>
      <c r="AC236" s="120"/>
      <c r="AD236" s="121" t="n">
        <v>8</v>
      </c>
      <c r="AE236" s="121"/>
      <c r="AF236" s="121"/>
      <c r="AG236" s="121"/>
      <c r="AH236" s="122" t="n">
        <v>9</v>
      </c>
      <c r="AI236" s="122"/>
      <c r="AJ236" s="122"/>
      <c r="AK236" s="123" t="n">
        <v>10</v>
      </c>
      <c r="AL236" s="123"/>
      <c r="AM236" s="123"/>
    </row>
    <row r="237" customFormat="false" ht="18" hidden="false" customHeight="true" outlineLevel="0" collapsed="false">
      <c r="B237" s="124" t="s">
        <v>256</v>
      </c>
      <c r="C237" s="124"/>
      <c r="D237" s="124"/>
      <c r="E237" s="124"/>
      <c r="F237" s="124" t="s">
        <v>257</v>
      </c>
      <c r="G237" s="124"/>
      <c r="H237" s="124"/>
      <c r="I237" s="124"/>
      <c r="J237" s="124" t="s">
        <v>258</v>
      </c>
      <c r="K237" s="124"/>
      <c r="L237" s="124"/>
      <c r="M237" s="124"/>
      <c r="N237" s="124" t="s">
        <v>259</v>
      </c>
      <c r="O237" s="124"/>
      <c r="P237" s="124"/>
      <c r="Q237" s="124"/>
      <c r="R237" s="124" t="s">
        <v>260</v>
      </c>
      <c r="S237" s="124"/>
      <c r="T237" s="124"/>
      <c r="U237" s="124"/>
      <c r="V237" s="124" t="s">
        <v>261</v>
      </c>
      <c r="W237" s="124"/>
      <c r="X237" s="124"/>
      <c r="Y237" s="124"/>
      <c r="Z237" s="124" t="s">
        <v>262</v>
      </c>
      <c r="AA237" s="124"/>
      <c r="AB237" s="124"/>
      <c r="AC237" s="124"/>
      <c r="AD237" s="124" t="s">
        <v>263</v>
      </c>
      <c r="AE237" s="124"/>
      <c r="AF237" s="124"/>
      <c r="AG237" s="124"/>
      <c r="AH237" s="124" t="s">
        <v>264</v>
      </c>
      <c r="AI237" s="124"/>
      <c r="AJ237" s="124"/>
      <c r="AK237" s="124" t="s">
        <v>265</v>
      </c>
      <c r="AL237" s="124"/>
      <c r="AM237" s="124"/>
    </row>
    <row r="238" customFormat="false" ht="6" hidden="false" customHeight="true" outlineLevel="0" collapsed="false"/>
    <row r="239" customFormat="false" ht="24" hidden="false" customHeight="true" outlineLevel="0" collapsed="false">
      <c r="B239" s="125" t="s">
        <v>266</v>
      </c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6" t="s">
        <v>267</v>
      </c>
      <c r="O239" s="126"/>
      <c r="P239" s="126"/>
      <c r="Q239" s="126"/>
      <c r="R239" s="126"/>
      <c r="S239" s="125" t="s">
        <v>268</v>
      </c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  <c r="AD239" s="125" t="s">
        <v>269</v>
      </c>
      <c r="AE239" s="125"/>
      <c r="AF239" s="125"/>
      <c r="AG239" s="125"/>
      <c r="AH239" s="125"/>
      <c r="AI239" s="125"/>
      <c r="AJ239" s="125"/>
      <c r="AK239" s="125"/>
      <c r="AL239" s="125"/>
      <c r="AM239" s="125"/>
    </row>
    <row r="240" customFormat="false" ht="37.5" hidden="false" customHeight="true" outlineLevel="0" collapsed="false">
      <c r="B240" s="127" t="n">
        <v>6</v>
      </c>
      <c r="C240" s="128" t="s">
        <v>270</v>
      </c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9"/>
      <c r="O240" s="129"/>
      <c r="P240" s="129"/>
      <c r="Q240" s="130" t="s">
        <v>271</v>
      </c>
      <c r="R240" s="130"/>
      <c r="S240" s="131"/>
      <c r="T240" s="131"/>
      <c r="U240" s="131"/>
      <c r="V240" s="131"/>
      <c r="W240" s="131"/>
      <c r="X240" s="131"/>
      <c r="Y240" s="131"/>
      <c r="Z240" s="131"/>
      <c r="AA240" s="131"/>
      <c r="AB240" s="131"/>
      <c r="AC240" s="131"/>
      <c r="AD240" s="131"/>
      <c r="AE240" s="131"/>
      <c r="AF240" s="131"/>
      <c r="AG240" s="131"/>
      <c r="AH240" s="131"/>
      <c r="AI240" s="131"/>
      <c r="AJ240" s="131"/>
      <c r="AK240" s="131"/>
      <c r="AL240" s="131"/>
      <c r="AM240" s="131"/>
    </row>
    <row r="241" customFormat="false" ht="37.5" hidden="false" customHeight="true" outlineLevel="0" collapsed="false">
      <c r="B241" s="127" t="n">
        <v>7</v>
      </c>
      <c r="C241" s="128" t="s">
        <v>272</v>
      </c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9"/>
      <c r="O241" s="129"/>
      <c r="P241" s="129"/>
      <c r="Q241" s="130" t="s">
        <v>271</v>
      </c>
      <c r="R241" s="130"/>
      <c r="S241" s="131"/>
      <c r="T241" s="131"/>
      <c r="U241" s="131"/>
      <c r="V241" s="131"/>
      <c r="W241" s="131"/>
      <c r="X241" s="131"/>
      <c r="Y241" s="131"/>
      <c r="Z241" s="131"/>
      <c r="AA241" s="131"/>
      <c r="AB241" s="131"/>
      <c r="AC241" s="131"/>
      <c r="AD241" s="131"/>
      <c r="AE241" s="131"/>
      <c r="AF241" s="131"/>
      <c r="AG241" s="131"/>
      <c r="AH241" s="131"/>
      <c r="AI241" s="131"/>
      <c r="AJ241" s="131"/>
      <c r="AK241" s="131"/>
      <c r="AL241" s="131"/>
      <c r="AM241" s="131"/>
    </row>
    <row r="242" customFormat="false" ht="37.5" hidden="false" customHeight="true" outlineLevel="0" collapsed="false">
      <c r="B242" s="127" t="n">
        <v>8</v>
      </c>
      <c r="C242" s="128" t="s">
        <v>273</v>
      </c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9"/>
      <c r="O242" s="129"/>
      <c r="P242" s="129"/>
      <c r="Q242" s="130" t="s">
        <v>271</v>
      </c>
      <c r="R242" s="130"/>
      <c r="S242" s="131"/>
      <c r="T242" s="131"/>
      <c r="U242" s="131"/>
      <c r="V242" s="131"/>
      <c r="W242" s="131"/>
      <c r="X242" s="131"/>
      <c r="Y242" s="131"/>
      <c r="Z242" s="131"/>
      <c r="AA242" s="131"/>
      <c r="AB242" s="131"/>
      <c r="AC242" s="131"/>
      <c r="AD242" s="131"/>
      <c r="AE242" s="131"/>
      <c r="AF242" s="131"/>
      <c r="AG242" s="131"/>
      <c r="AH242" s="131"/>
      <c r="AI242" s="131"/>
      <c r="AJ242" s="131"/>
      <c r="AK242" s="131"/>
      <c r="AL242" s="131"/>
      <c r="AM242" s="131"/>
    </row>
    <row r="243" customFormat="false" ht="37.5" hidden="false" customHeight="true" outlineLevel="0" collapsed="false">
      <c r="B243" s="127" t="n">
        <v>9</v>
      </c>
      <c r="C243" s="128" t="s">
        <v>274</v>
      </c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9"/>
      <c r="O243" s="129"/>
      <c r="P243" s="129"/>
      <c r="Q243" s="130" t="s">
        <v>271</v>
      </c>
      <c r="R243" s="130"/>
      <c r="S243" s="131"/>
      <c r="T243" s="131"/>
      <c r="U243" s="131"/>
      <c r="V243" s="131"/>
      <c r="W243" s="131"/>
      <c r="X243" s="131"/>
      <c r="Y243" s="131"/>
      <c r="Z243" s="131"/>
      <c r="AA243" s="131"/>
      <c r="AB243" s="131"/>
      <c r="AC243" s="131"/>
      <c r="AD243" s="131"/>
      <c r="AE243" s="131"/>
      <c r="AF243" s="131"/>
      <c r="AG243" s="131"/>
      <c r="AH243" s="131"/>
      <c r="AI243" s="131"/>
      <c r="AJ243" s="131"/>
      <c r="AK243" s="131"/>
      <c r="AL243" s="131"/>
      <c r="AM243" s="131"/>
    </row>
    <row r="244" customFormat="false" ht="37.5" hidden="false" customHeight="true" outlineLevel="0" collapsed="false">
      <c r="B244" s="127" t="n">
        <v>10</v>
      </c>
      <c r="C244" s="128" t="s">
        <v>275</v>
      </c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9"/>
      <c r="O244" s="129"/>
      <c r="P244" s="129"/>
      <c r="Q244" s="130" t="s">
        <v>271</v>
      </c>
      <c r="R244" s="130"/>
      <c r="S244" s="131"/>
      <c r="T244" s="131"/>
      <c r="U244" s="131"/>
      <c r="V244" s="131"/>
      <c r="W244" s="131"/>
      <c r="X244" s="131"/>
      <c r="Y244" s="131"/>
      <c r="Z244" s="131"/>
      <c r="AA244" s="131"/>
      <c r="AB244" s="131"/>
      <c r="AC244" s="131"/>
      <c r="AD244" s="131"/>
      <c r="AE244" s="131"/>
      <c r="AF244" s="131"/>
      <c r="AG244" s="131"/>
      <c r="AH244" s="131"/>
      <c r="AI244" s="131"/>
      <c r="AJ244" s="131"/>
      <c r="AK244" s="131"/>
      <c r="AL244" s="131"/>
      <c r="AM244" s="131"/>
    </row>
    <row r="245" customFormat="false" ht="37.5" hidden="false" customHeight="true" outlineLevel="0" collapsed="false">
      <c r="B245" s="127" t="n">
        <v>11</v>
      </c>
      <c r="C245" s="128" t="s">
        <v>276</v>
      </c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9"/>
      <c r="O245" s="129"/>
      <c r="P245" s="129"/>
      <c r="Q245" s="130" t="s">
        <v>271</v>
      </c>
      <c r="R245" s="130"/>
      <c r="S245" s="131"/>
      <c r="T245" s="131"/>
      <c r="U245" s="131"/>
      <c r="V245" s="131"/>
      <c r="W245" s="131"/>
      <c r="X245" s="131"/>
      <c r="Y245" s="131"/>
      <c r="Z245" s="131"/>
      <c r="AA245" s="131"/>
      <c r="AB245" s="131"/>
      <c r="AC245" s="131"/>
      <c r="AD245" s="131"/>
      <c r="AE245" s="131"/>
      <c r="AF245" s="131"/>
      <c r="AG245" s="131"/>
      <c r="AH245" s="131"/>
      <c r="AI245" s="131"/>
      <c r="AJ245" s="131"/>
      <c r="AK245" s="131"/>
      <c r="AL245" s="131"/>
      <c r="AM245" s="131"/>
    </row>
    <row r="246" customFormat="false" ht="27.75" hidden="false" customHeight="true" outlineLevel="0" collapsed="false">
      <c r="B246" s="109" t="n">
        <v>12</v>
      </c>
      <c r="C246" s="132" t="s">
        <v>277</v>
      </c>
      <c r="D246" s="132"/>
      <c r="E246" s="132"/>
      <c r="F246" s="132"/>
      <c r="G246" s="132"/>
      <c r="H246" s="132"/>
      <c r="I246" s="132"/>
      <c r="J246" s="132"/>
      <c r="K246" s="132"/>
      <c r="L246" s="132"/>
      <c r="M246" s="132"/>
      <c r="N246" s="133" t="str">
        <f aca="false">IF(COUNT(N240:N245)=0,"",SUM(N240:N245))</f>
        <v/>
      </c>
      <c r="O246" s="133"/>
      <c r="P246" s="133"/>
      <c r="Q246" s="134" t="s">
        <v>278</v>
      </c>
      <c r="R246" s="134"/>
      <c r="S246" s="135"/>
      <c r="T246" s="135"/>
      <c r="U246" s="135"/>
      <c r="V246" s="135"/>
      <c r="W246" s="135"/>
      <c r="X246" s="135"/>
      <c r="Y246" s="135"/>
      <c r="Z246" s="135"/>
      <c r="AA246" s="135"/>
      <c r="AB246" s="135"/>
      <c r="AC246" s="135"/>
      <c r="AD246" s="135"/>
      <c r="AE246" s="135"/>
      <c r="AF246" s="135"/>
      <c r="AG246" s="135"/>
      <c r="AH246" s="135"/>
      <c r="AI246" s="135"/>
      <c r="AJ246" s="135"/>
      <c r="AK246" s="135"/>
      <c r="AL246" s="135"/>
      <c r="AM246" s="135"/>
    </row>
    <row r="247" customFormat="false" ht="9.75" hidden="false" customHeight="true" outlineLevel="0" collapsed="false"/>
    <row r="248" customFormat="false" ht="21.75" hidden="false" customHeight="true" outlineLevel="0" collapsed="false">
      <c r="B248" s="6"/>
      <c r="C248" s="19" t="s">
        <v>279</v>
      </c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</row>
    <row r="249" customFormat="false" ht="24" hidden="false" customHeight="true" outlineLevel="0" collapsed="false">
      <c r="B249" s="60"/>
      <c r="C249" s="61" t="n">
        <v>13</v>
      </c>
      <c r="D249" s="75" t="s">
        <v>280</v>
      </c>
      <c r="E249" s="75"/>
      <c r="F249" s="75"/>
      <c r="G249" s="75"/>
      <c r="H249" s="75"/>
      <c r="I249" s="75"/>
      <c r="J249" s="75"/>
      <c r="K249" s="75"/>
      <c r="L249" s="75"/>
      <c r="M249" s="75"/>
      <c r="N249" s="75"/>
      <c r="O249" s="75"/>
      <c r="P249" s="75"/>
      <c r="Q249" s="75"/>
      <c r="R249" s="75"/>
      <c r="S249" s="75"/>
      <c r="T249" s="92"/>
      <c r="V249" s="60"/>
      <c r="W249" s="61" t="n">
        <v>14</v>
      </c>
      <c r="X249" s="75" t="s">
        <v>281</v>
      </c>
      <c r="Y249" s="75"/>
      <c r="Z249" s="75"/>
      <c r="AA249" s="75"/>
      <c r="AB249" s="75"/>
      <c r="AC249" s="75"/>
      <c r="AD249" s="75"/>
      <c r="AE249" s="75"/>
      <c r="AF249" s="75"/>
      <c r="AG249" s="75"/>
      <c r="AH249" s="75"/>
      <c r="AI249" s="75"/>
      <c r="AJ249" s="75"/>
      <c r="AK249" s="75"/>
      <c r="AL249" s="75"/>
      <c r="AM249" s="92"/>
    </row>
    <row r="250" customFormat="false" ht="18" hidden="false" customHeight="true" outlineLevel="0" collapsed="false">
      <c r="B250" s="63"/>
      <c r="C250" s="136"/>
      <c r="D250" s="136"/>
      <c r="E250" s="136"/>
      <c r="F250" s="136"/>
      <c r="G250" s="136"/>
      <c r="H250" s="136"/>
      <c r="I250" s="136"/>
      <c r="J250" s="136"/>
      <c r="K250" s="136"/>
      <c r="L250" s="136"/>
      <c r="M250" s="136"/>
      <c r="N250" s="136"/>
      <c r="O250" s="136"/>
      <c r="P250" s="136"/>
      <c r="Q250" s="136"/>
      <c r="R250" s="136"/>
      <c r="S250" s="136"/>
      <c r="T250" s="65"/>
      <c r="V250" s="63"/>
      <c r="W250" s="136"/>
      <c r="X250" s="136"/>
      <c r="Y250" s="136"/>
      <c r="Z250" s="136"/>
      <c r="AA250" s="136"/>
      <c r="AB250" s="136"/>
      <c r="AC250" s="136"/>
      <c r="AD250" s="136"/>
      <c r="AE250" s="136"/>
      <c r="AF250" s="136"/>
      <c r="AG250" s="136"/>
      <c r="AH250" s="136"/>
      <c r="AI250" s="136"/>
      <c r="AJ250" s="136"/>
      <c r="AK250" s="136"/>
      <c r="AL250" s="136"/>
      <c r="AM250" s="65"/>
    </row>
    <row r="251" customFormat="false" ht="18" hidden="false" customHeight="true" outlineLevel="0" collapsed="false">
      <c r="B251" s="63"/>
      <c r="C251" s="136"/>
      <c r="D251" s="136"/>
      <c r="E251" s="136"/>
      <c r="F251" s="136"/>
      <c r="G251" s="136"/>
      <c r="H251" s="136"/>
      <c r="I251" s="136"/>
      <c r="J251" s="136"/>
      <c r="K251" s="136"/>
      <c r="L251" s="136"/>
      <c r="M251" s="136"/>
      <c r="N251" s="136"/>
      <c r="O251" s="136"/>
      <c r="P251" s="136"/>
      <c r="Q251" s="136"/>
      <c r="R251" s="136"/>
      <c r="S251" s="136"/>
      <c r="T251" s="65"/>
      <c r="V251" s="63"/>
      <c r="W251" s="136"/>
      <c r="X251" s="136"/>
      <c r="Y251" s="136"/>
      <c r="Z251" s="136"/>
      <c r="AA251" s="136"/>
      <c r="AB251" s="136"/>
      <c r="AC251" s="136"/>
      <c r="AD251" s="136"/>
      <c r="AE251" s="136"/>
      <c r="AF251" s="136"/>
      <c r="AG251" s="136"/>
      <c r="AH251" s="136"/>
      <c r="AI251" s="136"/>
      <c r="AJ251" s="136"/>
      <c r="AK251" s="136"/>
      <c r="AL251" s="136"/>
      <c r="AM251" s="65"/>
    </row>
    <row r="252" customFormat="false" ht="18" hidden="false" customHeight="true" outlineLevel="0" collapsed="false">
      <c r="B252" s="63"/>
      <c r="C252" s="136"/>
      <c r="D252" s="136"/>
      <c r="E252" s="136"/>
      <c r="F252" s="136"/>
      <c r="G252" s="136"/>
      <c r="H252" s="136"/>
      <c r="I252" s="136"/>
      <c r="J252" s="136"/>
      <c r="K252" s="136"/>
      <c r="L252" s="136"/>
      <c r="M252" s="136"/>
      <c r="N252" s="136"/>
      <c r="O252" s="136"/>
      <c r="P252" s="136"/>
      <c r="Q252" s="136"/>
      <c r="R252" s="136"/>
      <c r="S252" s="136"/>
      <c r="T252" s="65"/>
      <c r="V252" s="63"/>
      <c r="W252" s="136"/>
      <c r="X252" s="136"/>
      <c r="Y252" s="136"/>
      <c r="Z252" s="136"/>
      <c r="AA252" s="136"/>
      <c r="AB252" s="136"/>
      <c r="AC252" s="136"/>
      <c r="AD252" s="136"/>
      <c r="AE252" s="136"/>
      <c r="AF252" s="136"/>
      <c r="AG252" s="136"/>
      <c r="AH252" s="136"/>
      <c r="AI252" s="136"/>
      <c r="AJ252" s="136"/>
      <c r="AK252" s="136"/>
      <c r="AL252" s="136"/>
      <c r="AM252" s="65"/>
    </row>
    <row r="253" customFormat="false" ht="6" hidden="false" customHeight="true" outlineLevel="0" collapsed="false">
      <c r="B253" s="67"/>
      <c r="C253" s="68"/>
      <c r="D253" s="68"/>
      <c r="E253" s="68"/>
      <c r="F253" s="68"/>
      <c r="G253" s="68"/>
      <c r="H253" s="68"/>
      <c r="I253" s="68"/>
      <c r="J253" s="68"/>
      <c r="K253" s="68"/>
      <c r="L253" s="68"/>
      <c r="M253" s="68"/>
      <c r="N253" s="68"/>
      <c r="O253" s="68"/>
      <c r="P253" s="68"/>
      <c r="Q253" s="68"/>
      <c r="R253" s="68"/>
      <c r="S253" s="68"/>
      <c r="T253" s="69"/>
      <c r="V253" s="67"/>
      <c r="W253" s="68"/>
      <c r="X253" s="68"/>
      <c r="Y253" s="68"/>
      <c r="Z253" s="68"/>
      <c r="AA253" s="68"/>
      <c r="AB253" s="68"/>
      <c r="AC253" s="68"/>
      <c r="AD253" s="68"/>
      <c r="AE253" s="68"/>
      <c r="AF253" s="68"/>
      <c r="AG253" s="68"/>
      <c r="AH253" s="68"/>
      <c r="AI253" s="68"/>
      <c r="AJ253" s="68"/>
      <c r="AK253" s="68"/>
      <c r="AL253" s="68"/>
      <c r="AM253" s="69"/>
    </row>
    <row r="254" customFormat="false" ht="54" hidden="false" customHeight="true" outlineLevel="0" collapsed="false"/>
    <row r="255" customFormat="false" ht="6" hidden="false" customHeight="true" outlineLevel="0" collapsed="false"/>
    <row r="256" customFormat="false" ht="19.5" hidden="false" customHeight="true" outlineLevel="0" collapsed="false">
      <c r="B256" s="73" t="s">
        <v>107</v>
      </c>
      <c r="C256" s="73"/>
      <c r="D256" s="73"/>
      <c r="E256" s="73"/>
      <c r="F256" s="73"/>
      <c r="G256" s="73"/>
      <c r="H256" s="73"/>
      <c r="I256" s="73"/>
      <c r="J256" s="73"/>
      <c r="K256" s="73"/>
      <c r="L256" s="74" t="s">
        <v>108</v>
      </c>
      <c r="M256" s="74"/>
      <c r="N256" s="74"/>
      <c r="O256" s="74"/>
      <c r="P256" s="74"/>
      <c r="Q256" s="74"/>
      <c r="R256" s="74"/>
      <c r="S256" s="74"/>
      <c r="U256" s="73" t="s">
        <v>282</v>
      </c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4" t="s">
        <v>108</v>
      </c>
      <c r="AG256" s="74"/>
      <c r="AH256" s="74"/>
      <c r="AI256" s="74"/>
      <c r="AJ256" s="74"/>
      <c r="AK256" s="74"/>
      <c r="AL256" s="74"/>
      <c r="AM256" s="74"/>
    </row>
    <row r="257" customFormat="false" ht="9.75" hidden="false" customHeight="true" outlineLevel="0" collapsed="false"/>
    <row r="258" customFormat="false" ht="18" hidden="false" customHeight="true" outlineLevel="0" collapsed="false">
      <c r="B258" s="75" t="s">
        <v>283</v>
      </c>
      <c r="C258" s="75"/>
      <c r="D258" s="75"/>
      <c r="E258" s="75"/>
      <c r="F258" s="75"/>
      <c r="G258" s="75"/>
      <c r="H258" s="75"/>
      <c r="I258" s="75"/>
      <c r="J258" s="75"/>
      <c r="K258" s="75"/>
      <c r="L258" s="75"/>
      <c r="M258" s="75"/>
      <c r="N258" s="75"/>
      <c r="O258" s="75"/>
      <c r="P258" s="75"/>
      <c r="Q258" s="75"/>
      <c r="R258" s="75"/>
      <c r="S258" s="75"/>
      <c r="T258" s="76" t="s">
        <v>111</v>
      </c>
      <c r="U258" s="76"/>
      <c r="V258" s="76"/>
      <c r="W258" s="76"/>
      <c r="X258" s="76"/>
      <c r="Y258" s="76"/>
      <c r="Z258" s="76"/>
      <c r="AA258" s="76"/>
      <c r="AB258" s="76"/>
      <c r="AC258" s="76"/>
      <c r="AD258" s="76"/>
      <c r="AE258" s="76"/>
      <c r="AF258" s="76"/>
      <c r="AG258" s="76"/>
      <c r="AH258" s="76"/>
      <c r="AI258" s="76"/>
      <c r="AJ258" s="76"/>
      <c r="AK258" s="76"/>
      <c r="AL258" s="76"/>
      <c r="AM258" s="76"/>
    </row>
    <row r="259" customFormat="false" ht="7.5" hidden="false" customHeight="true" outlineLevel="0" collapsed="false"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</row>
    <row r="260" customFormat="false" ht="19.5" hidden="false" customHeight="true" outlineLevel="0" collapsed="false">
      <c r="B260" s="1"/>
      <c r="C260" s="51" t="s">
        <v>233</v>
      </c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  <c r="AA260" s="51"/>
      <c r="AB260" s="1"/>
      <c r="AC260" s="1"/>
      <c r="AD260" s="1"/>
      <c r="AE260" s="52" t="s">
        <v>234</v>
      </c>
      <c r="AF260" s="52"/>
      <c r="AG260" s="52"/>
      <c r="AH260" s="52"/>
      <c r="AI260" s="52"/>
      <c r="AJ260" s="52"/>
      <c r="AK260" s="52"/>
      <c r="AL260" s="1"/>
      <c r="AM260" s="1"/>
    </row>
    <row r="261" customFormat="false" ht="30" hidden="false" customHeight="true" outlineLevel="0" collapsed="false">
      <c r="B261" s="1"/>
      <c r="C261" s="53" t="s">
        <v>235</v>
      </c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4" t="s">
        <v>236</v>
      </c>
      <c r="AC261" s="54"/>
      <c r="AD261" s="54"/>
      <c r="AE261" s="54"/>
      <c r="AF261" s="54"/>
      <c r="AG261" s="54"/>
      <c r="AH261" s="54"/>
      <c r="AI261" s="54"/>
      <c r="AJ261" s="54"/>
      <c r="AK261" s="54"/>
      <c r="AL261" s="1"/>
      <c r="AM261" s="1"/>
    </row>
    <row r="262" customFormat="false" ht="15.75" hidden="false" customHeight="true" outlineLevel="0" collapsed="false">
      <c r="B262" s="1"/>
      <c r="C262" s="55" t="s">
        <v>237</v>
      </c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</row>
    <row r="263" customFormat="false" ht="9.75" hidden="false" customHeight="true" outlineLevel="0" collapsed="false"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</row>
    <row r="264" customFormat="false" ht="3.75" hidden="false" customHeight="true" outlineLevel="0" collapsed="false"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</row>
    <row r="265" customFormat="false" ht="7.5" hidden="false" customHeight="true" outlineLevel="0" collapsed="false"/>
    <row r="266" customFormat="false" ht="13.5" hidden="false" customHeight="true" outlineLevel="0" collapsed="false">
      <c r="B266" s="56" t="s">
        <v>238</v>
      </c>
      <c r="C266" s="56"/>
      <c r="D266" s="56"/>
      <c r="E266" s="56"/>
      <c r="F266" s="56"/>
      <c r="G266" s="56"/>
      <c r="H266" s="56"/>
      <c r="I266" s="56"/>
      <c r="J266" s="56"/>
      <c r="K266" s="56"/>
      <c r="M266" s="56" t="s">
        <v>136</v>
      </c>
      <c r="N266" s="56"/>
      <c r="O266" s="56"/>
      <c r="P266" s="56"/>
      <c r="Q266" s="56"/>
      <c r="R266" s="56"/>
      <c r="S266" s="56"/>
      <c r="T266" s="56"/>
      <c r="U266" s="56"/>
      <c r="V266" s="56"/>
      <c r="X266" s="56" t="s">
        <v>239</v>
      </c>
      <c r="Y266" s="56"/>
      <c r="Z266" s="56"/>
      <c r="AA266" s="56"/>
      <c r="AB266" s="56"/>
      <c r="AC266" s="56"/>
      <c r="AD266" s="56"/>
      <c r="AE266" s="56"/>
      <c r="AG266" s="56" t="s">
        <v>240</v>
      </c>
      <c r="AH266" s="56"/>
      <c r="AI266" s="56"/>
      <c r="AJ266" s="56"/>
      <c r="AK266" s="56"/>
      <c r="AL266" s="56"/>
      <c r="AM266" s="56"/>
    </row>
    <row r="267" customFormat="false" ht="21.75" hidden="false" customHeight="true" outlineLevel="0" collapsed="false">
      <c r="B267" s="57" t="str">
        <f aca="false">Dashboard!$B$34</f>
        <v>Rihab</v>
      </c>
      <c r="C267" s="57"/>
      <c r="D267" s="57"/>
      <c r="E267" s="57"/>
      <c r="F267" s="57"/>
      <c r="G267" s="57"/>
      <c r="H267" s="57"/>
      <c r="I267" s="57"/>
      <c r="J267" s="57"/>
      <c r="K267" s="57"/>
      <c r="M267" s="57" t="str">
        <f aca="false">Dashboard!$C$6</f>
        <v>Bindhya TB</v>
      </c>
      <c r="N267" s="57"/>
      <c r="O267" s="57"/>
      <c r="P267" s="57"/>
      <c r="Q267" s="57"/>
      <c r="R267" s="57"/>
      <c r="S267" s="57"/>
      <c r="T267" s="57"/>
      <c r="U267" s="57"/>
      <c r="V267" s="57"/>
      <c r="X267" s="57" t="str">
        <f aca="false">TEXT(Dashboard!$C$8,"mmmm yyyy")</f>
        <v>October 2026</v>
      </c>
      <c r="Y267" s="57"/>
      <c r="Z267" s="57"/>
      <c r="AA267" s="57"/>
      <c r="AB267" s="57"/>
      <c r="AC267" s="57"/>
      <c r="AD267" s="57"/>
      <c r="AE267" s="57"/>
      <c r="AG267" s="106"/>
      <c r="AH267" s="106"/>
      <c r="AI267" s="106"/>
      <c r="AJ267" s="106"/>
      <c r="AK267" s="106"/>
      <c r="AL267" s="106"/>
      <c r="AM267" s="106"/>
    </row>
    <row r="268" customFormat="false" ht="9.75" hidden="false" customHeight="true" outlineLevel="0" collapsed="false"/>
    <row r="269" customFormat="false" ht="21.75" hidden="false" customHeight="true" outlineLevel="0" collapsed="false">
      <c r="B269" s="6"/>
      <c r="C269" s="19" t="s">
        <v>241</v>
      </c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</row>
    <row r="270" customFormat="false" ht="27.75" hidden="false" customHeight="true" outlineLevel="0" collapsed="false">
      <c r="B270" s="60"/>
      <c r="C270" s="61" t="n">
        <v>1</v>
      </c>
      <c r="D270" s="62" t="s">
        <v>242</v>
      </c>
      <c r="E270" s="62"/>
      <c r="F270" s="62"/>
      <c r="G270" s="62"/>
      <c r="H270" s="62"/>
      <c r="I270" s="62"/>
      <c r="J270" s="62"/>
      <c r="L270" s="60"/>
      <c r="M270" s="61" t="n">
        <v>2</v>
      </c>
      <c r="N270" s="62" t="s">
        <v>13</v>
      </c>
      <c r="O270" s="62"/>
      <c r="P270" s="62"/>
      <c r="Q270" s="62"/>
      <c r="R270" s="62"/>
      <c r="S270" s="62"/>
      <c r="T270" s="62"/>
      <c r="V270" s="60"/>
      <c r="W270" s="61" t="n">
        <v>3</v>
      </c>
      <c r="X270" s="62" t="s">
        <v>243</v>
      </c>
      <c r="Y270" s="62"/>
      <c r="Z270" s="62"/>
      <c r="AA270" s="62"/>
      <c r="AB270" s="62"/>
      <c r="AC270" s="62"/>
      <c r="AD270" s="62"/>
      <c r="AF270" s="60"/>
      <c r="AG270" s="61" t="n">
        <v>4</v>
      </c>
      <c r="AH270" s="62" t="s">
        <v>244</v>
      </c>
      <c r="AI270" s="62"/>
      <c r="AJ270" s="62"/>
      <c r="AK270" s="62"/>
      <c r="AL270" s="62"/>
      <c r="AM270" s="62"/>
    </row>
    <row r="271" customFormat="false" ht="25.5" hidden="false" customHeight="true" outlineLevel="0" collapsed="false">
      <c r="B271" s="63"/>
      <c r="C271" s="97" t="str">
        <f aca="false">IF(Dashboard!$C$34="","",Dashboard!$C$34)</f>
        <v/>
      </c>
      <c r="D271" s="97"/>
      <c r="E271" s="97"/>
      <c r="F271" s="97"/>
      <c r="G271" s="97"/>
      <c r="H271" s="97"/>
      <c r="I271" s="97"/>
      <c r="J271" s="65"/>
      <c r="L271" s="63"/>
      <c r="M271" s="97" t="n">
        <f aca="false">Dashboard!$D$34</f>
        <v>0</v>
      </c>
      <c r="N271" s="97"/>
      <c r="O271" s="97"/>
      <c r="P271" s="97"/>
      <c r="Q271" s="97"/>
      <c r="R271" s="97"/>
      <c r="S271" s="97"/>
      <c r="T271" s="65"/>
      <c r="V271" s="63"/>
      <c r="W271" s="107" t="str">
        <f aca="false">IF(C271="","☐ Yes        ☐ No",IF(M271&gt;=C271,"☑ Yes        ☐ No","☐ Yes        ☑ No"))</f>
        <v>☐ Yes        ☐ No</v>
      </c>
      <c r="X271" s="107"/>
      <c r="Y271" s="107"/>
      <c r="Z271" s="107"/>
      <c r="AA271" s="107"/>
      <c r="AB271" s="107"/>
      <c r="AC271" s="107"/>
      <c r="AD271" s="65"/>
      <c r="AF271" s="63"/>
      <c r="AG271" s="108"/>
      <c r="AH271" s="108"/>
      <c r="AI271" s="108"/>
      <c r="AJ271" s="108"/>
      <c r="AK271" s="108"/>
      <c r="AL271" s="108"/>
      <c r="AM271" s="65"/>
    </row>
    <row r="272" customFormat="false" ht="6" hidden="false" customHeight="true" outlineLevel="0" collapsed="false">
      <c r="B272" s="67"/>
      <c r="C272" s="68"/>
      <c r="D272" s="68"/>
      <c r="E272" s="68"/>
      <c r="F272" s="68"/>
      <c r="G272" s="68"/>
      <c r="H272" s="68"/>
      <c r="I272" s="68"/>
      <c r="J272" s="69"/>
      <c r="L272" s="67"/>
      <c r="M272" s="68"/>
      <c r="N272" s="68"/>
      <c r="O272" s="68"/>
      <c r="P272" s="68"/>
      <c r="Q272" s="68"/>
      <c r="R272" s="68"/>
      <c r="S272" s="68"/>
      <c r="T272" s="69"/>
      <c r="V272" s="67"/>
      <c r="W272" s="68"/>
      <c r="X272" s="68"/>
      <c r="Y272" s="68"/>
      <c r="Z272" s="68"/>
      <c r="AA272" s="68"/>
      <c r="AB272" s="68"/>
      <c r="AC272" s="68"/>
      <c r="AD272" s="69"/>
      <c r="AF272" s="67"/>
      <c r="AG272" s="68"/>
      <c r="AH272" s="68"/>
      <c r="AI272" s="68"/>
      <c r="AJ272" s="68"/>
      <c r="AK272" s="68"/>
      <c r="AL272" s="68"/>
      <c r="AM272" s="69"/>
    </row>
    <row r="273" customFormat="false" ht="7.5" hidden="false" customHeight="true" outlineLevel="0" collapsed="false"/>
    <row r="274" customFormat="false" ht="21.75" hidden="false" customHeight="true" outlineLevel="0" collapsed="false">
      <c r="B274" s="109" t="n">
        <v>5</v>
      </c>
      <c r="D274" s="110" t="s">
        <v>245</v>
      </c>
      <c r="E274" s="110"/>
      <c r="F274" s="110"/>
      <c r="G274" s="110"/>
      <c r="H274" s="110"/>
      <c r="I274" s="110"/>
      <c r="J274" s="110"/>
      <c r="K274" s="110"/>
      <c r="L274" s="110"/>
      <c r="M274" s="110"/>
      <c r="N274" s="110"/>
      <c r="O274" s="110"/>
      <c r="P274" s="110"/>
      <c r="Q274" s="110"/>
      <c r="R274" s="110"/>
      <c r="S274" s="110"/>
      <c r="T274" s="110"/>
      <c r="U274" s="110"/>
      <c r="V274" s="110"/>
      <c r="W274" s="110"/>
      <c r="X274" s="110"/>
      <c r="Y274" s="111" t="s">
        <v>246</v>
      </c>
      <c r="Z274" s="111"/>
      <c r="AA274" s="111"/>
      <c r="AB274" s="111"/>
      <c r="AC274" s="111"/>
      <c r="AD274" s="111"/>
    </row>
    <row r="275" customFormat="false" ht="19.5" hidden="false" customHeight="true" outlineLevel="0" collapsed="false">
      <c r="B275" s="112" t="s">
        <v>247</v>
      </c>
      <c r="C275" s="113" t="s">
        <v>248</v>
      </c>
      <c r="D275" s="113"/>
      <c r="E275" s="113"/>
      <c r="F275" s="113"/>
      <c r="G275" s="113"/>
      <c r="H275" s="113"/>
      <c r="I275" s="113"/>
      <c r="J275" s="112" t="s">
        <v>247</v>
      </c>
      <c r="K275" s="113" t="s">
        <v>249</v>
      </c>
      <c r="L275" s="113"/>
      <c r="M275" s="113"/>
      <c r="N275" s="113"/>
      <c r="O275" s="113"/>
      <c r="P275" s="113"/>
      <c r="Q275" s="113"/>
      <c r="R275" s="112" t="s">
        <v>247</v>
      </c>
      <c r="S275" s="113" t="s">
        <v>250</v>
      </c>
      <c r="T275" s="113"/>
      <c r="U275" s="113"/>
      <c r="V275" s="113"/>
      <c r="W275" s="113"/>
      <c r="X275" s="113"/>
      <c r="Y275" s="112" t="s">
        <v>247</v>
      </c>
      <c r="Z275" s="113" t="s">
        <v>251</v>
      </c>
      <c r="AA275" s="113"/>
      <c r="AB275" s="113"/>
      <c r="AC275" s="113"/>
      <c r="AD275" s="113"/>
      <c r="AE275" s="113"/>
      <c r="AF275" s="112" t="s">
        <v>247</v>
      </c>
      <c r="AG275" s="113" t="s">
        <v>252</v>
      </c>
      <c r="AH275" s="113"/>
      <c r="AI275" s="113"/>
      <c r="AJ275" s="113"/>
      <c r="AK275" s="113"/>
      <c r="AL275" s="113"/>
      <c r="AM275" s="113"/>
    </row>
    <row r="276" customFormat="false" ht="19.5" hidden="false" customHeight="true" outlineLevel="0" collapsed="false">
      <c r="B276" s="112" t="s">
        <v>247</v>
      </c>
      <c r="C276" s="113" t="s">
        <v>253</v>
      </c>
      <c r="D276" s="113"/>
      <c r="E276" s="113"/>
      <c r="F276" s="113"/>
      <c r="G276" s="114"/>
      <c r="H276" s="114"/>
      <c r="I276" s="114"/>
      <c r="J276" s="114"/>
      <c r="K276" s="114"/>
      <c r="L276" s="114"/>
      <c r="M276" s="114"/>
      <c r="N276" s="114"/>
      <c r="O276" s="114"/>
      <c r="P276" s="114"/>
    </row>
    <row r="277" customFormat="false" ht="9.75" hidden="false" customHeight="true" outlineLevel="0" collapsed="false"/>
    <row r="278" customFormat="false" ht="21.75" hidden="false" customHeight="true" outlineLevel="0" collapsed="false">
      <c r="B278" s="6"/>
      <c r="C278" s="19" t="s">
        <v>254</v>
      </c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59" t="s">
        <v>255</v>
      </c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  <c r="AF278" s="59"/>
      <c r="AG278" s="59"/>
      <c r="AH278" s="59"/>
      <c r="AI278" s="59"/>
      <c r="AJ278" s="59"/>
      <c r="AK278" s="59"/>
      <c r="AL278" s="59"/>
      <c r="AM278" s="59"/>
    </row>
    <row r="279" customFormat="false" ht="24" hidden="false" customHeight="true" outlineLevel="0" collapsed="false">
      <c r="B279" s="115" t="n">
        <v>1</v>
      </c>
      <c r="C279" s="115"/>
      <c r="D279" s="115"/>
      <c r="E279" s="115"/>
      <c r="F279" s="116" t="n">
        <v>2</v>
      </c>
      <c r="G279" s="116"/>
      <c r="H279" s="116"/>
      <c r="I279" s="116"/>
      <c r="J279" s="117" t="n">
        <v>3</v>
      </c>
      <c r="K279" s="117"/>
      <c r="L279" s="117"/>
      <c r="M279" s="117"/>
      <c r="N279" s="118" t="n">
        <v>4</v>
      </c>
      <c r="O279" s="118"/>
      <c r="P279" s="118"/>
      <c r="Q279" s="118"/>
      <c r="R279" s="119" t="n">
        <v>5</v>
      </c>
      <c r="S279" s="119"/>
      <c r="T279" s="119"/>
      <c r="U279" s="119"/>
      <c r="V279" s="119" t="n">
        <v>6</v>
      </c>
      <c r="W279" s="119"/>
      <c r="X279" s="119"/>
      <c r="Y279" s="119"/>
      <c r="Z279" s="120" t="n">
        <v>7</v>
      </c>
      <c r="AA279" s="120"/>
      <c r="AB279" s="120"/>
      <c r="AC279" s="120"/>
      <c r="AD279" s="121" t="n">
        <v>8</v>
      </c>
      <c r="AE279" s="121"/>
      <c r="AF279" s="121"/>
      <c r="AG279" s="121"/>
      <c r="AH279" s="122" t="n">
        <v>9</v>
      </c>
      <c r="AI279" s="122"/>
      <c r="AJ279" s="122"/>
      <c r="AK279" s="123" t="n">
        <v>10</v>
      </c>
      <c r="AL279" s="123"/>
      <c r="AM279" s="123"/>
    </row>
    <row r="280" customFormat="false" ht="18" hidden="false" customHeight="true" outlineLevel="0" collapsed="false">
      <c r="B280" s="124" t="s">
        <v>256</v>
      </c>
      <c r="C280" s="124"/>
      <c r="D280" s="124"/>
      <c r="E280" s="124"/>
      <c r="F280" s="124" t="s">
        <v>257</v>
      </c>
      <c r="G280" s="124"/>
      <c r="H280" s="124"/>
      <c r="I280" s="124"/>
      <c r="J280" s="124" t="s">
        <v>258</v>
      </c>
      <c r="K280" s="124"/>
      <c r="L280" s="124"/>
      <c r="M280" s="124"/>
      <c r="N280" s="124" t="s">
        <v>259</v>
      </c>
      <c r="O280" s="124"/>
      <c r="P280" s="124"/>
      <c r="Q280" s="124"/>
      <c r="R280" s="124" t="s">
        <v>260</v>
      </c>
      <c r="S280" s="124"/>
      <c r="T280" s="124"/>
      <c r="U280" s="124"/>
      <c r="V280" s="124" t="s">
        <v>261</v>
      </c>
      <c r="W280" s="124"/>
      <c r="X280" s="124"/>
      <c r="Y280" s="124"/>
      <c r="Z280" s="124" t="s">
        <v>262</v>
      </c>
      <c r="AA280" s="124"/>
      <c r="AB280" s="124"/>
      <c r="AC280" s="124"/>
      <c r="AD280" s="124" t="s">
        <v>263</v>
      </c>
      <c r="AE280" s="124"/>
      <c r="AF280" s="124"/>
      <c r="AG280" s="124"/>
      <c r="AH280" s="124" t="s">
        <v>264</v>
      </c>
      <c r="AI280" s="124"/>
      <c r="AJ280" s="124"/>
      <c r="AK280" s="124" t="s">
        <v>265</v>
      </c>
      <c r="AL280" s="124"/>
      <c r="AM280" s="124"/>
    </row>
    <row r="281" customFormat="false" ht="6" hidden="false" customHeight="true" outlineLevel="0" collapsed="false"/>
    <row r="282" customFormat="false" ht="24" hidden="false" customHeight="true" outlineLevel="0" collapsed="false">
      <c r="B282" s="125" t="s">
        <v>266</v>
      </c>
      <c r="C282" s="125"/>
      <c r="D282" s="125"/>
      <c r="E282" s="125"/>
      <c r="F282" s="125"/>
      <c r="G282" s="125"/>
      <c r="H282" s="125"/>
      <c r="I282" s="125"/>
      <c r="J282" s="125"/>
      <c r="K282" s="125"/>
      <c r="L282" s="125"/>
      <c r="M282" s="125"/>
      <c r="N282" s="126" t="s">
        <v>267</v>
      </c>
      <c r="O282" s="126"/>
      <c r="P282" s="126"/>
      <c r="Q282" s="126"/>
      <c r="R282" s="126"/>
      <c r="S282" s="125" t="s">
        <v>268</v>
      </c>
      <c r="T282" s="125"/>
      <c r="U282" s="125"/>
      <c r="V282" s="125"/>
      <c r="W282" s="125"/>
      <c r="X282" s="125"/>
      <c r="Y282" s="125"/>
      <c r="Z282" s="125"/>
      <c r="AA282" s="125"/>
      <c r="AB282" s="125"/>
      <c r="AC282" s="125"/>
      <c r="AD282" s="125" t="s">
        <v>269</v>
      </c>
      <c r="AE282" s="125"/>
      <c r="AF282" s="125"/>
      <c r="AG282" s="125"/>
      <c r="AH282" s="125"/>
      <c r="AI282" s="125"/>
      <c r="AJ282" s="125"/>
      <c r="AK282" s="125"/>
      <c r="AL282" s="125"/>
      <c r="AM282" s="125"/>
    </row>
    <row r="283" customFormat="false" ht="37.5" hidden="false" customHeight="true" outlineLevel="0" collapsed="false">
      <c r="B283" s="127" t="n">
        <v>6</v>
      </c>
      <c r="C283" s="128" t="s">
        <v>270</v>
      </c>
      <c r="D283" s="128"/>
      <c r="E283" s="128"/>
      <c r="F283" s="128"/>
      <c r="G283" s="128"/>
      <c r="H283" s="128"/>
      <c r="I283" s="128"/>
      <c r="J283" s="128"/>
      <c r="K283" s="128"/>
      <c r="L283" s="128"/>
      <c r="M283" s="128"/>
      <c r="N283" s="129"/>
      <c r="O283" s="129"/>
      <c r="P283" s="129"/>
      <c r="Q283" s="130" t="s">
        <v>271</v>
      </c>
      <c r="R283" s="130"/>
      <c r="S283" s="131"/>
      <c r="T283" s="131"/>
      <c r="U283" s="131"/>
      <c r="V283" s="131"/>
      <c r="W283" s="131"/>
      <c r="X283" s="131"/>
      <c r="Y283" s="131"/>
      <c r="Z283" s="131"/>
      <c r="AA283" s="131"/>
      <c r="AB283" s="131"/>
      <c r="AC283" s="131"/>
      <c r="AD283" s="131"/>
      <c r="AE283" s="131"/>
      <c r="AF283" s="131"/>
      <c r="AG283" s="131"/>
      <c r="AH283" s="131"/>
      <c r="AI283" s="131"/>
      <c r="AJ283" s="131"/>
      <c r="AK283" s="131"/>
      <c r="AL283" s="131"/>
      <c r="AM283" s="131"/>
    </row>
    <row r="284" customFormat="false" ht="37.5" hidden="false" customHeight="true" outlineLevel="0" collapsed="false">
      <c r="B284" s="127" t="n">
        <v>7</v>
      </c>
      <c r="C284" s="128" t="s">
        <v>272</v>
      </c>
      <c r="D284" s="128"/>
      <c r="E284" s="128"/>
      <c r="F284" s="128"/>
      <c r="G284" s="128"/>
      <c r="H284" s="128"/>
      <c r="I284" s="128"/>
      <c r="J284" s="128"/>
      <c r="K284" s="128"/>
      <c r="L284" s="128"/>
      <c r="M284" s="128"/>
      <c r="N284" s="129"/>
      <c r="O284" s="129"/>
      <c r="P284" s="129"/>
      <c r="Q284" s="130" t="s">
        <v>271</v>
      </c>
      <c r="R284" s="130"/>
      <c r="S284" s="131"/>
      <c r="T284" s="131"/>
      <c r="U284" s="131"/>
      <c r="V284" s="131"/>
      <c r="W284" s="131"/>
      <c r="X284" s="131"/>
      <c r="Y284" s="131"/>
      <c r="Z284" s="131"/>
      <c r="AA284" s="131"/>
      <c r="AB284" s="131"/>
      <c r="AC284" s="131"/>
      <c r="AD284" s="131"/>
      <c r="AE284" s="131"/>
      <c r="AF284" s="131"/>
      <c r="AG284" s="131"/>
      <c r="AH284" s="131"/>
      <c r="AI284" s="131"/>
      <c r="AJ284" s="131"/>
      <c r="AK284" s="131"/>
      <c r="AL284" s="131"/>
      <c r="AM284" s="131"/>
    </row>
    <row r="285" customFormat="false" ht="37.5" hidden="false" customHeight="true" outlineLevel="0" collapsed="false">
      <c r="B285" s="127" t="n">
        <v>8</v>
      </c>
      <c r="C285" s="128" t="s">
        <v>273</v>
      </c>
      <c r="D285" s="128"/>
      <c r="E285" s="128"/>
      <c r="F285" s="128"/>
      <c r="G285" s="128"/>
      <c r="H285" s="128"/>
      <c r="I285" s="128"/>
      <c r="J285" s="128"/>
      <c r="K285" s="128"/>
      <c r="L285" s="128"/>
      <c r="M285" s="128"/>
      <c r="N285" s="129"/>
      <c r="O285" s="129"/>
      <c r="P285" s="129"/>
      <c r="Q285" s="130" t="s">
        <v>271</v>
      </c>
      <c r="R285" s="130"/>
      <c r="S285" s="131"/>
      <c r="T285" s="131"/>
      <c r="U285" s="131"/>
      <c r="V285" s="131"/>
      <c r="W285" s="131"/>
      <c r="X285" s="131"/>
      <c r="Y285" s="131"/>
      <c r="Z285" s="131"/>
      <c r="AA285" s="131"/>
      <c r="AB285" s="131"/>
      <c r="AC285" s="131"/>
      <c r="AD285" s="131"/>
      <c r="AE285" s="131"/>
      <c r="AF285" s="131"/>
      <c r="AG285" s="131"/>
      <c r="AH285" s="131"/>
      <c r="AI285" s="131"/>
      <c r="AJ285" s="131"/>
      <c r="AK285" s="131"/>
      <c r="AL285" s="131"/>
      <c r="AM285" s="131"/>
    </row>
    <row r="286" customFormat="false" ht="37.5" hidden="false" customHeight="true" outlineLevel="0" collapsed="false">
      <c r="B286" s="127" t="n">
        <v>9</v>
      </c>
      <c r="C286" s="128" t="s">
        <v>285</v>
      </c>
      <c r="D286" s="128"/>
      <c r="E286" s="128"/>
      <c r="F286" s="128"/>
      <c r="G286" s="128"/>
      <c r="H286" s="128"/>
      <c r="I286" s="128"/>
      <c r="J286" s="128"/>
      <c r="K286" s="128"/>
      <c r="L286" s="128"/>
      <c r="M286" s="128"/>
      <c r="N286" s="129"/>
      <c r="O286" s="129"/>
      <c r="P286" s="129"/>
      <c r="Q286" s="130" t="s">
        <v>271</v>
      </c>
      <c r="R286" s="130"/>
      <c r="S286" s="131"/>
      <c r="T286" s="131"/>
      <c r="U286" s="131"/>
      <c r="V286" s="131"/>
      <c r="W286" s="131"/>
      <c r="X286" s="131"/>
      <c r="Y286" s="131"/>
      <c r="Z286" s="131"/>
      <c r="AA286" s="131"/>
      <c r="AB286" s="131"/>
      <c r="AC286" s="131"/>
      <c r="AD286" s="131"/>
      <c r="AE286" s="131"/>
      <c r="AF286" s="131"/>
      <c r="AG286" s="131"/>
      <c r="AH286" s="131"/>
      <c r="AI286" s="131"/>
      <c r="AJ286" s="131"/>
      <c r="AK286" s="131"/>
      <c r="AL286" s="131"/>
      <c r="AM286" s="131"/>
    </row>
    <row r="287" customFormat="false" ht="37.5" hidden="false" customHeight="true" outlineLevel="0" collapsed="false">
      <c r="B287" s="127" t="n">
        <v>10</v>
      </c>
      <c r="C287" s="128" t="s">
        <v>275</v>
      </c>
      <c r="D287" s="128"/>
      <c r="E287" s="128"/>
      <c r="F287" s="128"/>
      <c r="G287" s="128"/>
      <c r="H287" s="128"/>
      <c r="I287" s="128"/>
      <c r="J287" s="128"/>
      <c r="K287" s="128"/>
      <c r="L287" s="128"/>
      <c r="M287" s="128"/>
      <c r="N287" s="129"/>
      <c r="O287" s="129"/>
      <c r="P287" s="129"/>
      <c r="Q287" s="130" t="s">
        <v>271</v>
      </c>
      <c r="R287" s="130"/>
      <c r="S287" s="131"/>
      <c r="T287" s="131"/>
      <c r="U287" s="131"/>
      <c r="V287" s="131"/>
      <c r="W287" s="131"/>
      <c r="X287" s="131"/>
      <c r="Y287" s="131"/>
      <c r="Z287" s="131"/>
      <c r="AA287" s="131"/>
      <c r="AB287" s="131"/>
      <c r="AC287" s="131"/>
      <c r="AD287" s="131"/>
      <c r="AE287" s="131"/>
      <c r="AF287" s="131"/>
      <c r="AG287" s="131"/>
      <c r="AH287" s="131"/>
      <c r="AI287" s="131"/>
      <c r="AJ287" s="131"/>
      <c r="AK287" s="131"/>
      <c r="AL287" s="131"/>
      <c r="AM287" s="131"/>
    </row>
    <row r="288" customFormat="false" ht="37.5" hidden="false" customHeight="true" outlineLevel="0" collapsed="false">
      <c r="B288" s="127" t="n">
        <v>11</v>
      </c>
      <c r="C288" s="128" t="s">
        <v>276</v>
      </c>
      <c r="D288" s="128"/>
      <c r="E288" s="128"/>
      <c r="F288" s="128"/>
      <c r="G288" s="128"/>
      <c r="H288" s="128"/>
      <c r="I288" s="128"/>
      <c r="J288" s="128"/>
      <c r="K288" s="128"/>
      <c r="L288" s="128"/>
      <c r="M288" s="128"/>
      <c r="N288" s="129"/>
      <c r="O288" s="129"/>
      <c r="P288" s="129"/>
      <c r="Q288" s="130" t="s">
        <v>271</v>
      </c>
      <c r="R288" s="130"/>
      <c r="S288" s="131"/>
      <c r="T288" s="131"/>
      <c r="U288" s="131"/>
      <c r="V288" s="131"/>
      <c r="W288" s="131"/>
      <c r="X288" s="131"/>
      <c r="Y288" s="131"/>
      <c r="Z288" s="131"/>
      <c r="AA288" s="131"/>
      <c r="AB288" s="131"/>
      <c r="AC288" s="131"/>
      <c r="AD288" s="131"/>
      <c r="AE288" s="131"/>
      <c r="AF288" s="131"/>
      <c r="AG288" s="131"/>
      <c r="AH288" s="131"/>
      <c r="AI288" s="131"/>
      <c r="AJ288" s="131"/>
      <c r="AK288" s="131"/>
      <c r="AL288" s="131"/>
      <c r="AM288" s="131"/>
    </row>
    <row r="289" customFormat="false" ht="27.75" hidden="false" customHeight="true" outlineLevel="0" collapsed="false">
      <c r="B289" s="109" t="n">
        <v>12</v>
      </c>
      <c r="C289" s="132" t="s">
        <v>277</v>
      </c>
      <c r="D289" s="132"/>
      <c r="E289" s="132"/>
      <c r="F289" s="132"/>
      <c r="G289" s="132"/>
      <c r="H289" s="132"/>
      <c r="I289" s="132"/>
      <c r="J289" s="132"/>
      <c r="K289" s="132"/>
      <c r="L289" s="132"/>
      <c r="M289" s="132"/>
      <c r="N289" s="133" t="str">
        <f aca="false">IF(COUNT(N283:N288)=0,"",SUM(N283:N288))</f>
        <v/>
      </c>
      <c r="O289" s="133"/>
      <c r="P289" s="133"/>
      <c r="Q289" s="134" t="s">
        <v>278</v>
      </c>
      <c r="R289" s="134"/>
      <c r="S289" s="135"/>
      <c r="T289" s="135"/>
      <c r="U289" s="135"/>
      <c r="V289" s="135"/>
      <c r="W289" s="135"/>
      <c r="X289" s="135"/>
      <c r="Y289" s="135"/>
      <c r="Z289" s="135"/>
      <c r="AA289" s="135"/>
      <c r="AB289" s="135"/>
      <c r="AC289" s="135"/>
      <c r="AD289" s="135"/>
      <c r="AE289" s="135"/>
      <c r="AF289" s="135"/>
      <c r="AG289" s="135"/>
      <c r="AH289" s="135"/>
      <c r="AI289" s="135"/>
      <c r="AJ289" s="135"/>
      <c r="AK289" s="135"/>
      <c r="AL289" s="135"/>
      <c r="AM289" s="135"/>
    </row>
    <row r="290" customFormat="false" ht="9.75" hidden="false" customHeight="true" outlineLevel="0" collapsed="false"/>
    <row r="291" customFormat="false" ht="21.75" hidden="false" customHeight="true" outlineLevel="0" collapsed="false">
      <c r="B291" s="6"/>
      <c r="C291" s="19" t="s">
        <v>279</v>
      </c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</row>
    <row r="292" customFormat="false" ht="24" hidden="false" customHeight="true" outlineLevel="0" collapsed="false">
      <c r="B292" s="60"/>
      <c r="C292" s="61" t="n">
        <v>13</v>
      </c>
      <c r="D292" s="75" t="s">
        <v>280</v>
      </c>
      <c r="E292" s="75"/>
      <c r="F292" s="75"/>
      <c r="G292" s="75"/>
      <c r="H292" s="75"/>
      <c r="I292" s="75"/>
      <c r="J292" s="75"/>
      <c r="K292" s="75"/>
      <c r="L292" s="75"/>
      <c r="M292" s="75"/>
      <c r="N292" s="75"/>
      <c r="O292" s="75"/>
      <c r="P292" s="75"/>
      <c r="Q292" s="75"/>
      <c r="R292" s="75"/>
      <c r="S292" s="75"/>
      <c r="T292" s="92"/>
      <c r="V292" s="60"/>
      <c r="W292" s="61" t="n">
        <v>14</v>
      </c>
      <c r="X292" s="75" t="s">
        <v>281</v>
      </c>
      <c r="Y292" s="75"/>
      <c r="Z292" s="75"/>
      <c r="AA292" s="75"/>
      <c r="AB292" s="75"/>
      <c r="AC292" s="75"/>
      <c r="AD292" s="75"/>
      <c r="AE292" s="75"/>
      <c r="AF292" s="75"/>
      <c r="AG292" s="75"/>
      <c r="AH292" s="75"/>
      <c r="AI292" s="75"/>
      <c r="AJ292" s="75"/>
      <c r="AK292" s="75"/>
      <c r="AL292" s="75"/>
      <c r="AM292" s="92"/>
    </row>
    <row r="293" customFormat="false" ht="18" hidden="false" customHeight="true" outlineLevel="0" collapsed="false">
      <c r="B293" s="63"/>
      <c r="C293" s="136"/>
      <c r="D293" s="136"/>
      <c r="E293" s="136"/>
      <c r="F293" s="136"/>
      <c r="G293" s="136"/>
      <c r="H293" s="136"/>
      <c r="I293" s="136"/>
      <c r="J293" s="136"/>
      <c r="K293" s="136"/>
      <c r="L293" s="136"/>
      <c r="M293" s="136"/>
      <c r="N293" s="136"/>
      <c r="O293" s="136"/>
      <c r="P293" s="136"/>
      <c r="Q293" s="136"/>
      <c r="R293" s="136"/>
      <c r="S293" s="136"/>
      <c r="T293" s="65"/>
      <c r="V293" s="63"/>
      <c r="W293" s="136"/>
      <c r="X293" s="136"/>
      <c r="Y293" s="136"/>
      <c r="Z293" s="136"/>
      <c r="AA293" s="136"/>
      <c r="AB293" s="136"/>
      <c r="AC293" s="136"/>
      <c r="AD293" s="136"/>
      <c r="AE293" s="136"/>
      <c r="AF293" s="136"/>
      <c r="AG293" s="136"/>
      <c r="AH293" s="136"/>
      <c r="AI293" s="136"/>
      <c r="AJ293" s="136"/>
      <c r="AK293" s="136"/>
      <c r="AL293" s="136"/>
      <c r="AM293" s="65"/>
    </row>
    <row r="294" customFormat="false" ht="18" hidden="false" customHeight="true" outlineLevel="0" collapsed="false">
      <c r="B294" s="63"/>
      <c r="C294" s="136"/>
      <c r="D294" s="136"/>
      <c r="E294" s="136"/>
      <c r="F294" s="136"/>
      <c r="G294" s="136"/>
      <c r="H294" s="136"/>
      <c r="I294" s="136"/>
      <c r="J294" s="136"/>
      <c r="K294" s="136"/>
      <c r="L294" s="136"/>
      <c r="M294" s="136"/>
      <c r="N294" s="136"/>
      <c r="O294" s="136"/>
      <c r="P294" s="136"/>
      <c r="Q294" s="136"/>
      <c r="R294" s="136"/>
      <c r="S294" s="136"/>
      <c r="T294" s="65"/>
      <c r="V294" s="63"/>
      <c r="W294" s="136"/>
      <c r="X294" s="136"/>
      <c r="Y294" s="136"/>
      <c r="Z294" s="136"/>
      <c r="AA294" s="136"/>
      <c r="AB294" s="136"/>
      <c r="AC294" s="136"/>
      <c r="AD294" s="136"/>
      <c r="AE294" s="136"/>
      <c r="AF294" s="136"/>
      <c r="AG294" s="136"/>
      <c r="AH294" s="136"/>
      <c r="AI294" s="136"/>
      <c r="AJ294" s="136"/>
      <c r="AK294" s="136"/>
      <c r="AL294" s="136"/>
      <c r="AM294" s="65"/>
    </row>
    <row r="295" customFormat="false" ht="18" hidden="false" customHeight="true" outlineLevel="0" collapsed="false">
      <c r="B295" s="63"/>
      <c r="C295" s="136"/>
      <c r="D295" s="136"/>
      <c r="E295" s="136"/>
      <c r="F295" s="136"/>
      <c r="G295" s="136"/>
      <c r="H295" s="136"/>
      <c r="I295" s="136"/>
      <c r="J295" s="136"/>
      <c r="K295" s="136"/>
      <c r="L295" s="136"/>
      <c r="M295" s="136"/>
      <c r="N295" s="136"/>
      <c r="O295" s="136"/>
      <c r="P295" s="136"/>
      <c r="Q295" s="136"/>
      <c r="R295" s="136"/>
      <c r="S295" s="136"/>
      <c r="T295" s="65"/>
      <c r="V295" s="63"/>
      <c r="W295" s="136"/>
      <c r="X295" s="136"/>
      <c r="Y295" s="136"/>
      <c r="Z295" s="136"/>
      <c r="AA295" s="136"/>
      <c r="AB295" s="136"/>
      <c r="AC295" s="136"/>
      <c r="AD295" s="136"/>
      <c r="AE295" s="136"/>
      <c r="AF295" s="136"/>
      <c r="AG295" s="136"/>
      <c r="AH295" s="136"/>
      <c r="AI295" s="136"/>
      <c r="AJ295" s="136"/>
      <c r="AK295" s="136"/>
      <c r="AL295" s="136"/>
      <c r="AM295" s="65"/>
    </row>
    <row r="296" customFormat="false" ht="6" hidden="false" customHeight="true" outlineLevel="0" collapsed="false">
      <c r="B296" s="67"/>
      <c r="C296" s="68"/>
      <c r="D296" s="68"/>
      <c r="E296" s="68"/>
      <c r="F296" s="68"/>
      <c r="G296" s="68"/>
      <c r="H296" s="68"/>
      <c r="I296" s="68"/>
      <c r="J296" s="68"/>
      <c r="K296" s="68"/>
      <c r="L296" s="68"/>
      <c r="M296" s="68"/>
      <c r="N296" s="68"/>
      <c r="O296" s="68"/>
      <c r="P296" s="68"/>
      <c r="Q296" s="68"/>
      <c r="R296" s="68"/>
      <c r="S296" s="68"/>
      <c r="T296" s="69"/>
      <c r="V296" s="67"/>
      <c r="W296" s="68"/>
      <c r="X296" s="68"/>
      <c r="Y296" s="68"/>
      <c r="Z296" s="68"/>
      <c r="AA296" s="68"/>
      <c r="AB296" s="68"/>
      <c r="AC296" s="68"/>
      <c r="AD296" s="68"/>
      <c r="AE296" s="68"/>
      <c r="AF296" s="68"/>
      <c r="AG296" s="68"/>
      <c r="AH296" s="68"/>
      <c r="AI296" s="68"/>
      <c r="AJ296" s="68"/>
      <c r="AK296" s="68"/>
      <c r="AL296" s="68"/>
      <c r="AM296" s="69"/>
    </row>
    <row r="297" customFormat="false" ht="54" hidden="false" customHeight="true" outlineLevel="0" collapsed="false"/>
    <row r="298" customFormat="false" ht="6" hidden="false" customHeight="true" outlineLevel="0" collapsed="false"/>
    <row r="299" customFormat="false" ht="19.5" hidden="false" customHeight="true" outlineLevel="0" collapsed="false">
      <c r="B299" s="73" t="s">
        <v>107</v>
      </c>
      <c r="C299" s="73"/>
      <c r="D299" s="73"/>
      <c r="E299" s="73"/>
      <c r="F299" s="73"/>
      <c r="G299" s="73"/>
      <c r="H299" s="73"/>
      <c r="I299" s="73"/>
      <c r="J299" s="73"/>
      <c r="K299" s="73"/>
      <c r="L299" s="74" t="s">
        <v>108</v>
      </c>
      <c r="M299" s="74"/>
      <c r="N299" s="74"/>
      <c r="O299" s="74"/>
      <c r="P299" s="74"/>
      <c r="Q299" s="74"/>
      <c r="R299" s="74"/>
      <c r="S299" s="74"/>
      <c r="U299" s="73" t="s">
        <v>282</v>
      </c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4" t="s">
        <v>108</v>
      </c>
      <c r="AG299" s="74"/>
      <c r="AH299" s="74"/>
      <c r="AI299" s="74"/>
      <c r="AJ299" s="74"/>
      <c r="AK299" s="74"/>
      <c r="AL299" s="74"/>
      <c r="AM299" s="74"/>
    </row>
    <row r="300" customFormat="false" ht="9.75" hidden="false" customHeight="true" outlineLevel="0" collapsed="false"/>
    <row r="301" customFormat="false" ht="18" hidden="false" customHeight="true" outlineLevel="0" collapsed="false">
      <c r="B301" s="75" t="s">
        <v>283</v>
      </c>
      <c r="C301" s="75"/>
      <c r="D301" s="75"/>
      <c r="E301" s="75"/>
      <c r="F301" s="75"/>
      <c r="G301" s="75"/>
      <c r="H301" s="75"/>
      <c r="I301" s="75"/>
      <c r="J301" s="75"/>
      <c r="K301" s="75"/>
      <c r="L301" s="75"/>
      <c r="M301" s="75"/>
      <c r="N301" s="75"/>
      <c r="O301" s="75"/>
      <c r="P301" s="75"/>
      <c r="Q301" s="75"/>
      <c r="R301" s="75"/>
      <c r="S301" s="75"/>
      <c r="T301" s="76" t="s">
        <v>111</v>
      </c>
      <c r="U301" s="76"/>
      <c r="V301" s="76"/>
      <c r="W301" s="76"/>
      <c r="X301" s="76"/>
      <c r="Y301" s="76"/>
      <c r="Z301" s="76"/>
      <c r="AA301" s="76"/>
      <c r="AB301" s="76"/>
      <c r="AC301" s="76"/>
      <c r="AD301" s="76"/>
      <c r="AE301" s="76"/>
      <c r="AF301" s="76"/>
      <c r="AG301" s="76"/>
      <c r="AH301" s="76"/>
      <c r="AI301" s="76"/>
      <c r="AJ301" s="76"/>
      <c r="AK301" s="76"/>
      <c r="AL301" s="76"/>
      <c r="AM301" s="76"/>
    </row>
    <row r="302" customFormat="false" ht="7.5" hidden="false" customHeight="true" outlineLevel="0" collapsed="false"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</row>
    <row r="303" customFormat="false" ht="19.5" hidden="false" customHeight="true" outlineLevel="0" collapsed="false">
      <c r="B303" s="1"/>
      <c r="C303" s="51" t="s">
        <v>233</v>
      </c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  <c r="AA303" s="51"/>
      <c r="AB303" s="1"/>
      <c r="AC303" s="1"/>
      <c r="AD303" s="1"/>
      <c r="AE303" s="52" t="s">
        <v>234</v>
      </c>
      <c r="AF303" s="52"/>
      <c r="AG303" s="52"/>
      <c r="AH303" s="52"/>
      <c r="AI303" s="52"/>
      <c r="AJ303" s="52"/>
      <c r="AK303" s="52"/>
      <c r="AL303" s="1"/>
      <c r="AM303" s="1"/>
    </row>
    <row r="304" customFormat="false" ht="30" hidden="false" customHeight="true" outlineLevel="0" collapsed="false">
      <c r="B304" s="1"/>
      <c r="C304" s="53" t="s">
        <v>235</v>
      </c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4" t="s">
        <v>236</v>
      </c>
      <c r="AC304" s="54"/>
      <c r="AD304" s="54"/>
      <c r="AE304" s="54"/>
      <c r="AF304" s="54"/>
      <c r="AG304" s="54"/>
      <c r="AH304" s="54"/>
      <c r="AI304" s="54"/>
      <c r="AJ304" s="54"/>
      <c r="AK304" s="54"/>
      <c r="AL304" s="1"/>
      <c r="AM304" s="1"/>
    </row>
    <row r="305" customFormat="false" ht="15.75" hidden="false" customHeight="true" outlineLevel="0" collapsed="false">
      <c r="B305" s="1"/>
      <c r="C305" s="55" t="s">
        <v>237</v>
      </c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</row>
    <row r="306" customFormat="false" ht="9.75" hidden="false" customHeight="true" outlineLevel="0" collapsed="false"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</row>
    <row r="307" customFormat="false" ht="3.75" hidden="false" customHeight="true" outlineLevel="0" collapsed="false"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</row>
    <row r="308" customFormat="false" ht="7.5" hidden="false" customHeight="true" outlineLevel="0" collapsed="false"/>
    <row r="309" customFormat="false" ht="13.5" hidden="false" customHeight="true" outlineLevel="0" collapsed="false">
      <c r="B309" s="56" t="s">
        <v>238</v>
      </c>
      <c r="C309" s="56"/>
      <c r="D309" s="56"/>
      <c r="E309" s="56"/>
      <c r="F309" s="56"/>
      <c r="G309" s="56"/>
      <c r="H309" s="56"/>
      <c r="I309" s="56"/>
      <c r="J309" s="56"/>
      <c r="K309" s="56"/>
      <c r="M309" s="56" t="s">
        <v>136</v>
      </c>
      <c r="N309" s="56"/>
      <c r="O309" s="56"/>
      <c r="P309" s="56"/>
      <c r="Q309" s="56"/>
      <c r="R309" s="56"/>
      <c r="S309" s="56"/>
      <c r="T309" s="56"/>
      <c r="U309" s="56"/>
      <c r="V309" s="56"/>
      <c r="X309" s="56" t="s">
        <v>239</v>
      </c>
      <c r="Y309" s="56"/>
      <c r="Z309" s="56"/>
      <c r="AA309" s="56"/>
      <c r="AB309" s="56"/>
      <c r="AC309" s="56"/>
      <c r="AD309" s="56"/>
      <c r="AE309" s="56"/>
      <c r="AG309" s="56" t="s">
        <v>240</v>
      </c>
      <c r="AH309" s="56"/>
      <c r="AI309" s="56"/>
      <c r="AJ309" s="56"/>
      <c r="AK309" s="56"/>
      <c r="AL309" s="56"/>
      <c r="AM309" s="56"/>
    </row>
    <row r="310" customFormat="false" ht="21.75" hidden="false" customHeight="true" outlineLevel="0" collapsed="false">
      <c r="B310" s="57" t="str">
        <f aca="false">Dashboard!$B$35</f>
        <v>Saha</v>
      </c>
      <c r="C310" s="57"/>
      <c r="D310" s="57"/>
      <c r="E310" s="57"/>
      <c r="F310" s="57"/>
      <c r="G310" s="57"/>
      <c r="H310" s="57"/>
      <c r="I310" s="57"/>
      <c r="J310" s="57"/>
      <c r="K310" s="57"/>
      <c r="M310" s="57" t="str">
        <f aca="false">Dashboard!$C$6</f>
        <v>Bindhya TB</v>
      </c>
      <c r="N310" s="57"/>
      <c r="O310" s="57"/>
      <c r="P310" s="57"/>
      <c r="Q310" s="57"/>
      <c r="R310" s="57"/>
      <c r="S310" s="57"/>
      <c r="T310" s="57"/>
      <c r="U310" s="57"/>
      <c r="V310" s="57"/>
      <c r="X310" s="57" t="str">
        <f aca="false">TEXT(Dashboard!$C$8,"mmmm yyyy")</f>
        <v>October 2026</v>
      </c>
      <c r="Y310" s="57"/>
      <c r="Z310" s="57"/>
      <c r="AA310" s="57"/>
      <c r="AB310" s="57"/>
      <c r="AC310" s="57"/>
      <c r="AD310" s="57"/>
      <c r="AE310" s="57"/>
      <c r="AG310" s="106"/>
      <c r="AH310" s="106"/>
      <c r="AI310" s="106"/>
      <c r="AJ310" s="106"/>
      <c r="AK310" s="106"/>
      <c r="AL310" s="106"/>
      <c r="AM310" s="106"/>
    </row>
    <row r="311" customFormat="false" ht="9.75" hidden="false" customHeight="true" outlineLevel="0" collapsed="false"/>
    <row r="312" customFormat="false" ht="21.75" hidden="false" customHeight="true" outlineLevel="0" collapsed="false">
      <c r="B312" s="6"/>
      <c r="C312" s="19" t="s">
        <v>241</v>
      </c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</row>
    <row r="313" customFormat="false" ht="27.75" hidden="false" customHeight="true" outlineLevel="0" collapsed="false">
      <c r="B313" s="60"/>
      <c r="C313" s="61" t="n">
        <v>1</v>
      </c>
      <c r="D313" s="62" t="s">
        <v>242</v>
      </c>
      <c r="E313" s="62"/>
      <c r="F313" s="62"/>
      <c r="G313" s="62"/>
      <c r="H313" s="62"/>
      <c r="I313" s="62"/>
      <c r="J313" s="62"/>
      <c r="L313" s="60"/>
      <c r="M313" s="61" t="n">
        <v>2</v>
      </c>
      <c r="N313" s="62" t="s">
        <v>13</v>
      </c>
      <c r="O313" s="62"/>
      <c r="P313" s="62"/>
      <c r="Q313" s="62"/>
      <c r="R313" s="62"/>
      <c r="S313" s="62"/>
      <c r="T313" s="62"/>
      <c r="V313" s="60"/>
      <c r="W313" s="61" t="n">
        <v>3</v>
      </c>
      <c r="X313" s="62" t="s">
        <v>243</v>
      </c>
      <c r="Y313" s="62"/>
      <c r="Z313" s="62"/>
      <c r="AA313" s="62"/>
      <c r="AB313" s="62"/>
      <c r="AC313" s="62"/>
      <c r="AD313" s="62"/>
      <c r="AF313" s="60"/>
      <c r="AG313" s="61" t="n">
        <v>4</v>
      </c>
      <c r="AH313" s="62" t="s">
        <v>244</v>
      </c>
      <c r="AI313" s="62"/>
      <c r="AJ313" s="62"/>
      <c r="AK313" s="62"/>
      <c r="AL313" s="62"/>
      <c r="AM313" s="62"/>
    </row>
    <row r="314" customFormat="false" ht="25.5" hidden="false" customHeight="true" outlineLevel="0" collapsed="false">
      <c r="B314" s="63"/>
      <c r="C314" s="97" t="str">
        <f aca="false">IF(Dashboard!$C$35="","",Dashboard!$C$35)</f>
        <v/>
      </c>
      <c r="D314" s="97"/>
      <c r="E314" s="97"/>
      <c r="F314" s="97"/>
      <c r="G314" s="97"/>
      <c r="H314" s="97"/>
      <c r="I314" s="97"/>
      <c r="J314" s="65"/>
      <c r="L314" s="63"/>
      <c r="M314" s="97" t="n">
        <f aca="false">Dashboard!$D$35</f>
        <v>0</v>
      </c>
      <c r="N314" s="97"/>
      <c r="O314" s="97"/>
      <c r="P314" s="97"/>
      <c r="Q314" s="97"/>
      <c r="R314" s="97"/>
      <c r="S314" s="97"/>
      <c r="T314" s="65"/>
      <c r="V314" s="63"/>
      <c r="W314" s="107" t="str">
        <f aca="false">IF(C314="","☐ Yes        ☐ No",IF(M314&gt;=C314,"☑ Yes        ☐ No","☐ Yes        ☑ No"))</f>
        <v>☐ Yes        ☐ No</v>
      </c>
      <c r="X314" s="107"/>
      <c r="Y314" s="107"/>
      <c r="Z314" s="107"/>
      <c r="AA314" s="107"/>
      <c r="AB314" s="107"/>
      <c r="AC314" s="107"/>
      <c r="AD314" s="65"/>
      <c r="AF314" s="63"/>
      <c r="AG314" s="108"/>
      <c r="AH314" s="108"/>
      <c r="AI314" s="108"/>
      <c r="AJ314" s="108"/>
      <c r="AK314" s="108"/>
      <c r="AL314" s="108"/>
      <c r="AM314" s="65"/>
    </row>
    <row r="315" customFormat="false" ht="6" hidden="false" customHeight="true" outlineLevel="0" collapsed="false">
      <c r="B315" s="67"/>
      <c r="C315" s="68"/>
      <c r="D315" s="68"/>
      <c r="E315" s="68"/>
      <c r="F315" s="68"/>
      <c r="G315" s="68"/>
      <c r="H315" s="68"/>
      <c r="I315" s="68"/>
      <c r="J315" s="69"/>
      <c r="L315" s="67"/>
      <c r="M315" s="68"/>
      <c r="N315" s="68"/>
      <c r="O315" s="68"/>
      <c r="P315" s="68"/>
      <c r="Q315" s="68"/>
      <c r="R315" s="68"/>
      <c r="S315" s="68"/>
      <c r="T315" s="69"/>
      <c r="V315" s="67"/>
      <c r="W315" s="68"/>
      <c r="X315" s="68"/>
      <c r="Y315" s="68"/>
      <c r="Z315" s="68"/>
      <c r="AA315" s="68"/>
      <c r="AB315" s="68"/>
      <c r="AC315" s="68"/>
      <c r="AD315" s="69"/>
      <c r="AF315" s="67"/>
      <c r="AG315" s="68"/>
      <c r="AH315" s="68"/>
      <c r="AI315" s="68"/>
      <c r="AJ315" s="68"/>
      <c r="AK315" s="68"/>
      <c r="AL315" s="68"/>
      <c r="AM315" s="69"/>
    </row>
    <row r="316" customFormat="false" ht="7.5" hidden="false" customHeight="true" outlineLevel="0" collapsed="false"/>
    <row r="317" customFormat="false" ht="21.75" hidden="false" customHeight="true" outlineLevel="0" collapsed="false">
      <c r="B317" s="109" t="n">
        <v>5</v>
      </c>
      <c r="D317" s="110" t="s">
        <v>245</v>
      </c>
      <c r="E317" s="110"/>
      <c r="F317" s="110"/>
      <c r="G317" s="110"/>
      <c r="H317" s="110"/>
      <c r="I317" s="110"/>
      <c r="J317" s="110"/>
      <c r="K317" s="110"/>
      <c r="L317" s="110"/>
      <c r="M317" s="110"/>
      <c r="N317" s="110"/>
      <c r="O317" s="110"/>
      <c r="P317" s="110"/>
      <c r="Q317" s="110"/>
      <c r="R317" s="110"/>
      <c r="S317" s="110"/>
      <c r="T317" s="110"/>
      <c r="U317" s="110"/>
      <c r="V317" s="110"/>
      <c r="W317" s="110"/>
      <c r="X317" s="110"/>
      <c r="Y317" s="111" t="s">
        <v>246</v>
      </c>
      <c r="Z317" s="111"/>
      <c r="AA317" s="111"/>
      <c r="AB317" s="111"/>
      <c r="AC317" s="111"/>
      <c r="AD317" s="111"/>
    </row>
    <row r="318" customFormat="false" ht="19.5" hidden="false" customHeight="true" outlineLevel="0" collapsed="false">
      <c r="B318" s="112" t="s">
        <v>247</v>
      </c>
      <c r="C318" s="113" t="s">
        <v>248</v>
      </c>
      <c r="D318" s="113"/>
      <c r="E318" s="113"/>
      <c r="F318" s="113"/>
      <c r="G318" s="113"/>
      <c r="H318" s="113"/>
      <c r="I318" s="113"/>
      <c r="J318" s="112" t="s">
        <v>247</v>
      </c>
      <c r="K318" s="113" t="s">
        <v>249</v>
      </c>
      <c r="L318" s="113"/>
      <c r="M318" s="113"/>
      <c r="N318" s="113"/>
      <c r="O318" s="113"/>
      <c r="P318" s="113"/>
      <c r="Q318" s="113"/>
      <c r="R318" s="112" t="s">
        <v>247</v>
      </c>
      <c r="S318" s="113" t="s">
        <v>250</v>
      </c>
      <c r="T318" s="113"/>
      <c r="U318" s="113"/>
      <c r="V318" s="113"/>
      <c r="W318" s="113"/>
      <c r="X318" s="113"/>
      <c r="Y318" s="112" t="s">
        <v>247</v>
      </c>
      <c r="Z318" s="113" t="s">
        <v>251</v>
      </c>
      <c r="AA318" s="113"/>
      <c r="AB318" s="113"/>
      <c r="AC318" s="113"/>
      <c r="AD318" s="113"/>
      <c r="AE318" s="113"/>
      <c r="AF318" s="112" t="s">
        <v>247</v>
      </c>
      <c r="AG318" s="113" t="s">
        <v>252</v>
      </c>
      <c r="AH318" s="113"/>
      <c r="AI318" s="113"/>
      <c r="AJ318" s="113"/>
      <c r="AK318" s="113"/>
      <c r="AL318" s="113"/>
      <c r="AM318" s="113"/>
    </row>
    <row r="319" customFormat="false" ht="19.5" hidden="false" customHeight="true" outlineLevel="0" collapsed="false">
      <c r="B319" s="112" t="s">
        <v>247</v>
      </c>
      <c r="C319" s="113" t="s">
        <v>253</v>
      </c>
      <c r="D319" s="113"/>
      <c r="E319" s="113"/>
      <c r="F319" s="113"/>
      <c r="G319" s="114"/>
      <c r="H319" s="114"/>
      <c r="I319" s="114"/>
      <c r="J319" s="114"/>
      <c r="K319" s="114"/>
      <c r="L319" s="114"/>
      <c r="M319" s="114"/>
      <c r="N319" s="114"/>
      <c r="O319" s="114"/>
      <c r="P319" s="114"/>
    </row>
    <row r="320" customFormat="false" ht="9.75" hidden="false" customHeight="true" outlineLevel="0" collapsed="false"/>
    <row r="321" customFormat="false" ht="21.75" hidden="false" customHeight="true" outlineLevel="0" collapsed="false">
      <c r="B321" s="6"/>
      <c r="C321" s="19" t="s">
        <v>254</v>
      </c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59" t="s">
        <v>255</v>
      </c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  <c r="AF321" s="59"/>
      <c r="AG321" s="59"/>
      <c r="AH321" s="59"/>
      <c r="AI321" s="59"/>
      <c r="AJ321" s="59"/>
      <c r="AK321" s="59"/>
      <c r="AL321" s="59"/>
      <c r="AM321" s="59"/>
    </row>
    <row r="322" customFormat="false" ht="24" hidden="false" customHeight="true" outlineLevel="0" collapsed="false">
      <c r="B322" s="115" t="n">
        <v>1</v>
      </c>
      <c r="C322" s="115"/>
      <c r="D322" s="115"/>
      <c r="E322" s="115"/>
      <c r="F322" s="116" t="n">
        <v>2</v>
      </c>
      <c r="G322" s="116"/>
      <c r="H322" s="116"/>
      <c r="I322" s="116"/>
      <c r="J322" s="117" t="n">
        <v>3</v>
      </c>
      <c r="K322" s="117"/>
      <c r="L322" s="117"/>
      <c r="M322" s="117"/>
      <c r="N322" s="118" t="n">
        <v>4</v>
      </c>
      <c r="O322" s="118"/>
      <c r="P322" s="118"/>
      <c r="Q322" s="118"/>
      <c r="R322" s="119" t="n">
        <v>5</v>
      </c>
      <c r="S322" s="119"/>
      <c r="T322" s="119"/>
      <c r="U322" s="119"/>
      <c r="V322" s="119" t="n">
        <v>6</v>
      </c>
      <c r="W322" s="119"/>
      <c r="X322" s="119"/>
      <c r="Y322" s="119"/>
      <c r="Z322" s="120" t="n">
        <v>7</v>
      </c>
      <c r="AA322" s="120"/>
      <c r="AB322" s="120"/>
      <c r="AC322" s="120"/>
      <c r="AD322" s="121" t="n">
        <v>8</v>
      </c>
      <c r="AE322" s="121"/>
      <c r="AF322" s="121"/>
      <c r="AG322" s="121"/>
      <c r="AH322" s="122" t="n">
        <v>9</v>
      </c>
      <c r="AI322" s="122"/>
      <c r="AJ322" s="122"/>
      <c r="AK322" s="123" t="n">
        <v>10</v>
      </c>
      <c r="AL322" s="123"/>
      <c r="AM322" s="123"/>
    </row>
    <row r="323" customFormat="false" ht="18" hidden="false" customHeight="true" outlineLevel="0" collapsed="false">
      <c r="B323" s="124" t="s">
        <v>256</v>
      </c>
      <c r="C323" s="124"/>
      <c r="D323" s="124"/>
      <c r="E323" s="124"/>
      <c r="F323" s="124" t="s">
        <v>257</v>
      </c>
      <c r="G323" s="124"/>
      <c r="H323" s="124"/>
      <c r="I323" s="124"/>
      <c r="J323" s="124" t="s">
        <v>258</v>
      </c>
      <c r="K323" s="124"/>
      <c r="L323" s="124"/>
      <c r="M323" s="124"/>
      <c r="N323" s="124" t="s">
        <v>259</v>
      </c>
      <c r="O323" s="124"/>
      <c r="P323" s="124"/>
      <c r="Q323" s="124"/>
      <c r="R323" s="124" t="s">
        <v>260</v>
      </c>
      <c r="S323" s="124"/>
      <c r="T323" s="124"/>
      <c r="U323" s="124"/>
      <c r="V323" s="124" t="s">
        <v>261</v>
      </c>
      <c r="W323" s="124"/>
      <c r="X323" s="124"/>
      <c r="Y323" s="124"/>
      <c r="Z323" s="124" t="s">
        <v>262</v>
      </c>
      <c r="AA323" s="124"/>
      <c r="AB323" s="124"/>
      <c r="AC323" s="124"/>
      <c r="AD323" s="124" t="s">
        <v>263</v>
      </c>
      <c r="AE323" s="124"/>
      <c r="AF323" s="124"/>
      <c r="AG323" s="124"/>
      <c r="AH323" s="124" t="s">
        <v>264</v>
      </c>
      <c r="AI323" s="124"/>
      <c r="AJ323" s="124"/>
      <c r="AK323" s="124" t="s">
        <v>265</v>
      </c>
      <c r="AL323" s="124"/>
      <c r="AM323" s="124"/>
    </row>
    <row r="324" customFormat="false" ht="6" hidden="false" customHeight="true" outlineLevel="0" collapsed="false"/>
    <row r="325" customFormat="false" ht="24" hidden="false" customHeight="true" outlineLevel="0" collapsed="false">
      <c r="B325" s="125" t="s">
        <v>266</v>
      </c>
      <c r="C325" s="125"/>
      <c r="D325" s="125"/>
      <c r="E325" s="125"/>
      <c r="F325" s="125"/>
      <c r="G325" s="125"/>
      <c r="H325" s="125"/>
      <c r="I325" s="125"/>
      <c r="J325" s="125"/>
      <c r="K325" s="125"/>
      <c r="L325" s="125"/>
      <c r="M325" s="125"/>
      <c r="N325" s="126" t="s">
        <v>267</v>
      </c>
      <c r="O325" s="126"/>
      <c r="P325" s="126"/>
      <c r="Q325" s="126"/>
      <c r="R325" s="126"/>
      <c r="S325" s="125" t="s">
        <v>268</v>
      </c>
      <c r="T325" s="125"/>
      <c r="U325" s="125"/>
      <c r="V325" s="125"/>
      <c r="W325" s="125"/>
      <c r="X325" s="125"/>
      <c r="Y325" s="125"/>
      <c r="Z325" s="125"/>
      <c r="AA325" s="125"/>
      <c r="AB325" s="125"/>
      <c r="AC325" s="125"/>
      <c r="AD325" s="125" t="s">
        <v>269</v>
      </c>
      <c r="AE325" s="125"/>
      <c r="AF325" s="125"/>
      <c r="AG325" s="125"/>
      <c r="AH325" s="125"/>
      <c r="AI325" s="125"/>
      <c r="AJ325" s="125"/>
      <c r="AK325" s="125"/>
      <c r="AL325" s="125"/>
      <c r="AM325" s="125"/>
    </row>
    <row r="326" customFormat="false" ht="37.5" hidden="false" customHeight="true" outlineLevel="0" collapsed="false">
      <c r="B326" s="127" t="n">
        <v>6</v>
      </c>
      <c r="C326" s="128" t="s">
        <v>286</v>
      </c>
      <c r="D326" s="128"/>
      <c r="E326" s="128"/>
      <c r="F326" s="128"/>
      <c r="G326" s="128"/>
      <c r="H326" s="128"/>
      <c r="I326" s="128"/>
      <c r="J326" s="128"/>
      <c r="K326" s="128"/>
      <c r="L326" s="128"/>
      <c r="M326" s="128"/>
      <c r="N326" s="129"/>
      <c r="O326" s="129"/>
      <c r="P326" s="129"/>
      <c r="Q326" s="130" t="s">
        <v>271</v>
      </c>
      <c r="R326" s="130"/>
      <c r="S326" s="131"/>
      <c r="T326" s="131"/>
      <c r="U326" s="131"/>
      <c r="V326" s="131"/>
      <c r="W326" s="131"/>
      <c r="X326" s="131"/>
      <c r="Y326" s="131"/>
      <c r="Z326" s="131"/>
      <c r="AA326" s="131"/>
      <c r="AB326" s="131"/>
      <c r="AC326" s="131"/>
      <c r="AD326" s="131"/>
      <c r="AE326" s="131"/>
      <c r="AF326" s="131"/>
      <c r="AG326" s="131"/>
      <c r="AH326" s="131"/>
      <c r="AI326" s="131"/>
      <c r="AJ326" s="131"/>
      <c r="AK326" s="131"/>
      <c r="AL326" s="131"/>
      <c r="AM326" s="131"/>
    </row>
    <row r="327" customFormat="false" ht="37.5" hidden="false" customHeight="true" outlineLevel="0" collapsed="false">
      <c r="B327" s="127" t="n">
        <v>7</v>
      </c>
      <c r="C327" s="128" t="s">
        <v>272</v>
      </c>
      <c r="D327" s="128"/>
      <c r="E327" s="128"/>
      <c r="F327" s="128"/>
      <c r="G327" s="128"/>
      <c r="H327" s="128"/>
      <c r="I327" s="128"/>
      <c r="J327" s="128"/>
      <c r="K327" s="128"/>
      <c r="L327" s="128"/>
      <c r="M327" s="128"/>
      <c r="N327" s="129"/>
      <c r="O327" s="129"/>
      <c r="P327" s="129"/>
      <c r="Q327" s="130" t="s">
        <v>271</v>
      </c>
      <c r="R327" s="130"/>
      <c r="S327" s="131"/>
      <c r="T327" s="131"/>
      <c r="U327" s="131"/>
      <c r="V327" s="131"/>
      <c r="W327" s="131"/>
      <c r="X327" s="131"/>
      <c r="Y327" s="131"/>
      <c r="Z327" s="131"/>
      <c r="AA327" s="131"/>
      <c r="AB327" s="131"/>
      <c r="AC327" s="131"/>
      <c r="AD327" s="131"/>
      <c r="AE327" s="131"/>
      <c r="AF327" s="131"/>
      <c r="AG327" s="131"/>
      <c r="AH327" s="131"/>
      <c r="AI327" s="131"/>
      <c r="AJ327" s="131"/>
      <c r="AK327" s="131"/>
      <c r="AL327" s="131"/>
      <c r="AM327" s="131"/>
    </row>
    <row r="328" customFormat="false" ht="37.5" hidden="false" customHeight="true" outlineLevel="0" collapsed="false">
      <c r="B328" s="127" t="n">
        <v>8</v>
      </c>
      <c r="C328" s="128" t="s">
        <v>273</v>
      </c>
      <c r="D328" s="128"/>
      <c r="E328" s="128"/>
      <c r="F328" s="128"/>
      <c r="G328" s="128"/>
      <c r="H328" s="128"/>
      <c r="I328" s="128"/>
      <c r="J328" s="128"/>
      <c r="K328" s="128"/>
      <c r="L328" s="128"/>
      <c r="M328" s="128"/>
      <c r="N328" s="129"/>
      <c r="O328" s="129"/>
      <c r="P328" s="129"/>
      <c r="Q328" s="130" t="s">
        <v>271</v>
      </c>
      <c r="R328" s="130"/>
      <c r="S328" s="131"/>
      <c r="T328" s="131"/>
      <c r="U328" s="131"/>
      <c r="V328" s="131"/>
      <c r="W328" s="131"/>
      <c r="X328" s="131"/>
      <c r="Y328" s="131"/>
      <c r="Z328" s="131"/>
      <c r="AA328" s="131"/>
      <c r="AB328" s="131"/>
      <c r="AC328" s="131"/>
      <c r="AD328" s="131"/>
      <c r="AE328" s="131"/>
      <c r="AF328" s="131"/>
      <c r="AG328" s="131"/>
      <c r="AH328" s="131"/>
      <c r="AI328" s="131"/>
      <c r="AJ328" s="131"/>
      <c r="AK328" s="131"/>
      <c r="AL328" s="131"/>
      <c r="AM328" s="131"/>
    </row>
    <row r="329" customFormat="false" ht="37.5" hidden="false" customHeight="true" outlineLevel="0" collapsed="false">
      <c r="B329" s="127" t="n">
        <v>9</v>
      </c>
      <c r="C329" s="128" t="s">
        <v>274</v>
      </c>
      <c r="D329" s="128"/>
      <c r="E329" s="128"/>
      <c r="F329" s="128"/>
      <c r="G329" s="128"/>
      <c r="H329" s="128"/>
      <c r="I329" s="128"/>
      <c r="J329" s="128"/>
      <c r="K329" s="128"/>
      <c r="L329" s="128"/>
      <c r="M329" s="128"/>
      <c r="N329" s="129"/>
      <c r="O329" s="129"/>
      <c r="P329" s="129"/>
      <c r="Q329" s="130" t="s">
        <v>271</v>
      </c>
      <c r="R329" s="130"/>
      <c r="S329" s="131"/>
      <c r="T329" s="131"/>
      <c r="U329" s="131"/>
      <c r="V329" s="131"/>
      <c r="W329" s="131"/>
      <c r="X329" s="131"/>
      <c r="Y329" s="131"/>
      <c r="Z329" s="131"/>
      <c r="AA329" s="131"/>
      <c r="AB329" s="131"/>
      <c r="AC329" s="131"/>
      <c r="AD329" s="131"/>
      <c r="AE329" s="131"/>
      <c r="AF329" s="131"/>
      <c r="AG329" s="131"/>
      <c r="AH329" s="131"/>
      <c r="AI329" s="131"/>
      <c r="AJ329" s="131"/>
      <c r="AK329" s="131"/>
      <c r="AL329" s="131"/>
      <c r="AM329" s="131"/>
    </row>
    <row r="330" customFormat="false" ht="37.5" hidden="false" customHeight="true" outlineLevel="0" collapsed="false">
      <c r="B330" s="127" t="n">
        <v>10</v>
      </c>
      <c r="C330" s="128" t="s">
        <v>275</v>
      </c>
      <c r="D330" s="128"/>
      <c r="E330" s="128"/>
      <c r="F330" s="128"/>
      <c r="G330" s="128"/>
      <c r="H330" s="128"/>
      <c r="I330" s="128"/>
      <c r="J330" s="128"/>
      <c r="K330" s="128"/>
      <c r="L330" s="128"/>
      <c r="M330" s="128"/>
      <c r="N330" s="129"/>
      <c r="O330" s="129"/>
      <c r="P330" s="129"/>
      <c r="Q330" s="130" t="s">
        <v>271</v>
      </c>
      <c r="R330" s="130"/>
      <c r="S330" s="131"/>
      <c r="T330" s="131"/>
      <c r="U330" s="131"/>
      <c r="V330" s="131"/>
      <c r="W330" s="131"/>
      <c r="X330" s="131"/>
      <c r="Y330" s="131"/>
      <c r="Z330" s="131"/>
      <c r="AA330" s="131"/>
      <c r="AB330" s="131"/>
      <c r="AC330" s="131"/>
      <c r="AD330" s="131"/>
      <c r="AE330" s="131"/>
      <c r="AF330" s="131"/>
      <c r="AG330" s="131"/>
      <c r="AH330" s="131"/>
      <c r="AI330" s="131"/>
      <c r="AJ330" s="131"/>
      <c r="AK330" s="131"/>
      <c r="AL330" s="131"/>
      <c r="AM330" s="131"/>
    </row>
    <row r="331" customFormat="false" ht="37.5" hidden="false" customHeight="true" outlineLevel="0" collapsed="false">
      <c r="B331" s="127" t="n">
        <v>11</v>
      </c>
      <c r="C331" s="128" t="s">
        <v>276</v>
      </c>
      <c r="D331" s="128"/>
      <c r="E331" s="128"/>
      <c r="F331" s="128"/>
      <c r="G331" s="128"/>
      <c r="H331" s="128"/>
      <c r="I331" s="128"/>
      <c r="J331" s="128"/>
      <c r="K331" s="128"/>
      <c r="L331" s="128"/>
      <c r="M331" s="128"/>
      <c r="N331" s="129"/>
      <c r="O331" s="129"/>
      <c r="P331" s="129"/>
      <c r="Q331" s="130" t="s">
        <v>271</v>
      </c>
      <c r="R331" s="130"/>
      <c r="S331" s="131"/>
      <c r="T331" s="131"/>
      <c r="U331" s="131"/>
      <c r="V331" s="131"/>
      <c r="W331" s="131"/>
      <c r="X331" s="131"/>
      <c r="Y331" s="131"/>
      <c r="Z331" s="131"/>
      <c r="AA331" s="131"/>
      <c r="AB331" s="131"/>
      <c r="AC331" s="131"/>
      <c r="AD331" s="131"/>
      <c r="AE331" s="131"/>
      <c r="AF331" s="131"/>
      <c r="AG331" s="131"/>
      <c r="AH331" s="131"/>
      <c r="AI331" s="131"/>
      <c r="AJ331" s="131"/>
      <c r="AK331" s="131"/>
      <c r="AL331" s="131"/>
      <c r="AM331" s="131"/>
    </row>
    <row r="332" customFormat="false" ht="27.75" hidden="false" customHeight="true" outlineLevel="0" collapsed="false">
      <c r="B332" s="109" t="n">
        <v>12</v>
      </c>
      <c r="C332" s="132" t="s">
        <v>277</v>
      </c>
      <c r="D332" s="132"/>
      <c r="E332" s="132"/>
      <c r="F332" s="132"/>
      <c r="G332" s="132"/>
      <c r="H332" s="132"/>
      <c r="I332" s="132"/>
      <c r="J332" s="132"/>
      <c r="K332" s="132"/>
      <c r="L332" s="132"/>
      <c r="M332" s="132"/>
      <c r="N332" s="133" t="str">
        <f aca="false">IF(COUNT(N326:N331)=0,"",SUM(N326:N331))</f>
        <v/>
      </c>
      <c r="O332" s="133"/>
      <c r="P332" s="133"/>
      <c r="Q332" s="134" t="s">
        <v>278</v>
      </c>
      <c r="R332" s="134"/>
      <c r="S332" s="135"/>
      <c r="T332" s="135"/>
      <c r="U332" s="135"/>
      <c r="V332" s="135"/>
      <c r="W332" s="135"/>
      <c r="X332" s="135"/>
      <c r="Y332" s="135"/>
      <c r="Z332" s="135"/>
      <c r="AA332" s="135"/>
      <c r="AB332" s="135"/>
      <c r="AC332" s="135"/>
      <c r="AD332" s="135"/>
      <c r="AE332" s="135"/>
      <c r="AF332" s="135"/>
      <c r="AG332" s="135"/>
      <c r="AH332" s="135"/>
      <c r="AI332" s="135"/>
      <c r="AJ332" s="135"/>
      <c r="AK332" s="135"/>
      <c r="AL332" s="135"/>
      <c r="AM332" s="135"/>
    </row>
    <row r="333" customFormat="false" ht="9.75" hidden="false" customHeight="true" outlineLevel="0" collapsed="false"/>
    <row r="334" customFormat="false" ht="21.75" hidden="false" customHeight="true" outlineLevel="0" collapsed="false">
      <c r="B334" s="6"/>
      <c r="C334" s="19" t="s">
        <v>279</v>
      </c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</row>
    <row r="335" customFormat="false" ht="24" hidden="false" customHeight="true" outlineLevel="0" collapsed="false">
      <c r="B335" s="60"/>
      <c r="C335" s="61" t="n">
        <v>13</v>
      </c>
      <c r="D335" s="75" t="s">
        <v>280</v>
      </c>
      <c r="E335" s="75"/>
      <c r="F335" s="75"/>
      <c r="G335" s="75"/>
      <c r="H335" s="75"/>
      <c r="I335" s="75"/>
      <c r="J335" s="75"/>
      <c r="K335" s="75"/>
      <c r="L335" s="75"/>
      <c r="M335" s="75"/>
      <c r="N335" s="75"/>
      <c r="O335" s="75"/>
      <c r="P335" s="75"/>
      <c r="Q335" s="75"/>
      <c r="R335" s="75"/>
      <c r="S335" s="75"/>
      <c r="T335" s="92"/>
      <c r="V335" s="60"/>
      <c r="W335" s="61" t="n">
        <v>14</v>
      </c>
      <c r="X335" s="75" t="s">
        <v>281</v>
      </c>
      <c r="Y335" s="75"/>
      <c r="Z335" s="75"/>
      <c r="AA335" s="75"/>
      <c r="AB335" s="75"/>
      <c r="AC335" s="75"/>
      <c r="AD335" s="75"/>
      <c r="AE335" s="75"/>
      <c r="AF335" s="75"/>
      <c r="AG335" s="75"/>
      <c r="AH335" s="75"/>
      <c r="AI335" s="75"/>
      <c r="AJ335" s="75"/>
      <c r="AK335" s="75"/>
      <c r="AL335" s="75"/>
      <c r="AM335" s="92"/>
    </row>
    <row r="336" customFormat="false" ht="18" hidden="false" customHeight="true" outlineLevel="0" collapsed="false">
      <c r="B336" s="63"/>
      <c r="C336" s="136"/>
      <c r="D336" s="136"/>
      <c r="E336" s="136"/>
      <c r="F336" s="136"/>
      <c r="G336" s="136"/>
      <c r="H336" s="136"/>
      <c r="I336" s="136"/>
      <c r="J336" s="136"/>
      <c r="K336" s="136"/>
      <c r="L336" s="136"/>
      <c r="M336" s="136"/>
      <c r="N336" s="136"/>
      <c r="O336" s="136"/>
      <c r="P336" s="136"/>
      <c r="Q336" s="136"/>
      <c r="R336" s="136"/>
      <c r="S336" s="136"/>
      <c r="T336" s="65"/>
      <c r="V336" s="63"/>
      <c r="W336" s="136"/>
      <c r="X336" s="136"/>
      <c r="Y336" s="136"/>
      <c r="Z336" s="136"/>
      <c r="AA336" s="136"/>
      <c r="AB336" s="136"/>
      <c r="AC336" s="136"/>
      <c r="AD336" s="136"/>
      <c r="AE336" s="136"/>
      <c r="AF336" s="136"/>
      <c r="AG336" s="136"/>
      <c r="AH336" s="136"/>
      <c r="AI336" s="136"/>
      <c r="AJ336" s="136"/>
      <c r="AK336" s="136"/>
      <c r="AL336" s="136"/>
      <c r="AM336" s="65"/>
    </row>
    <row r="337" customFormat="false" ht="18" hidden="false" customHeight="true" outlineLevel="0" collapsed="false">
      <c r="B337" s="63"/>
      <c r="C337" s="136"/>
      <c r="D337" s="136"/>
      <c r="E337" s="136"/>
      <c r="F337" s="136"/>
      <c r="G337" s="136"/>
      <c r="H337" s="136"/>
      <c r="I337" s="136"/>
      <c r="J337" s="136"/>
      <c r="K337" s="136"/>
      <c r="L337" s="136"/>
      <c r="M337" s="136"/>
      <c r="N337" s="136"/>
      <c r="O337" s="136"/>
      <c r="P337" s="136"/>
      <c r="Q337" s="136"/>
      <c r="R337" s="136"/>
      <c r="S337" s="136"/>
      <c r="T337" s="65"/>
      <c r="V337" s="63"/>
      <c r="W337" s="136"/>
      <c r="X337" s="136"/>
      <c r="Y337" s="136"/>
      <c r="Z337" s="136"/>
      <c r="AA337" s="136"/>
      <c r="AB337" s="136"/>
      <c r="AC337" s="136"/>
      <c r="AD337" s="136"/>
      <c r="AE337" s="136"/>
      <c r="AF337" s="136"/>
      <c r="AG337" s="136"/>
      <c r="AH337" s="136"/>
      <c r="AI337" s="136"/>
      <c r="AJ337" s="136"/>
      <c r="AK337" s="136"/>
      <c r="AL337" s="136"/>
      <c r="AM337" s="65"/>
    </row>
    <row r="338" customFormat="false" ht="18" hidden="false" customHeight="true" outlineLevel="0" collapsed="false">
      <c r="B338" s="63"/>
      <c r="C338" s="136"/>
      <c r="D338" s="136"/>
      <c r="E338" s="136"/>
      <c r="F338" s="136"/>
      <c r="G338" s="136"/>
      <c r="H338" s="136"/>
      <c r="I338" s="136"/>
      <c r="J338" s="136"/>
      <c r="K338" s="136"/>
      <c r="L338" s="136"/>
      <c r="M338" s="136"/>
      <c r="N338" s="136"/>
      <c r="O338" s="136"/>
      <c r="P338" s="136"/>
      <c r="Q338" s="136"/>
      <c r="R338" s="136"/>
      <c r="S338" s="136"/>
      <c r="T338" s="65"/>
      <c r="V338" s="63"/>
      <c r="W338" s="136"/>
      <c r="X338" s="136"/>
      <c r="Y338" s="136"/>
      <c r="Z338" s="136"/>
      <c r="AA338" s="136"/>
      <c r="AB338" s="136"/>
      <c r="AC338" s="136"/>
      <c r="AD338" s="136"/>
      <c r="AE338" s="136"/>
      <c r="AF338" s="136"/>
      <c r="AG338" s="136"/>
      <c r="AH338" s="136"/>
      <c r="AI338" s="136"/>
      <c r="AJ338" s="136"/>
      <c r="AK338" s="136"/>
      <c r="AL338" s="136"/>
      <c r="AM338" s="65"/>
    </row>
    <row r="339" customFormat="false" ht="6" hidden="false" customHeight="true" outlineLevel="0" collapsed="false">
      <c r="B339" s="67"/>
      <c r="C339" s="68"/>
      <c r="D339" s="68"/>
      <c r="E339" s="68"/>
      <c r="F339" s="68"/>
      <c r="G339" s="68"/>
      <c r="H339" s="68"/>
      <c r="I339" s="68"/>
      <c r="J339" s="68"/>
      <c r="K339" s="68"/>
      <c r="L339" s="68"/>
      <c r="M339" s="68"/>
      <c r="N339" s="68"/>
      <c r="O339" s="68"/>
      <c r="P339" s="68"/>
      <c r="Q339" s="68"/>
      <c r="R339" s="68"/>
      <c r="S339" s="68"/>
      <c r="T339" s="69"/>
      <c r="V339" s="67"/>
      <c r="W339" s="68"/>
      <c r="X339" s="68"/>
      <c r="Y339" s="68"/>
      <c r="Z339" s="68"/>
      <c r="AA339" s="68"/>
      <c r="AB339" s="68"/>
      <c r="AC339" s="68"/>
      <c r="AD339" s="68"/>
      <c r="AE339" s="68"/>
      <c r="AF339" s="68"/>
      <c r="AG339" s="68"/>
      <c r="AH339" s="68"/>
      <c r="AI339" s="68"/>
      <c r="AJ339" s="68"/>
      <c r="AK339" s="68"/>
      <c r="AL339" s="68"/>
      <c r="AM339" s="69"/>
    </row>
    <row r="340" customFormat="false" ht="54" hidden="false" customHeight="true" outlineLevel="0" collapsed="false"/>
    <row r="341" customFormat="false" ht="6" hidden="false" customHeight="true" outlineLevel="0" collapsed="false"/>
    <row r="342" customFormat="false" ht="19.5" hidden="false" customHeight="true" outlineLevel="0" collapsed="false">
      <c r="B342" s="73" t="s">
        <v>107</v>
      </c>
      <c r="C342" s="73"/>
      <c r="D342" s="73"/>
      <c r="E342" s="73"/>
      <c r="F342" s="73"/>
      <c r="G342" s="73"/>
      <c r="H342" s="73"/>
      <c r="I342" s="73"/>
      <c r="J342" s="73"/>
      <c r="K342" s="73"/>
      <c r="L342" s="74" t="s">
        <v>108</v>
      </c>
      <c r="M342" s="74"/>
      <c r="N342" s="74"/>
      <c r="O342" s="74"/>
      <c r="P342" s="74"/>
      <c r="Q342" s="74"/>
      <c r="R342" s="74"/>
      <c r="S342" s="74"/>
      <c r="U342" s="73" t="s">
        <v>282</v>
      </c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4" t="s">
        <v>108</v>
      </c>
      <c r="AG342" s="74"/>
      <c r="AH342" s="74"/>
      <c r="AI342" s="74"/>
      <c r="AJ342" s="74"/>
      <c r="AK342" s="74"/>
      <c r="AL342" s="74"/>
      <c r="AM342" s="74"/>
    </row>
    <row r="343" customFormat="false" ht="9.75" hidden="false" customHeight="true" outlineLevel="0" collapsed="false"/>
    <row r="344" customFormat="false" ht="18" hidden="false" customHeight="true" outlineLevel="0" collapsed="false">
      <c r="B344" s="75" t="s">
        <v>283</v>
      </c>
      <c r="C344" s="75"/>
      <c r="D344" s="75"/>
      <c r="E344" s="75"/>
      <c r="F344" s="75"/>
      <c r="G344" s="75"/>
      <c r="H344" s="75"/>
      <c r="I344" s="75"/>
      <c r="J344" s="75"/>
      <c r="K344" s="75"/>
      <c r="L344" s="75"/>
      <c r="M344" s="75"/>
      <c r="N344" s="75"/>
      <c r="O344" s="75"/>
      <c r="P344" s="75"/>
      <c r="Q344" s="75"/>
      <c r="R344" s="75"/>
      <c r="S344" s="75"/>
      <c r="T344" s="76" t="s">
        <v>111</v>
      </c>
      <c r="U344" s="76"/>
      <c r="V344" s="76"/>
      <c r="W344" s="76"/>
      <c r="X344" s="76"/>
      <c r="Y344" s="76"/>
      <c r="Z344" s="76"/>
      <c r="AA344" s="76"/>
      <c r="AB344" s="76"/>
      <c r="AC344" s="76"/>
      <c r="AD344" s="76"/>
      <c r="AE344" s="76"/>
      <c r="AF344" s="76"/>
      <c r="AG344" s="76"/>
      <c r="AH344" s="76"/>
      <c r="AI344" s="76"/>
      <c r="AJ344" s="76"/>
      <c r="AK344" s="76"/>
      <c r="AL344" s="76"/>
      <c r="AM344" s="76"/>
    </row>
  </sheetData>
  <sheetProtection sheet="true" formatColumns="false" formatRows="false"/>
  <mergeCells count="816">
    <mergeCell ref="C2:AA2"/>
    <mergeCell ref="AE2:AK2"/>
    <mergeCell ref="C3:AA3"/>
    <mergeCell ref="AB3:AK3"/>
    <mergeCell ref="C4:AA4"/>
    <mergeCell ref="B8:K8"/>
    <mergeCell ref="M8:V8"/>
    <mergeCell ref="X8:AE8"/>
    <mergeCell ref="AG8:AM8"/>
    <mergeCell ref="B9:K9"/>
    <mergeCell ref="M9:V9"/>
    <mergeCell ref="X9:AE9"/>
    <mergeCell ref="AG9:AM9"/>
    <mergeCell ref="C11:AM11"/>
    <mergeCell ref="D12:J12"/>
    <mergeCell ref="N12:T12"/>
    <mergeCell ref="X12:AD12"/>
    <mergeCell ref="AH12:AM12"/>
    <mergeCell ref="C13:I13"/>
    <mergeCell ref="M13:S13"/>
    <mergeCell ref="W13:AC13"/>
    <mergeCell ref="AG13:AL13"/>
    <mergeCell ref="D16:X16"/>
    <mergeCell ref="Y16:AD16"/>
    <mergeCell ref="C17:I17"/>
    <mergeCell ref="K17:Q17"/>
    <mergeCell ref="S17:X17"/>
    <mergeCell ref="Z17:AE17"/>
    <mergeCell ref="AG17:AM17"/>
    <mergeCell ref="C18:F18"/>
    <mergeCell ref="G18:P18"/>
    <mergeCell ref="C20:S20"/>
    <mergeCell ref="T20:AM20"/>
    <mergeCell ref="B21:E21"/>
    <mergeCell ref="F21:I21"/>
    <mergeCell ref="J21:M21"/>
    <mergeCell ref="N21:Q21"/>
    <mergeCell ref="R21:U21"/>
    <mergeCell ref="V21:Y21"/>
    <mergeCell ref="Z21:AC21"/>
    <mergeCell ref="AD21:AG21"/>
    <mergeCell ref="AH21:AJ21"/>
    <mergeCell ref="AK21:AM21"/>
    <mergeCell ref="B22:E22"/>
    <mergeCell ref="F22:I22"/>
    <mergeCell ref="J22:M22"/>
    <mergeCell ref="N22:Q22"/>
    <mergeCell ref="R22:U22"/>
    <mergeCell ref="V22:Y22"/>
    <mergeCell ref="Z22:AC22"/>
    <mergeCell ref="AD22:AG22"/>
    <mergeCell ref="AH22:AJ22"/>
    <mergeCell ref="AK22:AM22"/>
    <mergeCell ref="B24:M24"/>
    <mergeCell ref="N24:R24"/>
    <mergeCell ref="S24:AC24"/>
    <mergeCell ref="AD24:AM24"/>
    <mergeCell ref="C25:M25"/>
    <mergeCell ref="N25:P25"/>
    <mergeCell ref="Q25:R25"/>
    <mergeCell ref="S25:AC25"/>
    <mergeCell ref="AD25:AM25"/>
    <mergeCell ref="C26:M26"/>
    <mergeCell ref="N26:P26"/>
    <mergeCell ref="Q26:R26"/>
    <mergeCell ref="S26:AC26"/>
    <mergeCell ref="AD26:AM26"/>
    <mergeCell ref="C27:M27"/>
    <mergeCell ref="N27:P27"/>
    <mergeCell ref="Q27:R27"/>
    <mergeCell ref="S27:AC27"/>
    <mergeCell ref="AD27:AM27"/>
    <mergeCell ref="C28:M28"/>
    <mergeCell ref="N28:P28"/>
    <mergeCell ref="Q28:R28"/>
    <mergeCell ref="S28:AC28"/>
    <mergeCell ref="AD28:AM28"/>
    <mergeCell ref="C29:M29"/>
    <mergeCell ref="N29:P29"/>
    <mergeCell ref="Q29:R29"/>
    <mergeCell ref="S29:AC29"/>
    <mergeCell ref="AD29:AM29"/>
    <mergeCell ref="C30:M30"/>
    <mergeCell ref="N30:P30"/>
    <mergeCell ref="Q30:R30"/>
    <mergeCell ref="S30:AC30"/>
    <mergeCell ref="AD30:AM30"/>
    <mergeCell ref="C31:M31"/>
    <mergeCell ref="N31:P31"/>
    <mergeCell ref="Q31:R31"/>
    <mergeCell ref="S31:AM31"/>
    <mergeCell ref="C33:AM33"/>
    <mergeCell ref="D34:S34"/>
    <mergeCell ref="X34:AL34"/>
    <mergeCell ref="C35:S37"/>
    <mergeCell ref="W35:AL37"/>
    <mergeCell ref="B41:K41"/>
    <mergeCell ref="L41:S41"/>
    <mergeCell ref="U41:AE41"/>
    <mergeCell ref="AF41:AM41"/>
    <mergeCell ref="B43:S43"/>
    <mergeCell ref="T43:AM43"/>
    <mergeCell ref="C45:AA45"/>
    <mergeCell ref="AE45:AK45"/>
    <mergeCell ref="C46:AA46"/>
    <mergeCell ref="AB46:AK46"/>
    <mergeCell ref="C47:AA47"/>
    <mergeCell ref="B51:K51"/>
    <mergeCell ref="M51:V51"/>
    <mergeCell ref="X51:AE51"/>
    <mergeCell ref="AG51:AM51"/>
    <mergeCell ref="B52:K52"/>
    <mergeCell ref="M52:V52"/>
    <mergeCell ref="X52:AE52"/>
    <mergeCell ref="AG52:AM52"/>
    <mergeCell ref="C54:AM54"/>
    <mergeCell ref="D55:J55"/>
    <mergeCell ref="N55:T55"/>
    <mergeCell ref="X55:AD55"/>
    <mergeCell ref="AH55:AM55"/>
    <mergeCell ref="C56:I56"/>
    <mergeCell ref="M56:S56"/>
    <mergeCell ref="W56:AC56"/>
    <mergeCell ref="AG56:AL56"/>
    <mergeCell ref="D59:X59"/>
    <mergeCell ref="Y59:AD59"/>
    <mergeCell ref="C60:I60"/>
    <mergeCell ref="K60:Q60"/>
    <mergeCell ref="S60:X60"/>
    <mergeCell ref="Z60:AE60"/>
    <mergeCell ref="AG60:AM60"/>
    <mergeCell ref="C61:F61"/>
    <mergeCell ref="G61:P61"/>
    <mergeCell ref="C63:S63"/>
    <mergeCell ref="T63:AM63"/>
    <mergeCell ref="B64:E64"/>
    <mergeCell ref="F64:I64"/>
    <mergeCell ref="J64:M64"/>
    <mergeCell ref="N64:Q64"/>
    <mergeCell ref="R64:U64"/>
    <mergeCell ref="V64:Y64"/>
    <mergeCell ref="Z64:AC64"/>
    <mergeCell ref="AD64:AG64"/>
    <mergeCell ref="AH64:AJ64"/>
    <mergeCell ref="AK64:AM64"/>
    <mergeCell ref="B65:E65"/>
    <mergeCell ref="F65:I65"/>
    <mergeCell ref="J65:M65"/>
    <mergeCell ref="N65:Q65"/>
    <mergeCell ref="R65:U65"/>
    <mergeCell ref="V65:Y65"/>
    <mergeCell ref="Z65:AC65"/>
    <mergeCell ref="AD65:AG65"/>
    <mergeCell ref="AH65:AJ65"/>
    <mergeCell ref="AK65:AM65"/>
    <mergeCell ref="B67:M67"/>
    <mergeCell ref="N67:R67"/>
    <mergeCell ref="S67:AC67"/>
    <mergeCell ref="AD67:AM67"/>
    <mergeCell ref="C68:M68"/>
    <mergeCell ref="N68:P68"/>
    <mergeCell ref="Q68:R68"/>
    <mergeCell ref="S68:AC68"/>
    <mergeCell ref="AD68:AM68"/>
    <mergeCell ref="C69:M69"/>
    <mergeCell ref="N69:P69"/>
    <mergeCell ref="Q69:R69"/>
    <mergeCell ref="S69:AC69"/>
    <mergeCell ref="AD69:AM69"/>
    <mergeCell ref="C70:M70"/>
    <mergeCell ref="N70:P70"/>
    <mergeCell ref="Q70:R70"/>
    <mergeCell ref="S70:AC70"/>
    <mergeCell ref="AD70:AM70"/>
    <mergeCell ref="C71:M71"/>
    <mergeCell ref="N71:P71"/>
    <mergeCell ref="Q71:R71"/>
    <mergeCell ref="S71:AC71"/>
    <mergeCell ref="AD71:AM71"/>
    <mergeCell ref="C72:M72"/>
    <mergeCell ref="N72:P72"/>
    <mergeCell ref="Q72:R72"/>
    <mergeCell ref="S72:AC72"/>
    <mergeCell ref="AD72:AM72"/>
    <mergeCell ref="C73:M73"/>
    <mergeCell ref="N73:P73"/>
    <mergeCell ref="Q73:R73"/>
    <mergeCell ref="S73:AC73"/>
    <mergeCell ref="AD73:AM73"/>
    <mergeCell ref="C74:M74"/>
    <mergeCell ref="N74:P74"/>
    <mergeCell ref="Q74:R74"/>
    <mergeCell ref="S74:AM74"/>
    <mergeCell ref="C76:AM76"/>
    <mergeCell ref="D77:S77"/>
    <mergeCell ref="X77:AL77"/>
    <mergeCell ref="C78:S80"/>
    <mergeCell ref="W78:AL80"/>
    <mergeCell ref="B84:K84"/>
    <mergeCell ref="L84:S84"/>
    <mergeCell ref="U84:AE84"/>
    <mergeCell ref="AF84:AM84"/>
    <mergeCell ref="B86:S86"/>
    <mergeCell ref="T86:AM86"/>
    <mergeCell ref="C88:AA88"/>
    <mergeCell ref="AE88:AK88"/>
    <mergeCell ref="C89:AA89"/>
    <mergeCell ref="AB89:AK89"/>
    <mergeCell ref="C90:AA90"/>
    <mergeCell ref="B94:K94"/>
    <mergeCell ref="M94:V94"/>
    <mergeCell ref="X94:AE94"/>
    <mergeCell ref="AG94:AM94"/>
    <mergeCell ref="B95:K95"/>
    <mergeCell ref="M95:V95"/>
    <mergeCell ref="X95:AE95"/>
    <mergeCell ref="AG95:AM95"/>
    <mergeCell ref="C97:AM97"/>
    <mergeCell ref="D98:J98"/>
    <mergeCell ref="N98:T98"/>
    <mergeCell ref="X98:AD98"/>
    <mergeCell ref="AH98:AM98"/>
    <mergeCell ref="C99:I99"/>
    <mergeCell ref="M99:S99"/>
    <mergeCell ref="W99:AC99"/>
    <mergeCell ref="AG99:AL99"/>
    <mergeCell ref="D102:X102"/>
    <mergeCell ref="Y102:AD102"/>
    <mergeCell ref="C103:I103"/>
    <mergeCell ref="K103:Q103"/>
    <mergeCell ref="S103:X103"/>
    <mergeCell ref="Z103:AE103"/>
    <mergeCell ref="AG103:AM103"/>
    <mergeCell ref="C104:F104"/>
    <mergeCell ref="G104:P104"/>
    <mergeCell ref="C106:S106"/>
    <mergeCell ref="T106:AM106"/>
    <mergeCell ref="B107:E107"/>
    <mergeCell ref="F107:I107"/>
    <mergeCell ref="J107:M107"/>
    <mergeCell ref="N107:Q107"/>
    <mergeCell ref="R107:U107"/>
    <mergeCell ref="V107:Y107"/>
    <mergeCell ref="Z107:AC107"/>
    <mergeCell ref="AD107:AG107"/>
    <mergeCell ref="AH107:AJ107"/>
    <mergeCell ref="AK107:AM107"/>
    <mergeCell ref="B108:E108"/>
    <mergeCell ref="F108:I108"/>
    <mergeCell ref="J108:M108"/>
    <mergeCell ref="N108:Q108"/>
    <mergeCell ref="R108:U108"/>
    <mergeCell ref="V108:Y108"/>
    <mergeCell ref="Z108:AC108"/>
    <mergeCell ref="AD108:AG108"/>
    <mergeCell ref="AH108:AJ108"/>
    <mergeCell ref="AK108:AM108"/>
    <mergeCell ref="B110:M110"/>
    <mergeCell ref="N110:R110"/>
    <mergeCell ref="S110:AC110"/>
    <mergeCell ref="AD110:AM110"/>
    <mergeCell ref="C111:M111"/>
    <mergeCell ref="N111:P111"/>
    <mergeCell ref="Q111:R111"/>
    <mergeCell ref="S111:AC111"/>
    <mergeCell ref="AD111:AM111"/>
    <mergeCell ref="C112:M112"/>
    <mergeCell ref="N112:P112"/>
    <mergeCell ref="Q112:R112"/>
    <mergeCell ref="S112:AC112"/>
    <mergeCell ref="AD112:AM112"/>
    <mergeCell ref="C113:M113"/>
    <mergeCell ref="N113:P113"/>
    <mergeCell ref="Q113:R113"/>
    <mergeCell ref="S113:AC113"/>
    <mergeCell ref="AD113:AM113"/>
    <mergeCell ref="C114:M114"/>
    <mergeCell ref="N114:P114"/>
    <mergeCell ref="Q114:R114"/>
    <mergeCell ref="S114:AC114"/>
    <mergeCell ref="AD114:AM114"/>
    <mergeCell ref="C115:M115"/>
    <mergeCell ref="N115:P115"/>
    <mergeCell ref="Q115:R115"/>
    <mergeCell ref="S115:AC115"/>
    <mergeCell ref="AD115:AM115"/>
    <mergeCell ref="C116:M116"/>
    <mergeCell ref="N116:P116"/>
    <mergeCell ref="Q116:R116"/>
    <mergeCell ref="S116:AC116"/>
    <mergeCell ref="AD116:AM116"/>
    <mergeCell ref="C117:M117"/>
    <mergeCell ref="N117:P117"/>
    <mergeCell ref="Q117:R117"/>
    <mergeCell ref="S117:AM117"/>
    <mergeCell ref="C119:AM119"/>
    <mergeCell ref="D120:S120"/>
    <mergeCell ref="X120:AL120"/>
    <mergeCell ref="C121:S123"/>
    <mergeCell ref="W121:AL123"/>
    <mergeCell ref="B127:K127"/>
    <mergeCell ref="L127:S127"/>
    <mergeCell ref="U127:AE127"/>
    <mergeCell ref="AF127:AM127"/>
    <mergeCell ref="B129:S129"/>
    <mergeCell ref="T129:AM129"/>
    <mergeCell ref="C131:AA131"/>
    <mergeCell ref="AE131:AK131"/>
    <mergeCell ref="C132:AA132"/>
    <mergeCell ref="AB132:AK132"/>
    <mergeCell ref="C133:AA133"/>
    <mergeCell ref="B137:K137"/>
    <mergeCell ref="M137:V137"/>
    <mergeCell ref="X137:AE137"/>
    <mergeCell ref="AG137:AM137"/>
    <mergeCell ref="B138:K138"/>
    <mergeCell ref="M138:V138"/>
    <mergeCell ref="X138:AE138"/>
    <mergeCell ref="AG138:AM138"/>
    <mergeCell ref="C140:AM140"/>
    <mergeCell ref="D141:J141"/>
    <mergeCell ref="N141:T141"/>
    <mergeCell ref="X141:AD141"/>
    <mergeCell ref="AH141:AM141"/>
    <mergeCell ref="C142:I142"/>
    <mergeCell ref="M142:S142"/>
    <mergeCell ref="W142:AC142"/>
    <mergeCell ref="AG142:AL142"/>
    <mergeCell ref="D145:X145"/>
    <mergeCell ref="Y145:AD145"/>
    <mergeCell ref="C146:I146"/>
    <mergeCell ref="K146:Q146"/>
    <mergeCell ref="S146:X146"/>
    <mergeCell ref="Z146:AE146"/>
    <mergeCell ref="AG146:AM146"/>
    <mergeCell ref="C147:F147"/>
    <mergeCell ref="G147:P147"/>
    <mergeCell ref="C149:S149"/>
    <mergeCell ref="T149:AM149"/>
    <mergeCell ref="B150:E150"/>
    <mergeCell ref="F150:I150"/>
    <mergeCell ref="J150:M150"/>
    <mergeCell ref="N150:Q150"/>
    <mergeCell ref="R150:U150"/>
    <mergeCell ref="V150:Y150"/>
    <mergeCell ref="Z150:AC150"/>
    <mergeCell ref="AD150:AG150"/>
    <mergeCell ref="AH150:AJ150"/>
    <mergeCell ref="AK150:AM150"/>
    <mergeCell ref="B151:E151"/>
    <mergeCell ref="F151:I151"/>
    <mergeCell ref="J151:M151"/>
    <mergeCell ref="N151:Q151"/>
    <mergeCell ref="R151:U151"/>
    <mergeCell ref="V151:Y151"/>
    <mergeCell ref="Z151:AC151"/>
    <mergeCell ref="AD151:AG151"/>
    <mergeCell ref="AH151:AJ151"/>
    <mergeCell ref="AK151:AM151"/>
    <mergeCell ref="B153:M153"/>
    <mergeCell ref="N153:R153"/>
    <mergeCell ref="S153:AC153"/>
    <mergeCell ref="AD153:AM153"/>
    <mergeCell ref="C154:M154"/>
    <mergeCell ref="N154:P154"/>
    <mergeCell ref="Q154:R154"/>
    <mergeCell ref="S154:AC154"/>
    <mergeCell ref="AD154:AM154"/>
    <mergeCell ref="C155:M155"/>
    <mergeCell ref="N155:P155"/>
    <mergeCell ref="Q155:R155"/>
    <mergeCell ref="S155:AC155"/>
    <mergeCell ref="AD155:AM155"/>
    <mergeCell ref="C156:M156"/>
    <mergeCell ref="N156:P156"/>
    <mergeCell ref="Q156:R156"/>
    <mergeCell ref="S156:AC156"/>
    <mergeCell ref="AD156:AM156"/>
    <mergeCell ref="C157:M157"/>
    <mergeCell ref="N157:P157"/>
    <mergeCell ref="Q157:R157"/>
    <mergeCell ref="S157:AC157"/>
    <mergeCell ref="AD157:AM157"/>
    <mergeCell ref="C158:M158"/>
    <mergeCell ref="N158:P158"/>
    <mergeCell ref="Q158:R158"/>
    <mergeCell ref="S158:AC158"/>
    <mergeCell ref="AD158:AM158"/>
    <mergeCell ref="C159:M159"/>
    <mergeCell ref="N159:P159"/>
    <mergeCell ref="Q159:R159"/>
    <mergeCell ref="S159:AC159"/>
    <mergeCell ref="AD159:AM159"/>
    <mergeCell ref="C160:M160"/>
    <mergeCell ref="N160:P160"/>
    <mergeCell ref="Q160:R160"/>
    <mergeCell ref="S160:AM160"/>
    <mergeCell ref="C162:AM162"/>
    <mergeCell ref="D163:S163"/>
    <mergeCell ref="X163:AL163"/>
    <mergeCell ref="C164:S166"/>
    <mergeCell ref="W164:AL166"/>
    <mergeCell ref="B170:K170"/>
    <mergeCell ref="L170:S170"/>
    <mergeCell ref="U170:AE170"/>
    <mergeCell ref="AF170:AM170"/>
    <mergeCell ref="B172:S172"/>
    <mergeCell ref="T172:AM172"/>
    <mergeCell ref="C174:AA174"/>
    <mergeCell ref="AE174:AK174"/>
    <mergeCell ref="C175:AA175"/>
    <mergeCell ref="AB175:AK175"/>
    <mergeCell ref="C176:AA176"/>
    <mergeCell ref="B180:K180"/>
    <mergeCell ref="M180:V180"/>
    <mergeCell ref="X180:AE180"/>
    <mergeCell ref="AG180:AM180"/>
    <mergeCell ref="B181:K181"/>
    <mergeCell ref="M181:V181"/>
    <mergeCell ref="X181:AE181"/>
    <mergeCell ref="AG181:AM181"/>
    <mergeCell ref="C183:AM183"/>
    <mergeCell ref="D184:J184"/>
    <mergeCell ref="N184:T184"/>
    <mergeCell ref="X184:AD184"/>
    <mergeCell ref="AH184:AM184"/>
    <mergeCell ref="C185:I185"/>
    <mergeCell ref="M185:S185"/>
    <mergeCell ref="W185:AC185"/>
    <mergeCell ref="AG185:AL185"/>
    <mergeCell ref="D188:X188"/>
    <mergeCell ref="Y188:AD188"/>
    <mergeCell ref="C189:I189"/>
    <mergeCell ref="K189:Q189"/>
    <mergeCell ref="S189:X189"/>
    <mergeCell ref="Z189:AE189"/>
    <mergeCell ref="AG189:AM189"/>
    <mergeCell ref="C190:F190"/>
    <mergeCell ref="G190:P190"/>
    <mergeCell ref="C192:S192"/>
    <mergeCell ref="T192:AM192"/>
    <mergeCell ref="B193:E193"/>
    <mergeCell ref="F193:I193"/>
    <mergeCell ref="J193:M193"/>
    <mergeCell ref="N193:Q193"/>
    <mergeCell ref="R193:U193"/>
    <mergeCell ref="V193:Y193"/>
    <mergeCell ref="Z193:AC193"/>
    <mergeCell ref="AD193:AG193"/>
    <mergeCell ref="AH193:AJ193"/>
    <mergeCell ref="AK193:AM193"/>
    <mergeCell ref="B194:E194"/>
    <mergeCell ref="F194:I194"/>
    <mergeCell ref="J194:M194"/>
    <mergeCell ref="N194:Q194"/>
    <mergeCell ref="R194:U194"/>
    <mergeCell ref="V194:Y194"/>
    <mergeCell ref="Z194:AC194"/>
    <mergeCell ref="AD194:AG194"/>
    <mergeCell ref="AH194:AJ194"/>
    <mergeCell ref="AK194:AM194"/>
    <mergeCell ref="B196:M196"/>
    <mergeCell ref="N196:R196"/>
    <mergeCell ref="S196:AC196"/>
    <mergeCell ref="AD196:AM196"/>
    <mergeCell ref="C197:M197"/>
    <mergeCell ref="N197:P197"/>
    <mergeCell ref="Q197:R197"/>
    <mergeCell ref="S197:AC197"/>
    <mergeCell ref="AD197:AM197"/>
    <mergeCell ref="C198:M198"/>
    <mergeCell ref="N198:P198"/>
    <mergeCell ref="Q198:R198"/>
    <mergeCell ref="S198:AC198"/>
    <mergeCell ref="AD198:AM198"/>
    <mergeCell ref="C199:M199"/>
    <mergeCell ref="N199:P199"/>
    <mergeCell ref="Q199:R199"/>
    <mergeCell ref="S199:AC199"/>
    <mergeCell ref="AD199:AM199"/>
    <mergeCell ref="C200:M200"/>
    <mergeCell ref="N200:P200"/>
    <mergeCell ref="Q200:R200"/>
    <mergeCell ref="S200:AC200"/>
    <mergeCell ref="AD200:AM200"/>
    <mergeCell ref="C201:M201"/>
    <mergeCell ref="N201:P201"/>
    <mergeCell ref="Q201:R201"/>
    <mergeCell ref="S201:AC201"/>
    <mergeCell ref="AD201:AM201"/>
    <mergeCell ref="C202:M202"/>
    <mergeCell ref="N202:P202"/>
    <mergeCell ref="Q202:R202"/>
    <mergeCell ref="S202:AC202"/>
    <mergeCell ref="AD202:AM202"/>
    <mergeCell ref="C203:M203"/>
    <mergeCell ref="N203:P203"/>
    <mergeCell ref="Q203:R203"/>
    <mergeCell ref="S203:AM203"/>
    <mergeCell ref="C205:AM205"/>
    <mergeCell ref="D206:S206"/>
    <mergeCell ref="X206:AL206"/>
    <mergeCell ref="C207:S209"/>
    <mergeCell ref="W207:AL209"/>
    <mergeCell ref="B213:K213"/>
    <mergeCell ref="L213:S213"/>
    <mergeCell ref="U213:AE213"/>
    <mergeCell ref="AF213:AM213"/>
    <mergeCell ref="B215:S215"/>
    <mergeCell ref="T215:AM215"/>
    <mergeCell ref="C217:AA217"/>
    <mergeCell ref="AE217:AK217"/>
    <mergeCell ref="C218:AA218"/>
    <mergeCell ref="AB218:AK218"/>
    <mergeCell ref="C219:AA219"/>
    <mergeCell ref="B223:K223"/>
    <mergeCell ref="M223:V223"/>
    <mergeCell ref="X223:AE223"/>
    <mergeCell ref="AG223:AM223"/>
    <mergeCell ref="B224:K224"/>
    <mergeCell ref="M224:V224"/>
    <mergeCell ref="X224:AE224"/>
    <mergeCell ref="AG224:AM224"/>
    <mergeCell ref="C226:AM226"/>
    <mergeCell ref="D227:J227"/>
    <mergeCell ref="N227:T227"/>
    <mergeCell ref="X227:AD227"/>
    <mergeCell ref="AH227:AM227"/>
    <mergeCell ref="C228:I228"/>
    <mergeCell ref="M228:S228"/>
    <mergeCell ref="W228:AC228"/>
    <mergeCell ref="AG228:AL228"/>
    <mergeCell ref="D231:X231"/>
    <mergeCell ref="Y231:AD231"/>
    <mergeCell ref="C232:I232"/>
    <mergeCell ref="K232:Q232"/>
    <mergeCell ref="S232:X232"/>
    <mergeCell ref="Z232:AE232"/>
    <mergeCell ref="AG232:AM232"/>
    <mergeCell ref="C233:F233"/>
    <mergeCell ref="G233:P233"/>
    <mergeCell ref="C235:S235"/>
    <mergeCell ref="T235:AM235"/>
    <mergeCell ref="B236:E236"/>
    <mergeCell ref="F236:I236"/>
    <mergeCell ref="J236:M236"/>
    <mergeCell ref="N236:Q236"/>
    <mergeCell ref="R236:U236"/>
    <mergeCell ref="V236:Y236"/>
    <mergeCell ref="Z236:AC236"/>
    <mergeCell ref="AD236:AG236"/>
    <mergeCell ref="AH236:AJ236"/>
    <mergeCell ref="AK236:AM236"/>
    <mergeCell ref="B237:E237"/>
    <mergeCell ref="F237:I237"/>
    <mergeCell ref="J237:M237"/>
    <mergeCell ref="N237:Q237"/>
    <mergeCell ref="R237:U237"/>
    <mergeCell ref="V237:Y237"/>
    <mergeCell ref="Z237:AC237"/>
    <mergeCell ref="AD237:AG237"/>
    <mergeCell ref="AH237:AJ237"/>
    <mergeCell ref="AK237:AM237"/>
    <mergeCell ref="B239:M239"/>
    <mergeCell ref="N239:R239"/>
    <mergeCell ref="S239:AC239"/>
    <mergeCell ref="AD239:AM239"/>
    <mergeCell ref="C240:M240"/>
    <mergeCell ref="N240:P240"/>
    <mergeCell ref="Q240:R240"/>
    <mergeCell ref="S240:AC240"/>
    <mergeCell ref="AD240:AM240"/>
    <mergeCell ref="C241:M241"/>
    <mergeCell ref="N241:P241"/>
    <mergeCell ref="Q241:R241"/>
    <mergeCell ref="S241:AC241"/>
    <mergeCell ref="AD241:AM241"/>
    <mergeCell ref="C242:M242"/>
    <mergeCell ref="N242:P242"/>
    <mergeCell ref="Q242:R242"/>
    <mergeCell ref="S242:AC242"/>
    <mergeCell ref="AD242:AM242"/>
    <mergeCell ref="C243:M243"/>
    <mergeCell ref="N243:P243"/>
    <mergeCell ref="Q243:R243"/>
    <mergeCell ref="S243:AC243"/>
    <mergeCell ref="AD243:AM243"/>
    <mergeCell ref="C244:M244"/>
    <mergeCell ref="N244:P244"/>
    <mergeCell ref="Q244:R244"/>
    <mergeCell ref="S244:AC244"/>
    <mergeCell ref="AD244:AM244"/>
    <mergeCell ref="C245:M245"/>
    <mergeCell ref="N245:P245"/>
    <mergeCell ref="Q245:R245"/>
    <mergeCell ref="S245:AC245"/>
    <mergeCell ref="AD245:AM245"/>
    <mergeCell ref="C246:M246"/>
    <mergeCell ref="N246:P246"/>
    <mergeCell ref="Q246:R246"/>
    <mergeCell ref="S246:AM246"/>
    <mergeCell ref="C248:AM248"/>
    <mergeCell ref="D249:S249"/>
    <mergeCell ref="X249:AL249"/>
    <mergeCell ref="C250:S252"/>
    <mergeCell ref="W250:AL252"/>
    <mergeCell ref="B256:K256"/>
    <mergeCell ref="L256:S256"/>
    <mergeCell ref="U256:AE256"/>
    <mergeCell ref="AF256:AM256"/>
    <mergeCell ref="B258:S258"/>
    <mergeCell ref="T258:AM258"/>
    <mergeCell ref="C260:AA260"/>
    <mergeCell ref="AE260:AK260"/>
    <mergeCell ref="C261:AA261"/>
    <mergeCell ref="AB261:AK261"/>
    <mergeCell ref="C262:AA262"/>
    <mergeCell ref="B266:K266"/>
    <mergeCell ref="M266:V266"/>
    <mergeCell ref="X266:AE266"/>
    <mergeCell ref="AG266:AM266"/>
    <mergeCell ref="B267:K267"/>
    <mergeCell ref="M267:V267"/>
    <mergeCell ref="X267:AE267"/>
    <mergeCell ref="AG267:AM267"/>
    <mergeCell ref="C269:AM269"/>
    <mergeCell ref="D270:J270"/>
    <mergeCell ref="N270:T270"/>
    <mergeCell ref="X270:AD270"/>
    <mergeCell ref="AH270:AM270"/>
    <mergeCell ref="C271:I271"/>
    <mergeCell ref="M271:S271"/>
    <mergeCell ref="W271:AC271"/>
    <mergeCell ref="AG271:AL271"/>
    <mergeCell ref="D274:X274"/>
    <mergeCell ref="Y274:AD274"/>
    <mergeCell ref="C275:I275"/>
    <mergeCell ref="K275:Q275"/>
    <mergeCell ref="S275:X275"/>
    <mergeCell ref="Z275:AE275"/>
    <mergeCell ref="AG275:AM275"/>
    <mergeCell ref="C276:F276"/>
    <mergeCell ref="G276:P276"/>
    <mergeCell ref="C278:S278"/>
    <mergeCell ref="T278:AM278"/>
    <mergeCell ref="B279:E279"/>
    <mergeCell ref="F279:I279"/>
    <mergeCell ref="J279:M279"/>
    <mergeCell ref="N279:Q279"/>
    <mergeCell ref="R279:U279"/>
    <mergeCell ref="V279:Y279"/>
    <mergeCell ref="Z279:AC279"/>
    <mergeCell ref="AD279:AG279"/>
    <mergeCell ref="AH279:AJ279"/>
    <mergeCell ref="AK279:AM279"/>
    <mergeCell ref="B280:E280"/>
    <mergeCell ref="F280:I280"/>
    <mergeCell ref="J280:M280"/>
    <mergeCell ref="N280:Q280"/>
    <mergeCell ref="R280:U280"/>
    <mergeCell ref="V280:Y280"/>
    <mergeCell ref="Z280:AC280"/>
    <mergeCell ref="AD280:AG280"/>
    <mergeCell ref="AH280:AJ280"/>
    <mergeCell ref="AK280:AM280"/>
    <mergeCell ref="B282:M282"/>
    <mergeCell ref="N282:R282"/>
    <mergeCell ref="S282:AC282"/>
    <mergeCell ref="AD282:AM282"/>
    <mergeCell ref="C283:M283"/>
    <mergeCell ref="N283:P283"/>
    <mergeCell ref="Q283:R283"/>
    <mergeCell ref="S283:AC283"/>
    <mergeCell ref="AD283:AM283"/>
    <mergeCell ref="C284:M284"/>
    <mergeCell ref="N284:P284"/>
    <mergeCell ref="Q284:R284"/>
    <mergeCell ref="S284:AC284"/>
    <mergeCell ref="AD284:AM284"/>
    <mergeCell ref="C285:M285"/>
    <mergeCell ref="N285:P285"/>
    <mergeCell ref="Q285:R285"/>
    <mergeCell ref="S285:AC285"/>
    <mergeCell ref="AD285:AM285"/>
    <mergeCell ref="C286:M286"/>
    <mergeCell ref="N286:P286"/>
    <mergeCell ref="Q286:R286"/>
    <mergeCell ref="S286:AC286"/>
    <mergeCell ref="AD286:AM286"/>
    <mergeCell ref="C287:M287"/>
    <mergeCell ref="N287:P287"/>
    <mergeCell ref="Q287:R287"/>
    <mergeCell ref="S287:AC287"/>
    <mergeCell ref="AD287:AM287"/>
    <mergeCell ref="C288:M288"/>
    <mergeCell ref="N288:P288"/>
    <mergeCell ref="Q288:R288"/>
    <mergeCell ref="S288:AC288"/>
    <mergeCell ref="AD288:AM288"/>
    <mergeCell ref="C289:M289"/>
    <mergeCell ref="N289:P289"/>
    <mergeCell ref="Q289:R289"/>
    <mergeCell ref="S289:AM289"/>
    <mergeCell ref="C291:AM291"/>
    <mergeCell ref="D292:S292"/>
    <mergeCell ref="X292:AL292"/>
    <mergeCell ref="C293:S295"/>
    <mergeCell ref="W293:AL295"/>
    <mergeCell ref="B299:K299"/>
    <mergeCell ref="L299:S299"/>
    <mergeCell ref="U299:AE299"/>
    <mergeCell ref="AF299:AM299"/>
    <mergeCell ref="B301:S301"/>
    <mergeCell ref="T301:AM301"/>
    <mergeCell ref="C303:AA303"/>
    <mergeCell ref="AE303:AK303"/>
    <mergeCell ref="C304:AA304"/>
    <mergeCell ref="AB304:AK304"/>
    <mergeCell ref="C305:AA305"/>
    <mergeCell ref="B309:K309"/>
    <mergeCell ref="M309:V309"/>
    <mergeCell ref="X309:AE309"/>
    <mergeCell ref="AG309:AM309"/>
    <mergeCell ref="B310:K310"/>
    <mergeCell ref="M310:V310"/>
    <mergeCell ref="X310:AE310"/>
    <mergeCell ref="AG310:AM310"/>
    <mergeCell ref="C312:AM312"/>
    <mergeCell ref="D313:J313"/>
    <mergeCell ref="N313:T313"/>
    <mergeCell ref="X313:AD313"/>
    <mergeCell ref="AH313:AM313"/>
    <mergeCell ref="C314:I314"/>
    <mergeCell ref="M314:S314"/>
    <mergeCell ref="W314:AC314"/>
    <mergeCell ref="AG314:AL314"/>
    <mergeCell ref="D317:X317"/>
    <mergeCell ref="Y317:AD317"/>
    <mergeCell ref="C318:I318"/>
    <mergeCell ref="K318:Q318"/>
    <mergeCell ref="S318:X318"/>
    <mergeCell ref="Z318:AE318"/>
    <mergeCell ref="AG318:AM318"/>
    <mergeCell ref="C319:F319"/>
    <mergeCell ref="G319:P319"/>
    <mergeCell ref="C321:S321"/>
    <mergeCell ref="T321:AM321"/>
    <mergeCell ref="B322:E322"/>
    <mergeCell ref="F322:I322"/>
    <mergeCell ref="J322:M322"/>
    <mergeCell ref="N322:Q322"/>
    <mergeCell ref="R322:U322"/>
    <mergeCell ref="V322:Y322"/>
    <mergeCell ref="Z322:AC322"/>
    <mergeCell ref="AD322:AG322"/>
    <mergeCell ref="AH322:AJ322"/>
    <mergeCell ref="AK322:AM322"/>
    <mergeCell ref="B323:E323"/>
    <mergeCell ref="F323:I323"/>
    <mergeCell ref="J323:M323"/>
    <mergeCell ref="N323:Q323"/>
    <mergeCell ref="R323:U323"/>
    <mergeCell ref="V323:Y323"/>
    <mergeCell ref="Z323:AC323"/>
    <mergeCell ref="AD323:AG323"/>
    <mergeCell ref="AH323:AJ323"/>
    <mergeCell ref="AK323:AM323"/>
    <mergeCell ref="B325:M325"/>
    <mergeCell ref="N325:R325"/>
    <mergeCell ref="S325:AC325"/>
    <mergeCell ref="AD325:AM325"/>
    <mergeCell ref="C326:M326"/>
    <mergeCell ref="N326:P326"/>
    <mergeCell ref="Q326:R326"/>
    <mergeCell ref="S326:AC326"/>
    <mergeCell ref="AD326:AM326"/>
    <mergeCell ref="C327:M327"/>
    <mergeCell ref="N327:P327"/>
    <mergeCell ref="Q327:R327"/>
    <mergeCell ref="S327:AC327"/>
    <mergeCell ref="AD327:AM327"/>
    <mergeCell ref="C328:M328"/>
    <mergeCell ref="N328:P328"/>
    <mergeCell ref="Q328:R328"/>
    <mergeCell ref="S328:AC328"/>
    <mergeCell ref="AD328:AM328"/>
    <mergeCell ref="C329:M329"/>
    <mergeCell ref="N329:P329"/>
    <mergeCell ref="Q329:R329"/>
    <mergeCell ref="S329:AC329"/>
    <mergeCell ref="AD329:AM329"/>
    <mergeCell ref="C330:M330"/>
    <mergeCell ref="N330:P330"/>
    <mergeCell ref="Q330:R330"/>
    <mergeCell ref="S330:AC330"/>
    <mergeCell ref="AD330:AM330"/>
    <mergeCell ref="C331:M331"/>
    <mergeCell ref="N331:P331"/>
    <mergeCell ref="Q331:R331"/>
    <mergeCell ref="S331:AC331"/>
    <mergeCell ref="AD331:AM331"/>
    <mergeCell ref="C332:M332"/>
    <mergeCell ref="N332:P332"/>
    <mergeCell ref="Q332:R332"/>
    <mergeCell ref="S332:AM332"/>
    <mergeCell ref="C334:AM334"/>
    <mergeCell ref="D335:S335"/>
    <mergeCell ref="X335:AL335"/>
    <mergeCell ref="C336:S338"/>
    <mergeCell ref="W336:AL338"/>
    <mergeCell ref="B342:K342"/>
    <mergeCell ref="L342:S342"/>
    <mergeCell ref="U342:AE342"/>
    <mergeCell ref="AF342:AM342"/>
    <mergeCell ref="B344:S344"/>
    <mergeCell ref="T344:AM344"/>
  </mergeCells>
  <dataValidations count="17">
    <dataValidation allowBlank="true" errorStyle="stop" operator="between" showDropDown="false" showErrorMessage="false" showInputMessage="false" sqref="B17 J17 R17 Y17 AF17" type="list">
      <formula1>"☐,☑"</formula1>
      <formula2>0</formula2>
    </dataValidation>
    <dataValidation allowBlank="true" errorStyle="stop" operator="between" showDropDown="false" showErrorMessage="false" showInputMessage="false" sqref="B18" type="list">
      <formula1>"☐,☑"</formula1>
      <formula2>0</formula2>
    </dataValidation>
    <dataValidation allowBlank="true" error="Enter a whole number from 1 to 10" errorStyle="stop" errorTitle="Score" operator="between" showDropDown="false" showErrorMessage="true" showInputMessage="false" sqref="N25:N30 N68:N73 N111:N116 N154:N159 N197:N202 N240:N245 N283:N288 N326:N331" type="whole">
      <formula1>1</formula1>
      <formula2>10</formula2>
    </dataValidation>
    <dataValidation allowBlank="true" errorStyle="stop" operator="between" showDropDown="false" showErrorMessage="false" showInputMessage="false" sqref="B60 J60 R60 Y60 AF60" type="list">
      <formula1>"☐,☑"</formula1>
      <formula2>0</formula2>
    </dataValidation>
    <dataValidation allowBlank="true" errorStyle="stop" operator="between" showDropDown="false" showErrorMessage="false" showInputMessage="false" sqref="B61" type="list">
      <formula1>"☐,☑"</formula1>
      <formula2>0</formula2>
    </dataValidation>
    <dataValidation allowBlank="true" errorStyle="stop" operator="between" showDropDown="false" showErrorMessage="false" showInputMessage="false" sqref="B103 J103 R103 Y103 AF103" type="list">
      <formula1>"☐,☑"</formula1>
      <formula2>0</formula2>
    </dataValidation>
    <dataValidation allowBlank="true" errorStyle="stop" operator="between" showDropDown="false" showErrorMessage="false" showInputMessage="false" sqref="B104" type="list">
      <formula1>"☐,☑"</formula1>
      <formula2>0</formula2>
    </dataValidation>
    <dataValidation allowBlank="true" errorStyle="stop" operator="between" showDropDown="false" showErrorMessage="false" showInputMessage="false" sqref="B146 J146 R146 Y146 AF146" type="list">
      <formula1>"☐,☑"</formula1>
      <formula2>0</formula2>
    </dataValidation>
    <dataValidation allowBlank="true" errorStyle="stop" operator="between" showDropDown="false" showErrorMessage="false" showInputMessage="false" sqref="B147" type="list">
      <formula1>"☐,☑"</formula1>
      <formula2>0</formula2>
    </dataValidation>
    <dataValidation allowBlank="true" errorStyle="stop" operator="between" showDropDown="false" showErrorMessage="false" showInputMessage="false" sqref="B189 J189 R189 Y189 AF189" type="list">
      <formula1>"☐,☑"</formula1>
      <formula2>0</formula2>
    </dataValidation>
    <dataValidation allowBlank="true" errorStyle="stop" operator="between" showDropDown="false" showErrorMessage="false" showInputMessage="false" sqref="B190" type="list">
      <formula1>"☐,☑"</formula1>
      <formula2>0</formula2>
    </dataValidation>
    <dataValidation allowBlank="true" errorStyle="stop" operator="between" showDropDown="false" showErrorMessage="false" showInputMessage="false" sqref="B232 J232 R232 Y232 AF232" type="list">
      <formula1>"☐,☑"</formula1>
      <formula2>0</formula2>
    </dataValidation>
    <dataValidation allowBlank="true" errorStyle="stop" operator="between" showDropDown="false" showErrorMessage="false" showInputMessage="false" sqref="B233" type="list">
      <formula1>"☐,☑"</formula1>
      <formula2>0</formula2>
    </dataValidation>
    <dataValidation allowBlank="true" errorStyle="stop" operator="between" showDropDown="false" showErrorMessage="false" showInputMessage="false" sqref="B275 J275 R275 Y275 AF275" type="list">
      <formula1>"☐,☑"</formula1>
      <formula2>0</formula2>
    </dataValidation>
    <dataValidation allowBlank="true" errorStyle="stop" operator="between" showDropDown="false" showErrorMessage="false" showInputMessage="false" sqref="B276" type="list">
      <formula1>"☐,☑"</formula1>
      <formula2>0</formula2>
    </dataValidation>
    <dataValidation allowBlank="true" errorStyle="stop" operator="between" showDropDown="false" showErrorMessage="false" showInputMessage="false" sqref="B318 J318 R318 Y318 AF318" type="list">
      <formula1>"☐,☑"</formula1>
      <formula2>0</formula2>
    </dataValidation>
    <dataValidation allowBlank="true" errorStyle="stop" operator="between" showDropDown="false" showErrorMessage="false" showInputMessage="false" sqref="B319" type="list">
      <formula1>"☐,☑"</formula1>
      <formula2>0</formula2>
    </dataValidation>
  </dataValidations>
  <printOptions headings="false" gridLines="false" gridLinesSet="true" horizontalCentered="true" verticalCentered="false"/>
  <pageMargins left="0.3" right="0.3" top="0.3" bottom="0.3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8" manualBreakCount="8">
    <brk id="43" man="true" max="16383" min="0"/>
    <brk id="86" man="true" max="16383" min="0"/>
    <brk id="129" man="true" max="16383" min="0"/>
    <brk id="172" man="true" max="16383" min="0"/>
    <brk id="215" man="true" max="16383" min="0"/>
    <brk id="258" man="true" max="16383" min="0"/>
    <brk id="301" man="true" max="16383" min="0"/>
    <brk id="344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2026-10-02T14:16:37Z</dcterms:created>
  <dc:creator>openpyxl</dc:creator>
  <dc:description/>
  <dc:language>en-US</dc:language>
  <cp:lastModifiedBy/>
  <dcterms:modified xsi:type="dcterms:W3CDTF">2026-10-02T14:16:53Z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