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Daily Report" sheetId="1" state="visible" r:id="rId3"/>
    <sheet name="2 Case Log" sheetId="2" state="visible" r:id="rId4"/>
    <sheet name="3 Weekly Report" sheetId="3" state="visible" r:id="rId5"/>
    <sheet name="4 Monthly Review" sheetId="4" state="visible" r:id="rId6"/>
  </sheets>
  <definedNames>
    <definedName function="false" hidden="false" localSheetId="0" name="_xlnm.Print_Area" vbProcedure="false">'1 Daily Report'!$A$1:$AE$41</definedName>
    <definedName function="false" hidden="false" localSheetId="1" name="_xlnm.Print_Area" vbProcedure="false">'2 Case Log'!$A$1:$BD$840</definedName>
    <definedName function="false" hidden="false" localSheetId="2" name="_xlnm.Print_Area" vbProcedure="false">'3 Weekly Report'!$A$1:$AN$98</definedName>
    <definedName function="false" hidden="false" localSheetId="3" name="_xlnm.Print_Area" vbProcedure="false">'4 Monthly Review'!$A$1:$AN$182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9" authorId="0">
      <text>
        <r>
          <rPr>
            <sz val="10"/>
            <rFont val="Arial"/>
            <family val="2"/>
          </rPr>
          <t xml:space="preserve">Number of chats with issues not given for this day. Please enter the count.</t>
        </r>
      </text>
    </comment>
    <comment ref="M10" authorId="0">
      <text>
        <r>
          <rPr>
            <sz val="10"/>
            <rFont val="Arial"/>
            <family val="2"/>
          </rPr>
          <t xml:space="preserve">Told as "5-6". The lower figure is counted. Type the exact number when known.</t>
        </r>
      </text>
    </comment>
    <comment ref="N11" authorId="0">
      <text>
        <r>
          <rPr>
            <sz val="10"/>
            <rFont val="Arial"/>
            <family val="2"/>
          </rPr>
          <t xml:space="preserve">Number of lost deals not given. Enter the count.</t>
        </r>
      </text>
    </comment>
    <comment ref="R9" authorId="0">
      <text>
        <r>
          <rPr>
            <sz val="10"/>
            <rFont val="Arial"/>
            <family val="2"/>
          </rPr>
          <t xml:space="preserve">You said "yes". Entered 1 as the minimum. Change if more than one.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F9" authorId="0">
      <text>
        <r>
          <rPr>
            <sz val="10"/>
            <rFont val="Arial"/>
            <family val="2"/>
          </rPr>
          <t xml:space="preserve">Please enter the October team target. It does not have to equal the sum of agent targets.</t>
        </r>
      </text>
    </comment>
  </commentList>
</comments>
</file>

<file path=xl/sharedStrings.xml><?xml version="1.0" encoding="utf-8"?>
<sst xmlns="http://schemas.openxmlformats.org/spreadsheetml/2006/main" count="434" uniqueCount="283">
  <si>
    <t xml:space="preserve">TEAM LEADER REPORT · FORM 1 OF 4 · KEEP ONE ROW PER WORKING DAY</t>
  </si>
  <si>
    <t xml:space="preserve">Daily Report</t>
  </si>
  <si>
    <t xml:space="preserve">Type each day in its row (blue cells). The Case Log summary, Weekly Report and Monthly Review update from this sheet.</t>
  </si>
  <si>
    <t xml:space="preserve">Sales columns on the right: type each agent's real profit (AED) for the day. Yellow cells need your confirmation.</t>
  </si>
  <si>
    <t xml:space="preserve">DATE</t>
  </si>
  <si>
    <t xml:space="preserve">A · CHAT QUALITY REVIEW</t>
  </si>
  <si>
    <t xml:space="preserve">B · COACHING, TEAM &amp; WHITE PHONE</t>
  </si>
  <si>
    <t xml:space="preserve">C · TODAY'S CASES</t>
  </si>
  <si>
    <t xml:space="preserve">D · URGENT FOR MANAGER</t>
  </si>
  <si>
    <t xml:space="preserve">DAILY SALES · REAL PROFIT (AED)</t>
  </si>
  <si>
    <t xml:space="preserve">TEAM</t>
  </si>
  <si>
    <t xml:space="preserve">Date</t>
  </si>
  <si>
    <t xml:space="preserve">Day</t>
  </si>
  <si>
    <t xml:space="preserve">Week #</t>
  </si>
  <si>
    <t xml:space="preserve">Working day</t>
  </si>
  <si>
    <t xml:space="preserve">1  Chats reviewed</t>
  </si>
  <si>
    <t xml:space="preserve">2  Chats with issues (number)</t>
  </si>
  <si>
    <t xml:space="preserve">Chat issue details</t>
  </si>
  <si>
    <t xml:space="preserve">3  1:1 meetings held</t>
  </si>
  <si>
    <t xml:space="preserve">1:1 with (agents)</t>
  </si>
  <si>
    <t xml:space="preserve">4  Agents absent</t>
  </si>
  <si>
    <t xml:space="preserve">Absent (names)</t>
  </si>
  <si>
    <t xml:space="preserve">5  White phone holder</t>
  </si>
  <si>
    <t xml:space="preserve">6  Calls on white phone</t>
  </si>
  <si>
    <t xml:space="preserve">7  Lost deals</t>
  </si>
  <si>
    <t xml:space="preserve">8  Refunds</t>
  </si>
  <si>
    <t xml:space="preserve">9  Complaints / errors</t>
  </si>
  <si>
    <t xml:space="preserve">10  Discount requests</t>
  </si>
  <si>
    <t xml:space="preserve">11  System issues</t>
  </si>
  <si>
    <t xml:space="preserve">System issue details</t>
  </si>
  <si>
    <t xml:space="preserve">D · Urgent for manager</t>
  </si>
  <si>
    <t xml:space="preserve">Team total</t>
  </si>
  <si>
    <t xml:space="preserve">Cumulative</t>
  </si>
  <si>
    <t xml:space="preserve">Date excl. Sunday (helper)</t>
  </si>
  <si>
    <t xml:space="preserve">Technical issue: Instagram and TikTok leads are not counted as contact numbers; advertising leads - no potential leads.</t>
  </si>
  <si>
    <t xml:space="preserve">Khozema, Harinder</t>
  </si>
  <si>
    <t xml:space="preserve">Chaima</t>
  </si>
  <si>
    <t xml:space="preserve">Not with us today</t>
  </si>
  <si>
    <t xml:space="preserve">Many chats redirected, mostly from Mona (already responded to earlier, then redirected to agents). On most redirected leads the agent cannot send a message - red dot appearing.</t>
  </si>
  <si>
    <t xml:space="preserve">Khozema, Alshima</t>
  </si>
  <si>
    <t xml:space="preserve">Rihab</t>
  </si>
  <si>
    <t xml:space="preserve">Ibrahim and Layan</t>
  </si>
  <si>
    <t xml:space="preserve">No</t>
  </si>
  <si>
    <t xml:space="preserve">Most - junk leads</t>
  </si>
  <si>
    <t xml:space="preserve">CRM issue: old leads redirecting to agents.</t>
  </si>
  <si>
    <t xml:space="preserve">TOTAL</t>
  </si>
  <si>
    <t xml:space="preserve">TEAM LEADER REPORT · FORM 2 OF 4</t>
  </si>
  <si>
    <t xml:space="preserve">FORM 2</t>
  </si>
  <si>
    <t xml:space="preserve">Case Log</t>
  </si>
  <si>
    <t xml:space="preserve">As it happens · weekly summary</t>
  </si>
  <si>
    <t xml:space="preserve">One row per item, logged on the day it happens · all logs for the month are kept on this sheet</t>
  </si>
  <si>
    <t xml:space="preserve">TEAM LEADER NAME</t>
  </si>
  <si>
    <t xml:space="preserve">WEEK FROM</t>
  </si>
  <si>
    <t xml:space="preserve">WEEK TO</t>
  </si>
  <si>
    <t xml:space="preserve">  WEEKLY SUMMARY</t>
  </si>
  <si>
    <t xml:space="preserve">Count each log at the end of the week · submit with Form 3 · Weekly Report</t>
  </si>
  <si>
    <t xml:space="preserve">CHATS WITH ISSUES</t>
  </si>
  <si>
    <t xml:space="preserve">1:1 MEETINGS</t>
  </si>
  <si>
    <t xml:space="preserve">LOST DEALS</t>
  </si>
  <si>
    <t xml:space="preserve">REFUNDS</t>
  </si>
  <si>
    <t xml:space="preserve">Number</t>
  </si>
  <si>
    <t xml:space="preserve">Total AED</t>
  </si>
  <si>
    <t xml:space="preserve">COMPLAINTS / ERRORS</t>
  </si>
  <si>
    <t xml:space="preserve">DISCOUNT REQUESTS</t>
  </si>
  <si>
    <t xml:space="preserve">SYSTEM ISSUES</t>
  </si>
  <si>
    <t xml:space="preserve">WHITE PHONE CALLS</t>
  </si>
  <si>
    <t xml:space="preserve">Still open</t>
  </si>
  <si>
    <t xml:space="preserve">Approved</t>
  </si>
  <si>
    <r>
      <rPr>
        <b val="true"/>
        <sz val="7.5"/>
        <color rgb="FF203A5D"/>
        <rFont val="Arial"/>
        <family val="0"/>
        <charset val="1"/>
      </rPr>
      <t xml:space="preserve">How to use: </t>
    </r>
    <r>
      <rPr>
        <sz val="7.5"/>
        <color rgb="FF4A5560"/>
        <rFont val="Arial"/>
        <family val="0"/>
        <charset val="1"/>
      </rPr>
      <t xml:space="preserve">log each item on the day it happens · one row per item · write the code from the key under each table · the Weekly Summary above fills from the Daily Report and these logs · submit with </t>
    </r>
    <r>
      <rPr>
        <b val="true"/>
        <sz val="7.5"/>
        <color rgb="FF203A5D"/>
        <rFont val="Arial"/>
        <family val="0"/>
        <charset val="1"/>
      </rPr>
      <t xml:space="preserve">Form 3 · Weekly Report</t>
    </r>
    <r>
      <rPr>
        <sz val="7.5"/>
        <color rgb="FF4A5560"/>
        <rFont val="Arial"/>
        <family val="0"/>
        <charset val="1"/>
      </rPr>
      <t xml:space="preserve">.</t>
    </r>
  </si>
  <si>
    <t xml:space="preserve">  CHAT REVIEW ISSUES</t>
  </si>
  <si>
    <t xml:space="preserve">One row per chat with an issue · from the daily chat review</t>
  </si>
  <si>
    <t xml:space="preserve">#</t>
  </si>
  <si>
    <t xml:space="preserve">CHAT DATE</t>
  </si>
  <si>
    <t xml:space="preserve">AGENT</t>
  </si>
  <si>
    <t xml:space="preserve">CLIENT NAME / DEAL ID</t>
  </si>
  <si>
    <t xml:space="preserve">ISSUE CODE</t>
  </si>
  <si>
    <t xml:space="preserve">FEEDBACK GIVEN TO THE AGENT</t>
  </si>
  <si>
    <t xml:space="preserve">Technical issue: Instagram and TikTok leads not counted as contact numbers; advertising leads - no potential leads.</t>
  </si>
  <si>
    <t xml:space="preserve">KEY</t>
  </si>
  <si>
    <t xml:space="preserve">Issue codes: GT Greeting / tone · QL Qualification · PI Product info wrong · PQ Price / quotation error · OH Objection handling · NC No closing attempt · SR Slow response · NF No follow-up set · GC Grammar / clarity · PB Policy breach · OT Other</t>
  </si>
  <si>
    <t xml:space="preserve">  LOG 1 · ONE-TO-ONE (1:1) MEETINGS</t>
  </si>
  <si>
    <t xml:space="preserve">One row per meeting</t>
  </si>
  <si>
    <t xml:space="preserve">TOPIC</t>
  </si>
  <si>
    <t xml:space="preserve">KEY POINTS DISCUSSED</t>
  </si>
  <si>
    <t xml:space="preserve">ACTION AGREED</t>
  </si>
  <si>
    <t xml:space="preserve">Khozema</t>
  </si>
  <si>
    <t xml:space="preserve">Harinder</t>
  </si>
  <si>
    <t xml:space="preserve">Alshima</t>
  </si>
  <si>
    <t xml:space="preserve">Topic: SK Sales skill · TP Target / performance · BH Behaviour · WB Wellbeing · OT Other</t>
  </si>
  <si>
    <t xml:space="preserve">  LOG 2 · LOST DEALS (AFTER QUOTATION)</t>
  </si>
  <si>
    <t xml:space="preserve">One row per deal marked lost</t>
  </si>
  <si>
    <t xml:space="preserve">QUOTE VALUE (AED)</t>
  </si>
  <si>
    <t xml:space="preserve">REASON</t>
  </si>
  <si>
    <t xml:space="preserve">COMMENT</t>
  </si>
  <si>
    <t xml:space="preserve">Most of them junk leads. Redirected leads from Moana to Saha and Khozema.</t>
  </si>
  <si>
    <t xml:space="preserve">Reason: PR Price too high · CM Chose competitor · NR No reply / went silent · TM Timing / not ready · BG Budget · NF Not a fit · PY Payment issue · OT Other</t>
  </si>
  <si>
    <t xml:space="preserve">  LOG 3 · REFUNDS</t>
  </si>
  <si>
    <t xml:space="preserve">One row per refund</t>
  </si>
  <si>
    <t xml:space="preserve">AMOUNT (AED)</t>
  </si>
  <si>
    <t xml:space="preserve">Reason: CC Client changed mind · ND Service not delivered · WQ Wrong quotation / price · DP Duplicate payment · CO Complaint outcome · OT Other</t>
  </si>
  <si>
    <t xml:space="preserve">  LOG 4 · COMPLAINTS &amp; ERRORS</t>
  </si>
  <si>
    <t xml:space="preserve">One row per case</t>
  </si>
  <si>
    <t xml:space="preserve">WHAT HAPPENED</t>
  </si>
  <si>
    <t xml:space="preserve">CAUSE</t>
  </si>
  <si>
    <t xml:space="preserve">HOW IT WAS FIXED</t>
  </si>
  <si>
    <t xml:space="preserve">STATUS</t>
  </si>
  <si>
    <t xml:space="preserve">Cause: AM Agent mistake · PG Process gap · SB System / bot · PO Product / operations · CU Client misunderstanding · OT Other     Status: O Open · C Closed</t>
  </si>
  <si>
    <t xml:space="preserve">  LOG 5 · DISCOUNT REQUESTS</t>
  </si>
  <si>
    <t xml:space="preserve">One row per request · write 0 in Approved % if rejected</t>
  </si>
  <si>
    <t xml:space="preserve">REQUESTED %</t>
  </si>
  <si>
    <t xml:space="preserve">APPROVED %</t>
  </si>
  <si>
    <t xml:space="preserve">OUTCOME</t>
  </si>
  <si>
    <t xml:space="preserve">Reason: CP Competitor price · BV Bulk / volume · LC Loyal client · CL Closing push · OT Other     Outcome: W Won · L Lost · O Still open</t>
  </si>
  <si>
    <t xml:space="preserve">  LOG 6 · SYSTEM ISSUES</t>
  </si>
  <si>
    <t xml:space="preserve">One row per issue · attach screenshots separately</t>
  </si>
  <si>
    <t xml:space="preserve">SYSTEM</t>
  </si>
  <si>
    <t xml:space="preserve">IMPACT</t>
  </si>
  <si>
    <t xml:space="preserve">REPORTED TO</t>
  </si>
  <si>
    <t xml:space="preserve">Technical and network issues. Instagram and TikTok leads not captured as contact numbers.</t>
  </si>
  <si>
    <t xml:space="preserve">CRM</t>
  </si>
  <si>
    <t xml:space="preserve">System: BOT Chat App Bot · CRM CRM · DB Dashboard · LD Leads     Impact: B Blocking sales · S Slowing work · M Minor     Status: O Open · F Fixed</t>
  </si>
  <si>
    <t xml:space="preserve">  LOG 7 · WHITE PHONE</t>
  </si>
  <si>
    <t xml:space="preserve">One row per day · from the white phone holder</t>
  </si>
  <si>
    <t xml:space="preserve">HOLDER (AGENT)</t>
  </si>
  <si>
    <t xml:space="preserve">NO. OF CALLS</t>
  </si>
  <si>
    <t xml:space="preserve">WHAT CLIENTS ASKED FOR</t>
  </si>
  <si>
    <t xml:space="preserve">NOTES</t>
  </si>
  <si>
    <t xml:space="preserve">5-6</t>
  </si>
  <si>
    <t xml:space="preserve">Asked for: VI Visa · TP Tour package · FL Flight · HT Hotel · FU Follow-up on existing booking · RC Refund / complaint · OT Other     Write more than one code if needed</t>
  </si>
  <si>
    <t xml:space="preserve">  LOG 8 · PENDING CASES</t>
  </si>
  <si>
    <t xml:space="preserve">Saturday · the cases most likely to book next week · type the WEEK # (1-5) the case belongs to</t>
  </si>
  <si>
    <t xml:space="preserve">WHAT IS PENDING</t>
  </si>
  <si>
    <t xml:space="preserve">EXPECTED BOOKING DATE</t>
  </si>
  <si>
    <t xml:space="preserve">WEEK #</t>
  </si>
  <si>
    <t xml:space="preserve">  LOG 9 · AGENTS BEHIND TARGET</t>
  </si>
  <si>
    <t xml:space="preserve">Only agents behind target or with repeated complaints / errors</t>
  </si>
  <si>
    <t xml:space="preserve">ACTION TAKEN</t>
  </si>
  <si>
    <t xml:space="preserve">RESULT / IMPROVEMENT</t>
  </si>
  <si>
    <t xml:space="preserve">  LOG 10 · TRAINING</t>
  </si>
  <si>
    <t xml:space="preserve">One row per training session</t>
  </si>
  <si>
    <t xml:space="preserve">ROLE-PLAY CONDUCTED</t>
  </si>
  <si>
    <t xml:space="preserve">Role-play conducted: Y Yes · N No</t>
  </si>
  <si>
    <t xml:space="preserve">SELECT WEEK</t>
  </si>
  <si>
    <t xml:space="preserve">TEAM LEADER REPORT · FORM 3 OF 4</t>
  </si>
  <si>
    <t xml:space="preserve">FORM 3</t>
  </si>
  <si>
    <t xml:space="preserve">Weekly Report</t>
  </si>
  <si>
    <t xml:space="preserve">Every week</t>
  </si>
  <si>
    <t xml:space="preserve">Filled on the last working day of each week (Saturday)</t>
  </si>
  <si>
    <t xml:space="preserve">  A · TEAM TARGET</t>
  </si>
  <si>
    <t xml:space="preserve">WEEKLY TARGET</t>
  </si>
  <si>
    <t xml:space="preserve">ACHIEVED THIS WEEK</t>
  </si>
  <si>
    <t xml:space="preserve">ACHIEVEMENT</t>
  </si>
  <si>
    <t xml:space="preserve">  B · AGENT TARGETS</t>
  </si>
  <si>
    <t xml:space="preserve">WEEKLY TARGET (AED)</t>
  </si>
  <si>
    <t xml:space="preserve">ACHIEVED (AED)</t>
  </si>
  <si>
    <t xml:space="preserve">ACHIEVEMENT %</t>
  </si>
  <si>
    <t xml:space="preserve">  C · PENDING CASES</t>
  </si>
  <si>
    <t xml:space="preserve">Details in Form 2 · Log 8</t>
  </si>
  <si>
    <t xml:space="preserve">  D · GREY LEADS</t>
  </si>
  <si>
    <t xml:space="preserve">Leads from around 60–90 days ago</t>
  </si>
  <si>
    <t xml:space="preserve">OPEN NOW</t>
  </si>
  <si>
    <t xml:space="preserve">EXPECTED TO BOOK NEXT WEEK</t>
  </si>
  <si>
    <t xml:space="preserve">CONTACTED</t>
  </si>
  <si>
    <t xml:space="preserve">REPLIED</t>
  </si>
  <si>
    <t xml:space="preserve">CONVERTED TO SALE</t>
  </si>
  <si>
    <t xml:space="preserve">  E · TOP 3 ACTIONS FOR NEXT WEEK</t>
  </si>
  <si>
    <r>
      <rPr>
        <b val="true"/>
        <sz val="8"/>
        <color rgb="FF203A5D"/>
        <rFont val="Arial"/>
        <family val="0"/>
        <charset val="1"/>
      </rPr>
      <t xml:space="preserve">Submit with this form: </t>
    </r>
    <r>
      <rPr>
        <sz val="8"/>
        <color rgb="FF4A5560"/>
        <rFont val="Arial"/>
        <family val="0"/>
        <charset val="1"/>
      </rPr>
      <t xml:space="preserve">this week's Form 2 · Case Log (all logs and the Weekly Summary filled in).</t>
    </r>
  </si>
  <si>
    <t xml:space="preserve">TEAM LEADER SIGNATURE</t>
  </si>
  <si>
    <t xml:space="preserve">Date: ___________</t>
  </si>
  <si>
    <t xml:space="preserve">REVIEWED BY MANAGER</t>
  </si>
  <si>
    <r>
      <rPr>
        <b val="true"/>
        <sz val="7.5"/>
        <color rgb="FF203A5D"/>
        <rFont val="Arial"/>
        <family val="0"/>
        <charset val="1"/>
      </rPr>
      <t xml:space="preserve">Form 3 · Weekly Report</t>
    </r>
    <r>
      <rPr>
        <sz val="7.5"/>
        <color rgb="FF6B7886"/>
        <rFont val="Arial"/>
        <family val="0"/>
        <charset val="1"/>
      </rPr>
      <t xml:space="preserve"> · Team Leader Report Forms</t>
    </r>
  </si>
  <si>
    <t xml:space="preserve">Page 1 of 1</t>
  </si>
  <si>
    <t xml:space="preserve">WEEKLY INPUTS · type grey leads and the top 3 actions for each week here (blue). The report above shows the selected week.</t>
  </si>
  <si>
    <t xml:space="preserve">ITEM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</si>
  <si>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</si>
  <si>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</si>
  <si>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</si>
  <si>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</si>
  <si>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</si>
  <si>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6  Grey leads contacted</t>
  </si>
  <si>
    <t xml:space="preserve">7  Grey leads replied</t>
  </si>
  <si>
    <t xml:space="preserve">8  Converted to sale</t>
  </si>
  <si>
    <t xml:space="preserve">Top action 1</t>
  </si>
  <si>
    <t xml:space="preserve">Top action 2</t>
  </si>
  <si>
    <t xml:space="preserve">Top action 3</t>
  </si>
  <si>
    <t xml:space="preserve">TEAM LEADER REPORT · FORM 4 OF 4</t>
  </si>
  <si>
    <t xml:space="preserve">FORM 4</t>
  </si>
  <si>
    <t xml:space="preserve">Monthly Agent Review</t>
  </si>
  <si>
    <t xml:space="preserve">Monthly · one per agent</t>
  </si>
  <si>
    <t xml:space="preserve">Month dashboard first, then one review per agent (choose the agent below) · includes the Agent Skill Card</t>
  </si>
  <si>
    <t xml:space="preserve">MONTH START (1ST DAY)</t>
  </si>
  <si>
    <t xml:space="preserve">TEAM TARGET THIS MONTH (AED)</t>
  </si>
  <si>
    <t xml:space="preserve">Bindhya TB</t>
  </si>
  <si>
    <t xml:space="preserve">Tourism &amp; Business</t>
  </si>
  <si>
    <t xml:space="preserve">  MONTH DASHBOARD</t>
  </si>
  <si>
    <t xml:space="preserve">TEAM TARGET</t>
  </si>
  <si>
    <t xml:space="preserve">ACHIEVED</t>
  </si>
  <si>
    <t xml:space="preserve">REMAINING</t>
  </si>
  <si>
    <t xml:space="preserve">REQUIRED PER WORKING DAY</t>
  </si>
  <si>
    <t xml:space="preserve">FORECAST AT CURRENT PACE</t>
  </si>
  <si>
    <t xml:space="preserve">AED</t>
  </si>
  <si>
    <t xml:space="preserve">of target</t>
  </si>
  <si>
    <t xml:space="preserve">AED per day to hit target</t>
  </si>
  <si>
    <t xml:space="preserve">AED at month-end</t>
  </si>
  <si>
    <t xml:space="preserve">  WEEKS (Monday to Saturday) AND WORKING DAYS</t>
  </si>
  <si>
    <t xml:space="preserve">WEEK</t>
  </si>
  <si>
    <t xml:space="preserve">FROM</t>
  </si>
  <si>
    <t xml:space="preserve">TO</t>
  </si>
  <si>
    <t xml:space="preserve">WORKING DAYS</t>
  </si>
  <si>
    <t xml:space="preserve">TARGET (AED)</t>
  </si>
  <si>
    <t xml:space="preserve">Month</t>
  </si>
  <si>
    <t xml:space="preserve">HOLIDAYS / NON-WORKING DAYS (type dates; Sundays are excluded automatically)</t>
  </si>
  <si>
    <t xml:space="preserve">  AGENT PERFORMANCE</t>
  </si>
  <si>
    <t xml:space="preserve">Type each agent's monthly target (yellow) · names and previous month in blue</t>
  </si>
  <si>
    <t xml:space="preserve">MONTHLY TARGET (AED)</t>
  </si>
  <si>
    <t xml:space="preserve">GAP (AED)</t>
  </si>
  <si>
    <t xml:space="preserve">REQUIRED / WORKING DAY</t>
  </si>
  <si>
    <t xml:space="preserve">PREVIOUS MONTH (AED)</t>
  </si>
  <si>
    <t xml:space="preserve">Ibrahim</t>
  </si>
  <si>
    <t xml:space="preserve">Layan</t>
  </si>
  <si>
    <t xml:space="preserve">Saha</t>
  </si>
  <si>
    <t xml:space="preserve">Team</t>
  </si>
  <si>
    <t xml:space="preserve">GREEN = 100% or more · YELLOW = 70-99% · RED = under 70% (my suggested line). Team target above is a separate business goal and need not equal the sum of agent targets. Previous month = September 2026 as given on 1-Oct-2026.</t>
  </si>
  <si>
    <t xml:space="preserve">FORM 4 · SELECT AGENT</t>
  </si>
  <si>
    <t xml:space="preserve">Pick the agent from the list. The review below fills in from the tables further down.</t>
  </si>
  <si>
    <t xml:space="preserve">AGENT NAME</t>
  </si>
  <si>
    <t xml:space="preserve">TEAM LEADER</t>
  </si>
  <si>
    <t xml:space="preserve">MONTH</t>
  </si>
  <si>
    <t xml:space="preserve">REVIEW DATE</t>
  </si>
  <si>
    <t xml:space="preserve">  A · MONTHLY TARGET</t>
  </si>
  <si>
    <t xml:space="preserve">TARGET THIS MONTH</t>
  </si>
  <si>
    <t xml:space="preserve">TARGET HIT?</t>
  </si>
  <si>
    <t xml:space="preserve">TARGET NEXT MONTH</t>
  </si>
  <si>
    <t xml:space="preserve">If the target was not hit — main reason</t>
  </si>
  <si>
    <t xml:space="preserve">Tick one</t>
  </si>
  <si>
    <t xml:space="preserve">Low lead volume</t>
  </si>
  <si>
    <t xml:space="preserve">Low conversion</t>
  </si>
  <si>
    <t xml:space="preserve">Low activity</t>
  </si>
  <si>
    <t xml:space="preserve">Quality issues</t>
  </si>
  <si>
    <t xml:space="preserve">Absence / leave</t>
  </si>
  <si>
    <t xml:space="preserve">Other:</t>
  </si>
  <si>
    <t xml:space="preserve">  B · AGENT SKILL CARD</t>
  </si>
  <si>
    <t xml:space="preserve">Score each skill from 1 to 10 using the scale below</t>
  </si>
  <si>
    <t xml:space="preserve">Unacceptable</t>
  </si>
  <si>
    <t xml:space="preserve">Very Poor</t>
  </si>
  <si>
    <t xml:space="preserve">Poor</t>
  </si>
  <si>
    <t xml:space="preserve">Below Average</t>
  </si>
  <si>
    <t xml:space="preserve">Average</t>
  </si>
  <si>
    <t xml:space="preserve">Above Average</t>
  </si>
  <si>
    <t xml:space="preserve">Good</t>
  </si>
  <si>
    <t xml:space="preserve">Very Good</t>
  </si>
  <si>
    <t xml:space="preserve">Excellent</t>
  </si>
  <si>
    <t xml:space="preserve">Outstanding</t>
  </si>
  <si>
    <t xml:space="preserve">SKILL</t>
  </si>
  <si>
    <t xml:space="preserve">SCORE</t>
  </si>
  <si>
    <t xml:space="preserve">OBSERVATION / ASSESSMENT</t>
  </si>
  <si>
    <t xml:space="preserve">AREA FOR IMPROVEMENT / ACTION PLAN</t>
  </si>
  <si>
    <r>
      <rPr>
        <b val="true"/>
        <sz val="9.5"/>
        <color rgb="FF203A5D"/>
        <rFont val="Arial"/>
        <family val="0"/>
        <charset val="1"/>
      </rPr>
      <t xml:space="preserve">Qualification
</t>
    </r>
    <r>
      <rPr>
        <i val="true"/>
        <sz val="6.5"/>
        <color rgb="FF6B7886"/>
        <rFont val="Arial"/>
        <family val="0"/>
        <charset val="1"/>
      </rPr>
      <t xml:space="preserve">Identifies needs, budget, timeline and decision-maker</t>
    </r>
  </si>
  <si>
    <t xml:space="preserve">/ 10</t>
  </si>
  <si>
    <r>
      <rPr>
        <b val="true"/>
        <sz val="9.5"/>
        <color rgb="FF203A5D"/>
        <rFont val="Arial"/>
        <family val="0"/>
        <charset val="1"/>
      </rPr>
      <t xml:space="preserve">Objection Handling
</t>
    </r>
    <r>
      <rPr>
        <i val="true"/>
        <sz val="6.5"/>
        <color rgb="FF6B7886"/>
        <rFont val="Arial"/>
        <family val="0"/>
        <charset val="1"/>
      </rPr>
      <t xml:space="preserve">Listens, acknowledges and resolves concerns calmly</t>
    </r>
  </si>
  <si>
    <r>
      <rPr>
        <b val="true"/>
        <sz val="9.5"/>
        <color rgb="FF203A5D"/>
        <rFont val="Arial"/>
        <family val="0"/>
        <charset val="1"/>
      </rPr>
      <t xml:space="preserve">Closing &amp; Urgency
</t>
    </r>
    <r>
      <rPr>
        <i val="true"/>
        <sz val="6.5"/>
        <color rgb="FF6B7886"/>
        <rFont val="Arial"/>
        <family val="0"/>
        <charset val="1"/>
      </rPr>
      <t xml:space="preserve">Asks for commitment and creates genuine urgency</t>
    </r>
  </si>
  <si>
    <r>
      <rPr>
        <b val="true"/>
        <sz val="9.5"/>
        <color rgb="FF203A5D"/>
        <rFont val="Arial"/>
        <family val="0"/>
        <charset val="1"/>
      </rPr>
      <t xml:space="preserve">Follow-up Discipline
</t>
    </r>
    <r>
      <rPr>
        <i val="true"/>
        <sz val="6.5"/>
        <color rgb="FF6B7886"/>
        <rFont val="Arial"/>
        <family val="0"/>
        <charset val="1"/>
      </rPr>
      <t xml:space="preserve">Timely, consistent follow-ups that are tracked</t>
    </r>
  </si>
  <si>
    <r>
      <rPr>
        <b val="true"/>
        <sz val="9.5"/>
        <color rgb="FF203A5D"/>
        <rFont val="Arial"/>
        <family val="0"/>
        <charset val="1"/>
      </rPr>
      <t xml:space="preserve">Confidence &amp; Authority
</t>
    </r>
    <r>
      <rPr>
        <i val="true"/>
        <sz val="6.5"/>
        <color rgb="FF6B7886"/>
        <rFont val="Arial"/>
        <family val="0"/>
        <charset val="1"/>
      </rPr>
      <t xml:space="preserve">Leads the conversation as a trusted expert</t>
    </r>
  </si>
  <si>
    <r>
      <rPr>
        <b val="true"/>
        <sz val="9.5"/>
        <color rgb="FF203A5D"/>
        <rFont val="Arial"/>
        <family val="0"/>
        <charset val="1"/>
      </rPr>
      <t xml:space="preserve">Communication Clarity
</t>
    </r>
    <r>
      <rPr>
        <i val="true"/>
        <sz val="6.5"/>
        <color rgb="FF6B7886"/>
        <rFont val="Arial"/>
        <family val="0"/>
        <charset val="1"/>
      </rPr>
      <t xml:space="preserve">Clear, concise and professional in every interaction</t>
    </r>
  </si>
  <si>
    <t xml:space="preserve">Total Score</t>
  </si>
  <si>
    <t xml:space="preserve">/ 60</t>
  </si>
  <si>
    <t xml:space="preserve">  C · SUMMARY &amp; NEXT MONTH</t>
  </si>
  <si>
    <t xml:space="preserve">OVERALL SUMMARY</t>
  </si>
  <si>
    <t xml:space="preserve">FOCUS FOR NEXT MONTH</t>
  </si>
  <si>
    <t xml:space="preserve">AGENT ACKNOWLEDGEMENT</t>
  </si>
  <si>
    <t xml:space="preserve">FORM 4 INPUTS · type the review details here (blue). The selected agent's page above fills from these two tables.</t>
  </si>
  <si>
    <t xml:space="preserve">  INPUT TABLE 1 · ONE ROW PER AGENT (same order as the agent table)</t>
  </si>
  <si>
    <t xml:space="preserve">TARGET NEXT MONTH (AED)</t>
  </si>
  <si>
    <t xml:space="preserve">MAIN REASON IF TARGET NOT HIT</t>
  </si>
  <si>
    <t xml:space="preserve">OTHER REASON (text)</t>
  </si>
  <si>
    <t xml:space="preserve">  INPUT TABLE 2 · SKILL CARD (score 1 to 10, six skills per agent)</t>
  </si>
  <si>
    <t xml:space="preserve">SCORE (1-10)</t>
  </si>
  <si>
    <t xml:space="preserve">Qualification</t>
  </si>
  <si>
    <t xml:space="preserve">Objection Handling</t>
  </si>
  <si>
    <t xml:space="preserve">Closing &amp; Urgency</t>
  </si>
  <si>
    <t xml:space="preserve">Follow-up Discipline</t>
  </si>
  <si>
    <t xml:space="preserve">Confidence &amp; Authority</t>
  </si>
  <si>
    <t xml:space="preserve">Communication Clarity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</si>
</sst>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\-mmm\-yy"/>
    <numFmt numFmtId="166" formatCode="#,##0.00"/>
    <numFmt numFmtId="167" formatCode="0"/>
    <numFmt numFmtId="168" formatCode="dd\ mmm\ yyyy"/>
    <numFmt numFmtId="169" formatCode="#,##0.00&quot; AED&quot;"/>
    <numFmt numFmtId="170" formatCode="0.0%"/>
    <numFmt numFmtId="171" formatCode="General"/>
  </numFmts>
  <fonts count="5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C9A13B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sz val="9"/>
      <color rgb="FFD9C48A"/>
      <name val="Arial"/>
      <family val="0"/>
      <charset val="1"/>
    </font>
    <font>
      <b val="true"/>
      <sz val="8.5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7"/>
      <color rgb="FF6B7886"/>
      <name val="Arial"/>
      <family val="0"/>
      <charset val="1"/>
    </font>
    <font>
      <b val="true"/>
      <sz val="9"/>
      <color rgb="FF203A5D"/>
      <name val="Arial"/>
      <family val="0"/>
      <charset val="1"/>
    </font>
    <font>
      <sz val="9"/>
      <color rgb="FF6B7886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203A5D"/>
      <name val="Arial"/>
      <family val="0"/>
      <charset val="1"/>
    </font>
    <font>
      <sz val="8"/>
      <color rgb="FF6B7886"/>
      <name val="Arial"/>
      <family val="0"/>
      <charset val="1"/>
    </font>
    <font>
      <sz val="10"/>
      <name val="Arial"/>
      <family val="2"/>
    </font>
    <font>
      <b val="true"/>
      <sz val="7"/>
      <color rgb="FFC9A13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9"/>
      <color rgb="FFFFFFFF"/>
      <name val="Arial"/>
      <family val="0"/>
      <charset val="1"/>
    </font>
    <font>
      <sz val="7.5"/>
      <color rgb="FFFFFFFF"/>
      <name val="Arial"/>
      <family val="0"/>
      <charset val="1"/>
    </font>
    <font>
      <sz val="8.5"/>
      <color rgb="FFFFFFFF"/>
      <name val="Arial"/>
      <family val="0"/>
      <charset val="1"/>
    </font>
    <font>
      <b val="true"/>
      <sz val="7"/>
      <color rgb="FF6B7886"/>
      <name val="Arial"/>
      <family val="0"/>
      <charset val="1"/>
    </font>
    <font>
      <b val="true"/>
      <sz val="10.5"/>
      <color rgb="FF203A5D"/>
      <name val="Arial"/>
      <family val="0"/>
      <charset val="1"/>
    </font>
    <font>
      <i val="true"/>
      <sz val="8"/>
      <color rgb="FF6B7886"/>
      <name val="Arial"/>
      <family val="0"/>
      <charset val="1"/>
    </font>
    <font>
      <sz val="7.5"/>
      <color rgb="FF6B7886"/>
      <name val="Arial"/>
      <family val="0"/>
      <charset val="1"/>
    </font>
    <font>
      <b val="true"/>
      <sz val="8.5"/>
      <color rgb="FF203A5D"/>
      <name val="Arial"/>
      <family val="0"/>
      <charset val="1"/>
    </font>
    <font>
      <b val="true"/>
      <sz val="7.5"/>
      <color rgb="FF203A5D"/>
      <name val="Arial"/>
      <family val="0"/>
      <charset val="1"/>
    </font>
    <font>
      <sz val="7.5"/>
      <color rgb="FF4A5560"/>
      <name val="Arial"/>
      <family val="0"/>
      <charset val="1"/>
    </font>
    <font>
      <b val="true"/>
      <sz val="7.5"/>
      <color rgb="FFFFFFFF"/>
      <name val="Arial"/>
      <family val="0"/>
      <charset val="1"/>
    </font>
    <font>
      <sz val="7.5"/>
      <color rgb="FFA5AEB8"/>
      <name val="Arial"/>
      <family val="0"/>
      <charset val="1"/>
    </font>
    <font>
      <b val="true"/>
      <sz val="6.5"/>
      <color rgb="FFFFFFFF"/>
      <name val="Arial"/>
      <family val="0"/>
      <charset val="1"/>
    </font>
    <font>
      <sz val="7"/>
      <color rgb="FF4A5560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8.5"/>
      <color rgb="FF6B7886"/>
      <name val="Arial"/>
      <family val="0"/>
      <charset val="1"/>
    </font>
    <font>
      <sz val="10.5"/>
      <color rgb="FF203A5D"/>
      <name val="Arial"/>
      <family val="0"/>
      <charset val="1"/>
    </font>
    <font>
      <sz val="8"/>
      <color rgb="FFA5AEB8"/>
      <name val="Arial"/>
      <family val="0"/>
      <charset val="1"/>
    </font>
    <font>
      <sz val="10"/>
      <color rgb="FF203A5D"/>
      <name val="Arial"/>
      <family val="0"/>
      <charset val="1"/>
    </font>
    <font>
      <b val="true"/>
      <sz val="8"/>
      <color rgb="FF203A5D"/>
      <name val="Arial"/>
      <family val="0"/>
      <charset val="1"/>
    </font>
    <font>
      <sz val="8"/>
      <color rgb="FF4A5560"/>
      <name val="Arial"/>
      <family val="0"/>
      <charset val="1"/>
    </font>
    <font>
      <b val="true"/>
      <sz val="10.5"/>
      <color rgb="FF0000FF"/>
      <name val="Arial"/>
      <family val="0"/>
      <charset val="1"/>
    </font>
    <font>
      <b val="true"/>
      <sz val="14"/>
      <color rgb="FF203A5D"/>
      <name val="Arial"/>
      <family val="0"/>
      <charset val="1"/>
    </font>
    <font>
      <b val="true"/>
      <sz val="7.5"/>
      <color rgb="FF6B7886"/>
      <name val="Arial"/>
      <family val="0"/>
      <charset val="1"/>
    </font>
    <font>
      <b val="true"/>
      <sz val="7"/>
      <color rgb="FFFFFFFF"/>
      <name val="Arial"/>
      <family val="0"/>
      <charset val="1"/>
    </font>
    <font>
      <b val="true"/>
      <sz val="9.5"/>
      <color rgb="FF0000FF"/>
      <name val="Arial"/>
      <family val="0"/>
      <charset val="1"/>
    </font>
    <font>
      <sz val="9.5"/>
      <color rgb="FF0000FF"/>
      <name val="Arial"/>
      <family val="0"/>
      <charset val="1"/>
    </font>
    <font>
      <sz val="9.5"/>
      <color rgb="FF203A5D"/>
      <name val="Arial"/>
      <family val="0"/>
      <charset val="1"/>
    </font>
    <font>
      <b val="true"/>
      <sz val="9.5"/>
      <color rgb="FF203A5D"/>
      <name val="Arial"/>
      <family val="0"/>
      <charset val="1"/>
    </font>
    <font>
      <i val="true"/>
      <sz val="7"/>
      <color rgb="FF6B7886"/>
      <name val="Arial"/>
      <family val="0"/>
      <charset val="1"/>
    </font>
    <font>
      <sz val="11"/>
      <color rgb="FF203A5D"/>
      <name val="Arial"/>
      <family val="0"/>
      <charset val="1"/>
    </font>
    <font>
      <sz val="8.5"/>
      <color rgb="FF2B3A4A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b val="true"/>
      <sz val="11"/>
      <color rgb="FFD35400"/>
      <name val="Arial"/>
      <family val="0"/>
      <charset val="1"/>
    </font>
    <font>
      <b val="true"/>
      <sz val="11"/>
      <color rgb="FFB7791F"/>
      <name val="Arial"/>
      <family val="0"/>
      <charset val="1"/>
    </font>
    <font>
      <b val="true"/>
      <sz val="11"/>
      <color rgb="FF2E7D32"/>
      <name val="Arial"/>
      <family val="0"/>
      <charset val="1"/>
    </font>
    <font>
      <sz val="5.5"/>
      <color rgb="FF6B7886"/>
      <name val="Arial"/>
      <family val="0"/>
      <charset val="1"/>
    </font>
    <font>
      <i val="true"/>
      <sz val="6.5"/>
      <color rgb="FF6B7886"/>
      <name val="Arial"/>
      <family val="0"/>
      <charset val="1"/>
    </font>
    <font>
      <b val="true"/>
      <sz val="11"/>
      <color rgb="FF203A5D"/>
      <name val="Arial"/>
      <family val="0"/>
      <charset val="1"/>
    </font>
    <font>
      <b val="true"/>
      <sz val="10"/>
      <color rgb="FF203A5D"/>
      <name val="Arial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203A5D"/>
        <bgColor rgb="FF2B3A4A"/>
      </patternFill>
    </fill>
    <fill>
      <patternFill patternType="solid">
        <fgColor rgb="FFC9A13B"/>
        <bgColor rgb="FFB7791F"/>
      </patternFill>
    </fill>
    <fill>
      <patternFill patternType="solid">
        <fgColor rgb="FF2E4A73"/>
        <bgColor rgb="FF203A5D"/>
      </patternFill>
    </fill>
    <fill>
      <patternFill patternType="solid">
        <fgColor rgb="FF8A6D1F"/>
        <bgColor rgb="FF8A6500"/>
      </patternFill>
    </fill>
    <fill>
      <patternFill patternType="solid">
        <fgColor rgb="FFFFF2A8"/>
        <bgColor rgb="FFFFEB9C"/>
      </patternFill>
    </fill>
    <fill>
      <patternFill patternType="solid">
        <fgColor rgb="FFE8EEF4"/>
        <bgColor rgb="FFF3F5F8"/>
      </patternFill>
    </fill>
    <fill>
      <patternFill patternType="solid">
        <fgColor rgb="FFF3F5F8"/>
        <bgColor rgb="FFF7F8FA"/>
      </patternFill>
    </fill>
    <fill>
      <patternFill patternType="solid">
        <fgColor rgb="FFFBF6EA"/>
        <bgColor rgb="FFF7F8FA"/>
      </patternFill>
    </fill>
    <fill>
      <patternFill patternType="solid">
        <fgColor rgb="FFF7F8FA"/>
        <bgColor rgb="FFF3F5F8"/>
      </patternFill>
    </fill>
    <fill>
      <patternFill patternType="solid">
        <fgColor rgb="FFFFFFFF"/>
        <bgColor rgb="FFF7F8FA"/>
      </patternFill>
    </fill>
    <fill>
      <patternFill patternType="solid">
        <fgColor rgb="FFFFF9D6"/>
        <bgColor rgb="FFFBF6EA"/>
      </patternFill>
    </fill>
    <fill>
      <patternFill patternType="solid">
        <fgColor rgb="FFF9D5D8"/>
        <bgColor rgb="FFFADAD6"/>
      </patternFill>
    </fill>
    <fill>
      <patternFill patternType="solid">
        <fgColor rgb="FFFADAD6"/>
        <bgColor rgb="FFF9D5D8"/>
      </patternFill>
    </fill>
    <fill>
      <patternFill patternType="solid">
        <fgColor rgb="FFFBE0D2"/>
        <bgColor rgb="FFFCE3CF"/>
      </patternFill>
    </fill>
    <fill>
      <patternFill patternType="solid">
        <fgColor rgb="FFFCE3CF"/>
        <bgColor rgb="FFFBE0D2"/>
      </patternFill>
    </fill>
    <fill>
      <patternFill patternType="solid">
        <fgColor rgb="FFFDF0C5"/>
        <bgColor rgb="FFFFF9D6"/>
      </patternFill>
    </fill>
    <fill>
      <patternFill patternType="solid">
        <fgColor rgb="FFD9EFD9"/>
        <bgColor rgb="FFCFEBD3"/>
      </patternFill>
    </fill>
    <fill>
      <patternFill patternType="solid">
        <fgColor rgb="FFCFEBD3"/>
        <bgColor rgb="FFC6EFCE"/>
      </patternFill>
    </fill>
    <fill>
      <patternFill patternType="solid">
        <fgColor rgb="FFC4E7CA"/>
        <bgColor rgb="FFBBE3C3"/>
      </patternFill>
    </fill>
    <fill>
      <patternFill patternType="solid">
        <fgColor rgb="FFBBE3C3"/>
        <bgColor rgb="FFC4E7CA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thin">
        <color rgb="FFD5DDE6"/>
      </left>
      <right style="thin">
        <color rgb="FFD5DDE6"/>
      </right>
      <top style="thin">
        <color rgb="FFD5DDE6"/>
      </top>
      <bottom style="thin">
        <color rgb="FFD5DDE6"/>
      </bottom>
      <diagonal/>
    </border>
    <border diagonalUp="false" diagonalDown="false">
      <left/>
      <right/>
      <top/>
      <bottom style="thin">
        <color rgb="FF203A5D"/>
      </bottom>
      <diagonal/>
    </border>
    <border diagonalUp="false" diagonalDown="false">
      <left style="thin">
        <color rgb="FFD5DDE6"/>
      </left>
      <right/>
      <top style="thin">
        <color rgb="FFD5DDE6"/>
      </top>
      <bottom/>
      <diagonal/>
    </border>
    <border diagonalUp="false" diagonalDown="false">
      <left/>
      <right/>
      <top style="thin">
        <color rgb="FFD5DDE6"/>
      </top>
      <bottom/>
      <diagonal/>
    </border>
    <border diagonalUp="false" diagonalDown="false">
      <left/>
      <right style="thin">
        <color rgb="FFD5DDE6"/>
      </right>
      <top style="thin">
        <color rgb="FFD5DDE6"/>
      </top>
      <bottom/>
      <diagonal/>
    </border>
    <border diagonalUp="false" diagonalDown="false">
      <left style="thin">
        <color rgb="FFD5DDE6"/>
      </left>
      <right/>
      <top/>
      <bottom/>
      <diagonal/>
    </border>
    <border diagonalUp="false" diagonalDown="false">
      <left/>
      <right style="thin">
        <color rgb="FFD5DDE6"/>
      </right>
      <top/>
      <bottom/>
      <diagonal/>
    </border>
    <border diagonalUp="false" diagonalDown="false">
      <left style="thin">
        <color rgb="FFD5DDE6"/>
      </left>
      <right/>
      <top/>
      <bottom style="thin">
        <color rgb="FFD5DDE6"/>
      </bottom>
      <diagonal/>
    </border>
    <border diagonalUp="false" diagonalDown="false">
      <left/>
      <right/>
      <top/>
      <bottom style="thin">
        <color rgb="FFD5DDE6"/>
      </bottom>
      <diagonal/>
    </border>
    <border diagonalUp="false" diagonalDown="false">
      <left/>
      <right style="thin">
        <color rgb="FFD5DDE6"/>
      </right>
      <top/>
      <bottom style="thin">
        <color rgb="FFD5DDE6"/>
      </bottom>
      <diagonal/>
    </border>
    <border diagonalUp="false" diagonalDown="false">
      <left style="thin">
        <color rgb="FF203A5D"/>
      </left>
      <right style="thin">
        <color rgb="FF203A5D"/>
      </right>
      <top style="thin">
        <color rgb="FF203A5D"/>
      </top>
      <bottom style="thin">
        <color rgb="FF203A5D"/>
      </bottom>
      <diagonal/>
    </border>
    <border diagonalUp="false" diagonalDown="false">
      <left/>
      <right/>
      <top style="medium">
        <color rgb="FF203A5D"/>
      </top>
      <bottom/>
      <diagonal/>
    </border>
    <border diagonalUp="false" diagonalDown="false">
      <left style="thin">
        <color rgb="FFD5DDE6"/>
      </left>
      <right style="thin">
        <color rgb="FFD5DDE6"/>
      </right>
      <top style="thin">
        <color rgb="FFD5DDE6"/>
      </top>
      <bottom/>
      <diagonal/>
    </border>
    <border diagonalUp="false" diagonalDown="false">
      <left style="thin">
        <color rgb="FFD5DDE6"/>
      </left>
      <right style="thin">
        <color rgb="FFD5DDE6"/>
      </right>
      <top/>
      <bottom/>
      <diagonal/>
    </border>
    <border diagonalUp="false" diagonalDown="false">
      <left style="thin">
        <color rgb="FFD5DDE6"/>
      </left>
      <right style="thin">
        <color rgb="FFD5DDE6"/>
      </right>
      <top/>
      <bottom style="thin">
        <color rgb="FFD5DDE6"/>
      </bottom>
      <diagonal/>
    </border>
    <border diagonalUp="false" diagonalDown="false">
      <left/>
      <right/>
      <top/>
      <bottom style="thin">
        <color rgb="FF6B7886"/>
      </bottom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 diagonalUp="false" diagonalDown="false"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 diagonalUp="false" diagonalDown="false">
      <left/>
      <right/>
      <top style="thin">
        <color rgb="FFD5DDE6"/>
      </top>
      <bottom style="thin">
        <color rgb="FFD5DDE6"/>
      </bottom>
      <diagonal/>
    </border>
    <border diagonalUp="false" diagonalDown="false">
      <left style="thin">
        <color rgb="FF6B7886"/>
      </left>
      <right style="thin">
        <color rgb="FF6B7886"/>
      </right>
      <top style="thin">
        <color rgb="FFD5DDE6"/>
      </top>
      <bottom style="thin">
        <color rgb="FFD5DDE6"/>
      </bottom>
      <diagonal/>
    </border>
    <border diagonalUp="false" diagonalDown="false">
      <left style="thin">
        <color rgb="FF6B7886"/>
      </left>
      <right style="thin">
        <color rgb="FF6B7886"/>
      </right>
      <top style="thin">
        <color rgb="FF6B7886"/>
      </top>
      <bottom style="thin">
        <color rgb="FF6B788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true">
      <alignment horizontal="left" vertical="center" textRotation="0" wrapText="true" indent="1" shrinkToFit="false"/>
      <protection locked="false" hidden="false"/>
    </xf>
    <xf numFmtId="164" fontId="13" fillId="0" borderId="1" xfId="0" applyFont="true" applyBorder="true" applyAlignment="true" applyProtection="true">
      <alignment horizontal="left" vertical="center" textRotation="0" wrapText="true" indent="1" shrinkToFit="false"/>
      <protection locked="false" hidden="false"/>
    </xf>
    <xf numFmtId="164" fontId="3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true">
      <alignment horizontal="left" vertical="center" textRotation="0" wrapText="true" indent="1" shrinkToFit="false"/>
      <protection locked="fals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11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3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14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0" fontId="14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1" fontId="3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8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0" borderId="1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25" fillId="0" borderId="1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27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4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1" fillId="1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1" fillId="1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4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4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1" fillId="1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1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15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1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3" fillId="17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18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19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2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21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1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10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8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7" fillId="8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1E6B3A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8A65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EB9C"/>
      <rgbColor rgb="FFFF00FF"/>
      <rgbColor rgb="FFF3F5F8"/>
      <rgbColor rgb="FF9C0006"/>
      <rgbColor rgb="FF1E6B3A"/>
      <rgbColor rgb="FF000080"/>
      <rgbColor rgb="FF8A6D1F"/>
      <rgbColor rgb="FF800080"/>
      <rgbColor rgb="FF008080"/>
      <rgbColor rgb="FFA5AEB8"/>
      <rgbColor rgb="FF6B7886"/>
      <rgbColor rgb="FFC4E7CA"/>
      <rgbColor rgb="FF8A6500"/>
      <rgbColor rgb="FFFFF9D6"/>
      <rgbColor rgb="FFD9EFD9"/>
      <rgbColor rgb="FF660066"/>
      <rgbColor rgb="FFFADAD6"/>
      <rgbColor rgb="FF0066CC"/>
      <rgbColor rgb="FFD5DDE6"/>
      <rgbColor rgb="FF000080"/>
      <rgbColor rgb="FFFF00FF"/>
      <rgbColor rgb="FFFDF0C5"/>
      <rgbColor rgb="FFF7F8FA"/>
      <rgbColor rgb="FF800080"/>
      <rgbColor rgb="FF800000"/>
      <rgbColor rgb="FF008080"/>
      <rgbColor rgb="FF0000FF"/>
      <rgbColor rgb="FFFBF6EA"/>
      <rgbColor rgb="FFE8EEF4"/>
      <rgbColor rgb="FFC6EFCE"/>
      <rgbColor rgb="FFFFF2A8"/>
      <rgbColor rgb="FFBBE3C3"/>
      <rgbColor rgb="FFD9C48A"/>
      <rgbColor rgb="FFF9D5D8"/>
      <rgbColor rgb="FFFFC7CE"/>
      <rgbColor rgb="FF3366FF"/>
      <rgbColor rgb="FFFBE0D2"/>
      <rgbColor rgb="FFCFEBD3"/>
      <rgbColor rgb="FFFCE3CF"/>
      <rgbColor rgb="FFC9A13B"/>
      <rgbColor rgb="FFD35400"/>
      <rgbColor rgb="FF4A5560"/>
      <rgbColor rgb="FFB7791F"/>
      <rgbColor rgb="FF203A5D"/>
      <rgbColor rgb="FF2E7D32"/>
      <rgbColor rgb="FF003300"/>
      <rgbColor rgb="FF333300"/>
      <rgbColor rgb="FFC0392B"/>
      <rgbColor rgb="FF993366"/>
      <rgbColor rgb="FF2E4A73"/>
      <rgbColor rgb="FF2B3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8" topLeftCell="E9" activePane="bottomRight" state="frozen"/>
      <selection pane="topLeft" activeCell="A1" activeCellId="0" sqref="A1"/>
      <selection pane="topRight" activeCell="E1" activeCellId="0" sqref="E1"/>
      <selection pane="bottomLeft" activeCell="A9" activeCellId="0" sqref="A9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"/>
    <col collapsed="false" customWidth="true" hidden="false" outlineLevel="0" max="3" min="3" style="0" width="7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46"/>
    <col collapsed="false" customWidth="true" hidden="false" outlineLevel="0" max="8" min="8" style="0" width="9"/>
    <col collapsed="false" customWidth="true" hidden="false" outlineLevel="0" max="9" min="9" style="0" width="22"/>
    <col collapsed="false" customWidth="true" hidden="false" outlineLevel="0" max="10" min="10" style="0" width="9"/>
    <col collapsed="false" customWidth="true" hidden="false" outlineLevel="0" max="11" min="11" style="0" width="14"/>
    <col collapsed="false" customWidth="true" hidden="false" outlineLevel="0" max="12" min="12" style="0" width="20"/>
    <col collapsed="false" customWidth="true" hidden="false" outlineLevel="0" max="13" min="13" style="0" width="10"/>
    <col collapsed="false" customWidth="true" hidden="false" outlineLevel="0" max="15" min="14" style="0" width="8"/>
    <col collapsed="false" customWidth="true" hidden="false" outlineLevel="0" max="16" min="16" style="0" width="11"/>
    <col collapsed="false" customWidth="true" hidden="false" outlineLevel="0" max="17" min="17" style="0" width="10"/>
    <col collapsed="false" customWidth="true" hidden="false" outlineLevel="0" max="18" min="18" style="0" width="9"/>
    <col collapsed="false" customWidth="true" hidden="false" outlineLevel="0" max="19" min="19" style="0" width="36"/>
    <col collapsed="false" customWidth="true" hidden="false" outlineLevel="0" max="20" min="20" style="0" width="30"/>
    <col collapsed="false" customWidth="true" hidden="false" outlineLevel="0" max="30" min="21" style="0" width="11.5"/>
    <col collapsed="false" customWidth="true" hidden="false" outlineLevel="0" max="31" min="31" style="0" width="11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customFormat="false" ht="31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customFormat="false" ht="15.7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customFormat="false" ht="15.75" hidden="false" customHeight="true" outlineLevel="0" collapsed="false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customFormat="false" ht="3.75" hidden="false" customHeight="tru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 customFormat="false" ht="7.5" hidden="false" customHeight="true" outlineLevel="0" collapsed="false"/>
    <row r="7" customFormat="false" ht="19.5" hidden="false" customHeight="true" outlineLevel="0" collapsed="false">
      <c r="A7" s="7" t="s">
        <v>4</v>
      </c>
      <c r="B7" s="7"/>
      <c r="C7" s="7"/>
      <c r="D7" s="7"/>
      <c r="E7" s="7" t="s">
        <v>5</v>
      </c>
      <c r="F7" s="7"/>
      <c r="G7" s="7"/>
      <c r="H7" s="8" t="s">
        <v>6</v>
      </c>
      <c r="I7" s="8"/>
      <c r="J7" s="8"/>
      <c r="K7" s="8"/>
      <c r="L7" s="8"/>
      <c r="M7" s="8"/>
      <c r="N7" s="7" t="s">
        <v>7</v>
      </c>
      <c r="O7" s="7"/>
      <c r="P7" s="7"/>
      <c r="Q7" s="7"/>
      <c r="R7" s="7"/>
      <c r="S7" s="7"/>
      <c r="T7" s="9" t="s">
        <v>8</v>
      </c>
      <c r="U7" s="10" t="s">
        <v>9</v>
      </c>
      <c r="V7" s="10"/>
      <c r="W7" s="10"/>
      <c r="X7" s="10"/>
      <c r="Y7" s="10"/>
      <c r="Z7" s="10"/>
      <c r="AA7" s="10"/>
      <c r="AB7" s="10"/>
      <c r="AC7" s="10" t="s">
        <v>10</v>
      </c>
      <c r="AD7" s="10"/>
    </row>
    <row r="8" customFormat="false" ht="43.5" hidden="false" customHeight="true" outlineLevel="0" collapsed="false">
      <c r="A8" s="11" t="s">
        <v>11</v>
      </c>
      <c r="B8" s="11" t="s">
        <v>12</v>
      </c>
      <c r="C8" s="11" t="s">
        <v>13</v>
      </c>
      <c r="D8" s="11" t="s">
        <v>14</v>
      </c>
      <c r="E8" s="11" t="s">
        <v>15</v>
      </c>
      <c r="F8" s="11" t="s">
        <v>16</v>
      </c>
      <c r="G8" s="11" t="s">
        <v>17</v>
      </c>
      <c r="H8" s="11" t="s">
        <v>18</v>
      </c>
      <c r="I8" s="11" t="s">
        <v>19</v>
      </c>
      <c r="J8" s="11" t="s">
        <v>20</v>
      </c>
      <c r="K8" s="11" t="s">
        <v>21</v>
      </c>
      <c r="L8" s="11" t="s">
        <v>22</v>
      </c>
      <c r="M8" s="11" t="s">
        <v>23</v>
      </c>
      <c r="N8" s="11" t="s">
        <v>24</v>
      </c>
      <c r="O8" s="11" t="s">
        <v>25</v>
      </c>
      <c r="P8" s="11" t="s">
        <v>26</v>
      </c>
      <c r="Q8" s="11" t="s">
        <v>27</v>
      </c>
      <c r="R8" s="11" t="s">
        <v>28</v>
      </c>
      <c r="S8" s="11" t="s">
        <v>29</v>
      </c>
      <c r="T8" s="11" t="s">
        <v>30</v>
      </c>
      <c r="U8" s="12" t="str">
        <f aca="false">'4 Monthly Review'!B30</f>
        <v>Alshima</v>
      </c>
      <c r="V8" s="12" t="str">
        <f aca="false">'4 Monthly Review'!B31</f>
        <v>Chaima</v>
      </c>
      <c r="W8" s="12" t="str">
        <f aca="false">'4 Monthly Review'!B32</f>
        <v>Harinder</v>
      </c>
      <c r="X8" s="12" t="str">
        <f aca="false">'4 Monthly Review'!B33</f>
        <v>Ibrahim</v>
      </c>
      <c r="Y8" s="12" t="str">
        <f aca="false">'4 Monthly Review'!B34</f>
        <v>Khozema</v>
      </c>
      <c r="Z8" s="12" t="str">
        <f aca="false">'4 Monthly Review'!B35</f>
        <v>Layan</v>
      </c>
      <c r="AA8" s="12" t="str">
        <f aca="false">'4 Monthly Review'!B36</f>
        <v>Rihab</v>
      </c>
      <c r="AB8" s="12" t="str">
        <f aca="false">'4 Monthly Review'!B37</f>
        <v>Saha</v>
      </c>
      <c r="AC8" s="12" t="s">
        <v>31</v>
      </c>
      <c r="AD8" s="12" t="s">
        <v>32</v>
      </c>
      <c r="AE8" s="13" t="s">
        <v>33</v>
      </c>
    </row>
    <row r="9" customFormat="false" ht="45.75" hidden="false" customHeight="true" outlineLevel="0" collapsed="false">
      <c r="A9" s="14" t="n">
        <f aca="false">IF('4 Monthly Review'!$X$9+ROW()-9&gt;EOMONTH('4 Monthly Review'!$X$9,0),"",'4 Monthly Review'!$X$9+ROW()-9)</f>
        <v>46296</v>
      </c>
      <c r="B9" s="15" t="str">
        <f aca="false">IF(A9="","",TEXT(A9,"ddd"))</f>
        <v>Thu</v>
      </c>
      <c r="C9" s="15" t="n">
        <f aca="false">IF(A9="","",INT((A9-WEEKDAY(A9,3)-('4 Monthly Review'!$X$9-WEEKDAY('4 Monthly Review'!$X$9,3)))/7)+1)</f>
        <v>1</v>
      </c>
      <c r="D9" s="15" t="n">
        <f aca="false">IF(A9="","",IF(OR(WEEKDAY(A9,2)=7,COUNTIF('4 Monthly Review'!$B$26:$AM$26,A9)&gt;0),0,1))</f>
        <v>1</v>
      </c>
      <c r="E9" s="16" t="n">
        <v>4</v>
      </c>
      <c r="F9" s="17"/>
      <c r="G9" s="18" t="s">
        <v>34</v>
      </c>
      <c r="H9" s="16" t="n">
        <v>2</v>
      </c>
      <c r="I9" s="19" t="s">
        <v>35</v>
      </c>
      <c r="J9" s="16" t="n">
        <v>1</v>
      </c>
      <c r="K9" s="19" t="s">
        <v>36</v>
      </c>
      <c r="L9" s="19" t="s">
        <v>37</v>
      </c>
      <c r="M9" s="16" t="n">
        <v>0</v>
      </c>
      <c r="N9" s="16" t="n">
        <v>12</v>
      </c>
      <c r="O9" s="16" t="n">
        <v>0</v>
      </c>
      <c r="P9" s="16" t="n">
        <v>0</v>
      </c>
      <c r="Q9" s="16" t="n">
        <v>0</v>
      </c>
      <c r="R9" s="17" t="n">
        <v>1</v>
      </c>
      <c r="S9" s="18"/>
      <c r="T9" s="18"/>
      <c r="U9" s="20"/>
      <c r="V9" s="20"/>
      <c r="W9" s="20"/>
      <c r="X9" s="20"/>
      <c r="Y9" s="20"/>
      <c r="Z9" s="20"/>
      <c r="AA9" s="20"/>
      <c r="AB9" s="20"/>
      <c r="AC9" s="21" t="n">
        <f aca="false">IF(A9="","",SUM(U9:AB9))</f>
        <v>0</v>
      </c>
      <c r="AD9" s="22" t="n">
        <f aca="false">IF(A9="","",SUM($AC$9:AC9))</f>
        <v>0</v>
      </c>
      <c r="AE9" s="23" t="n">
        <f aca="false">IF(A9="","",IF(WEEKDAY(A9,2)=7,"",A9))</f>
        <v>46296</v>
      </c>
    </row>
    <row r="10" customFormat="false" ht="45.75" hidden="false" customHeight="true" outlineLevel="0" collapsed="false">
      <c r="A10" s="14" t="n">
        <f aca="false">IF('4 Monthly Review'!$X$9+ROW()-9&gt;EOMONTH('4 Monthly Review'!$X$9,0),"",'4 Monthly Review'!$X$9+ROW()-9)</f>
        <v>46297</v>
      </c>
      <c r="B10" s="15" t="str">
        <f aca="false">IF(A10="","",TEXT(A10,"ddd"))</f>
        <v>Fri</v>
      </c>
      <c r="C10" s="15" t="n">
        <f aca="false">IF(A10="","",INT((A10-WEEKDAY(A10,3)-('4 Monthly Review'!$X$9-WEEKDAY('4 Monthly Review'!$X$9,3)))/7)+1)</f>
        <v>1</v>
      </c>
      <c r="D10" s="15" t="n">
        <f aca="false">IF(A10="","",IF(OR(WEEKDAY(A10,2)=7,COUNTIF('4 Monthly Review'!$B$26:$AM$26,A10)&gt;0),0,1))</f>
        <v>1</v>
      </c>
      <c r="E10" s="16" t="n">
        <v>8</v>
      </c>
      <c r="F10" s="16" t="n">
        <v>6</v>
      </c>
      <c r="G10" s="18" t="s">
        <v>38</v>
      </c>
      <c r="H10" s="16" t="n">
        <v>2</v>
      </c>
      <c r="I10" s="19" t="s">
        <v>39</v>
      </c>
      <c r="J10" s="16" t="n">
        <v>1</v>
      </c>
      <c r="K10" s="19" t="s">
        <v>40</v>
      </c>
      <c r="L10" s="19" t="s">
        <v>41</v>
      </c>
      <c r="M10" s="17" t="n">
        <v>5</v>
      </c>
      <c r="N10" s="16" t="n">
        <v>9</v>
      </c>
      <c r="O10" s="16" t="n">
        <v>0</v>
      </c>
      <c r="P10" s="16" t="n">
        <v>0</v>
      </c>
      <c r="Q10" s="16" t="n">
        <v>0</v>
      </c>
      <c r="R10" s="16" t="n">
        <v>0</v>
      </c>
      <c r="S10" s="18"/>
      <c r="T10" s="18"/>
      <c r="U10" s="20"/>
      <c r="V10" s="20"/>
      <c r="W10" s="20"/>
      <c r="X10" s="20"/>
      <c r="Y10" s="20"/>
      <c r="Z10" s="20"/>
      <c r="AA10" s="20"/>
      <c r="AB10" s="20"/>
      <c r="AC10" s="21" t="n">
        <f aca="false">IF(A10="","",SUM(U10:AB10))</f>
        <v>0</v>
      </c>
      <c r="AD10" s="22" t="n">
        <f aca="false">IF(A10="","",SUM($AC$9:AC10))</f>
        <v>0</v>
      </c>
      <c r="AE10" s="23" t="n">
        <f aca="false">IF(A10="","",IF(WEEKDAY(A10,2)=7,"",A10))</f>
        <v>46297</v>
      </c>
    </row>
    <row r="11" customFormat="false" ht="19.5" hidden="false" customHeight="true" outlineLevel="0" collapsed="false">
      <c r="A11" s="14" t="n">
        <f aca="false">IF('4 Monthly Review'!$X$9+ROW()-9&gt;EOMONTH('4 Monthly Review'!$X$9,0),"",'4 Monthly Review'!$X$9+ROW()-9)</f>
        <v>46298</v>
      </c>
      <c r="B11" s="15" t="str">
        <f aca="false">IF(A11="","",TEXT(A11,"ddd"))</f>
        <v>Sat</v>
      </c>
      <c r="C11" s="15" t="n">
        <f aca="false">IF(A11="","",INT((A11-WEEKDAY(A11,3)-('4 Monthly Review'!$X$9-WEEKDAY('4 Monthly Review'!$X$9,3)))/7)+1)</f>
        <v>1</v>
      </c>
      <c r="D11" s="15" t="n">
        <f aca="false">IF(A11="","",IF(OR(WEEKDAY(A11,2)=7,COUNTIF('4 Monthly Review'!$B$26:$AM$26,A11)&gt;0),0,1))</f>
        <v>1</v>
      </c>
      <c r="E11" s="16" t="n">
        <v>9</v>
      </c>
      <c r="F11" s="16" t="n">
        <v>3</v>
      </c>
      <c r="G11" s="18"/>
      <c r="H11" s="16" t="n">
        <v>2</v>
      </c>
      <c r="I11" s="19" t="s">
        <v>35</v>
      </c>
      <c r="J11" s="16" t="n">
        <v>0</v>
      </c>
      <c r="K11" s="19"/>
      <c r="L11" s="19" t="s">
        <v>42</v>
      </c>
      <c r="M11" s="16" t="n">
        <v>0</v>
      </c>
      <c r="N11" s="17" t="s">
        <v>43</v>
      </c>
      <c r="O11" s="16" t="n">
        <v>0</v>
      </c>
      <c r="P11" s="16"/>
      <c r="Q11" s="16" t="n">
        <v>0</v>
      </c>
      <c r="R11" s="16" t="n">
        <v>1</v>
      </c>
      <c r="S11" s="18" t="s">
        <v>44</v>
      </c>
      <c r="T11" s="18"/>
      <c r="U11" s="20"/>
      <c r="V11" s="20"/>
      <c r="W11" s="20"/>
      <c r="X11" s="20"/>
      <c r="Y11" s="20"/>
      <c r="Z11" s="20"/>
      <c r="AA11" s="20"/>
      <c r="AB11" s="20"/>
      <c r="AC11" s="21" t="n">
        <f aca="false">IF(A11="","",SUM(U11:AB11))</f>
        <v>0</v>
      </c>
      <c r="AD11" s="22" t="n">
        <f aca="false">IF(A11="","",SUM($AC$9:AC11))</f>
        <v>0</v>
      </c>
      <c r="AE11" s="23" t="n">
        <f aca="false">IF(A11="","",IF(WEEKDAY(A11,2)=7,"",A11))</f>
        <v>46298</v>
      </c>
    </row>
    <row r="12" customFormat="false" ht="19.5" hidden="false" customHeight="true" outlineLevel="0" collapsed="false">
      <c r="A12" s="14" t="n">
        <f aca="false">IF('4 Monthly Review'!$X$9+ROW()-9&gt;EOMONTH('4 Monthly Review'!$X$9,0),"",'4 Monthly Review'!$X$9+ROW()-9)</f>
        <v>46299</v>
      </c>
      <c r="B12" s="15" t="str">
        <f aca="false">IF(A12="","",TEXT(A12,"ddd"))</f>
        <v>Sun</v>
      </c>
      <c r="C12" s="15" t="n">
        <f aca="false">IF(A12="","",INT((A12-WEEKDAY(A12,3)-('4 Monthly Review'!$X$9-WEEKDAY('4 Monthly Review'!$X$9,3)))/7)+1)</f>
        <v>1</v>
      </c>
      <c r="D12" s="15" t="n">
        <f aca="false">IF(A12="","",IF(OR(WEEKDAY(A12,2)=7,COUNTIF('4 Monthly Review'!$B$26:$AM$26,A12)&gt;0),0,1))</f>
        <v>0</v>
      </c>
      <c r="E12" s="16"/>
      <c r="F12" s="16"/>
      <c r="G12" s="18"/>
      <c r="H12" s="16"/>
      <c r="I12" s="19"/>
      <c r="J12" s="16"/>
      <c r="K12" s="19"/>
      <c r="L12" s="19"/>
      <c r="M12" s="16"/>
      <c r="N12" s="16"/>
      <c r="O12" s="16"/>
      <c r="P12" s="16"/>
      <c r="Q12" s="16"/>
      <c r="R12" s="16"/>
      <c r="S12" s="18"/>
      <c r="T12" s="18"/>
      <c r="U12" s="20"/>
      <c r="V12" s="20"/>
      <c r="W12" s="20"/>
      <c r="X12" s="20"/>
      <c r="Y12" s="20"/>
      <c r="Z12" s="20"/>
      <c r="AA12" s="20"/>
      <c r="AB12" s="20"/>
      <c r="AC12" s="21" t="n">
        <f aca="false">IF(A12="","",SUM(U12:AB12))</f>
        <v>0</v>
      </c>
      <c r="AD12" s="22" t="n">
        <f aca="false">IF(A12="","",SUM($AC$9:AC12))</f>
        <v>0</v>
      </c>
      <c r="AE12" s="23" t="str">
        <f aca="false">IF(A12="","",IF(WEEKDAY(A12,2)=7,"",A12))</f>
        <v/>
      </c>
    </row>
    <row r="13" customFormat="false" ht="19.5" hidden="false" customHeight="true" outlineLevel="0" collapsed="false">
      <c r="A13" s="14" t="n">
        <f aca="false">IF('4 Monthly Review'!$X$9+ROW()-9&gt;EOMONTH('4 Monthly Review'!$X$9,0),"",'4 Monthly Review'!$X$9+ROW()-9)</f>
        <v>46300</v>
      </c>
      <c r="B13" s="15" t="str">
        <f aca="false">IF(A13="","",TEXT(A13,"ddd"))</f>
        <v>Mon</v>
      </c>
      <c r="C13" s="15" t="n">
        <f aca="false">IF(A13="","",INT((A13-WEEKDAY(A13,3)-('4 Monthly Review'!$X$9-WEEKDAY('4 Monthly Review'!$X$9,3)))/7)+1)</f>
        <v>2</v>
      </c>
      <c r="D13" s="15" t="n">
        <f aca="false">IF(A13="","",IF(OR(WEEKDAY(A13,2)=7,COUNTIF('4 Monthly Review'!$B$26:$AM$26,A13)&gt;0),0,1))</f>
        <v>1</v>
      </c>
      <c r="E13" s="16"/>
      <c r="F13" s="16"/>
      <c r="G13" s="18"/>
      <c r="H13" s="16"/>
      <c r="I13" s="19"/>
      <c r="J13" s="16"/>
      <c r="K13" s="19"/>
      <c r="L13" s="19"/>
      <c r="M13" s="16"/>
      <c r="N13" s="16"/>
      <c r="O13" s="16"/>
      <c r="P13" s="16"/>
      <c r="Q13" s="16"/>
      <c r="R13" s="16"/>
      <c r="S13" s="18"/>
      <c r="T13" s="18"/>
      <c r="U13" s="20"/>
      <c r="V13" s="20"/>
      <c r="W13" s="20"/>
      <c r="X13" s="20"/>
      <c r="Y13" s="20"/>
      <c r="Z13" s="20"/>
      <c r="AA13" s="20"/>
      <c r="AB13" s="20"/>
      <c r="AC13" s="21" t="n">
        <f aca="false">IF(A13="","",SUM(U13:AB13))</f>
        <v>0</v>
      </c>
      <c r="AD13" s="22" t="n">
        <f aca="false">IF(A13="","",SUM($AC$9:AC13))</f>
        <v>0</v>
      </c>
      <c r="AE13" s="23" t="n">
        <f aca="false">IF(A13="","",IF(WEEKDAY(A13,2)=7,"",A13))</f>
        <v>46300</v>
      </c>
    </row>
    <row r="14" customFormat="false" ht="19.5" hidden="false" customHeight="true" outlineLevel="0" collapsed="false">
      <c r="A14" s="14" t="n">
        <f aca="false">IF('4 Monthly Review'!$X$9+ROW()-9&gt;EOMONTH('4 Monthly Review'!$X$9,0),"",'4 Monthly Review'!$X$9+ROW()-9)</f>
        <v>46301</v>
      </c>
      <c r="B14" s="15" t="str">
        <f aca="false">IF(A14="","",TEXT(A14,"ddd"))</f>
        <v>Tue</v>
      </c>
      <c r="C14" s="15" t="n">
        <f aca="false">IF(A14="","",INT((A14-WEEKDAY(A14,3)-('4 Monthly Review'!$X$9-WEEKDAY('4 Monthly Review'!$X$9,3)))/7)+1)</f>
        <v>2</v>
      </c>
      <c r="D14" s="15" t="n">
        <f aca="false">IF(A14="","",IF(OR(WEEKDAY(A14,2)=7,COUNTIF('4 Monthly Review'!$B$26:$AM$26,A14)&gt;0),0,1))</f>
        <v>1</v>
      </c>
      <c r="E14" s="16"/>
      <c r="F14" s="16"/>
      <c r="G14" s="18"/>
      <c r="H14" s="16"/>
      <c r="I14" s="19"/>
      <c r="J14" s="16"/>
      <c r="K14" s="19"/>
      <c r="L14" s="19"/>
      <c r="M14" s="16"/>
      <c r="N14" s="16"/>
      <c r="O14" s="16"/>
      <c r="P14" s="16"/>
      <c r="Q14" s="16"/>
      <c r="R14" s="16"/>
      <c r="S14" s="18"/>
      <c r="T14" s="18"/>
      <c r="U14" s="20"/>
      <c r="V14" s="20"/>
      <c r="W14" s="20"/>
      <c r="X14" s="20"/>
      <c r="Y14" s="20"/>
      <c r="Z14" s="20"/>
      <c r="AA14" s="20"/>
      <c r="AB14" s="20"/>
      <c r="AC14" s="21" t="n">
        <f aca="false">IF(A14="","",SUM(U14:AB14))</f>
        <v>0</v>
      </c>
      <c r="AD14" s="22" t="n">
        <f aca="false">IF(A14="","",SUM($AC$9:AC14))</f>
        <v>0</v>
      </c>
      <c r="AE14" s="23" t="n">
        <f aca="false">IF(A14="","",IF(WEEKDAY(A14,2)=7,"",A14))</f>
        <v>46301</v>
      </c>
    </row>
    <row r="15" customFormat="false" ht="19.5" hidden="false" customHeight="true" outlineLevel="0" collapsed="false">
      <c r="A15" s="14" t="n">
        <f aca="false">IF('4 Monthly Review'!$X$9+ROW()-9&gt;EOMONTH('4 Monthly Review'!$X$9,0),"",'4 Monthly Review'!$X$9+ROW()-9)</f>
        <v>46302</v>
      </c>
      <c r="B15" s="15" t="str">
        <f aca="false">IF(A15="","",TEXT(A15,"ddd"))</f>
        <v>Wed</v>
      </c>
      <c r="C15" s="15" t="n">
        <f aca="false">IF(A15="","",INT((A15-WEEKDAY(A15,3)-('4 Monthly Review'!$X$9-WEEKDAY('4 Monthly Review'!$X$9,3)))/7)+1)</f>
        <v>2</v>
      </c>
      <c r="D15" s="15" t="n">
        <f aca="false">IF(A15="","",IF(OR(WEEKDAY(A15,2)=7,COUNTIF('4 Monthly Review'!$B$26:$AM$26,A15)&gt;0),0,1))</f>
        <v>1</v>
      </c>
      <c r="E15" s="16"/>
      <c r="F15" s="16"/>
      <c r="G15" s="18"/>
      <c r="H15" s="16"/>
      <c r="I15" s="19"/>
      <c r="J15" s="16"/>
      <c r="K15" s="19"/>
      <c r="L15" s="19"/>
      <c r="M15" s="16"/>
      <c r="N15" s="16"/>
      <c r="O15" s="16"/>
      <c r="P15" s="16"/>
      <c r="Q15" s="16"/>
      <c r="R15" s="16"/>
      <c r="S15" s="18"/>
      <c r="T15" s="18"/>
      <c r="U15" s="20"/>
      <c r="V15" s="20"/>
      <c r="W15" s="20"/>
      <c r="X15" s="20"/>
      <c r="Y15" s="20"/>
      <c r="Z15" s="20"/>
      <c r="AA15" s="20"/>
      <c r="AB15" s="20"/>
      <c r="AC15" s="21" t="n">
        <f aca="false">IF(A15="","",SUM(U15:AB15))</f>
        <v>0</v>
      </c>
      <c r="AD15" s="22" t="n">
        <f aca="false">IF(A15="","",SUM($AC$9:AC15))</f>
        <v>0</v>
      </c>
      <c r="AE15" s="23" t="n">
        <f aca="false">IF(A15="","",IF(WEEKDAY(A15,2)=7,"",A15))</f>
        <v>46302</v>
      </c>
    </row>
    <row r="16" customFormat="false" ht="19.5" hidden="false" customHeight="true" outlineLevel="0" collapsed="false">
      <c r="A16" s="14" t="n">
        <f aca="false">IF('4 Monthly Review'!$X$9+ROW()-9&gt;EOMONTH('4 Monthly Review'!$X$9,0),"",'4 Monthly Review'!$X$9+ROW()-9)</f>
        <v>46303</v>
      </c>
      <c r="B16" s="15" t="str">
        <f aca="false">IF(A16="","",TEXT(A16,"ddd"))</f>
        <v>Thu</v>
      </c>
      <c r="C16" s="15" t="n">
        <f aca="false">IF(A16="","",INT((A16-WEEKDAY(A16,3)-('4 Monthly Review'!$X$9-WEEKDAY('4 Monthly Review'!$X$9,3)))/7)+1)</f>
        <v>2</v>
      </c>
      <c r="D16" s="15" t="n">
        <f aca="false">IF(A16="","",IF(OR(WEEKDAY(A16,2)=7,COUNTIF('4 Monthly Review'!$B$26:$AM$26,A16)&gt;0),0,1))</f>
        <v>1</v>
      </c>
      <c r="E16" s="16"/>
      <c r="F16" s="16"/>
      <c r="G16" s="18"/>
      <c r="H16" s="16"/>
      <c r="I16" s="19"/>
      <c r="J16" s="16"/>
      <c r="K16" s="19"/>
      <c r="L16" s="19"/>
      <c r="M16" s="16"/>
      <c r="N16" s="16"/>
      <c r="O16" s="16"/>
      <c r="P16" s="16"/>
      <c r="Q16" s="16"/>
      <c r="R16" s="16"/>
      <c r="S16" s="18"/>
      <c r="T16" s="18"/>
      <c r="U16" s="20"/>
      <c r="V16" s="20"/>
      <c r="W16" s="20"/>
      <c r="X16" s="20"/>
      <c r="Y16" s="20"/>
      <c r="Z16" s="20"/>
      <c r="AA16" s="20"/>
      <c r="AB16" s="20"/>
      <c r="AC16" s="21" t="n">
        <f aca="false">IF(A16="","",SUM(U16:AB16))</f>
        <v>0</v>
      </c>
      <c r="AD16" s="22" t="n">
        <f aca="false">IF(A16="","",SUM($AC$9:AC16))</f>
        <v>0</v>
      </c>
      <c r="AE16" s="23" t="n">
        <f aca="false">IF(A16="","",IF(WEEKDAY(A16,2)=7,"",A16))</f>
        <v>46303</v>
      </c>
    </row>
    <row r="17" customFormat="false" ht="19.5" hidden="false" customHeight="true" outlineLevel="0" collapsed="false">
      <c r="A17" s="14" t="n">
        <f aca="false">IF('4 Monthly Review'!$X$9+ROW()-9&gt;EOMONTH('4 Monthly Review'!$X$9,0),"",'4 Monthly Review'!$X$9+ROW()-9)</f>
        <v>46304</v>
      </c>
      <c r="B17" s="15" t="str">
        <f aca="false">IF(A17="","",TEXT(A17,"ddd"))</f>
        <v>Fri</v>
      </c>
      <c r="C17" s="15" t="n">
        <f aca="false">IF(A17="","",INT((A17-WEEKDAY(A17,3)-('4 Monthly Review'!$X$9-WEEKDAY('4 Monthly Review'!$X$9,3)))/7)+1)</f>
        <v>2</v>
      </c>
      <c r="D17" s="15" t="n">
        <f aca="false">IF(A17="","",IF(OR(WEEKDAY(A17,2)=7,COUNTIF('4 Monthly Review'!$B$26:$AM$26,A17)&gt;0),0,1))</f>
        <v>1</v>
      </c>
      <c r="E17" s="16"/>
      <c r="F17" s="16"/>
      <c r="G17" s="18"/>
      <c r="H17" s="16"/>
      <c r="I17" s="19"/>
      <c r="J17" s="16"/>
      <c r="K17" s="19"/>
      <c r="L17" s="19"/>
      <c r="M17" s="16"/>
      <c r="N17" s="16"/>
      <c r="O17" s="16"/>
      <c r="P17" s="16"/>
      <c r="Q17" s="16"/>
      <c r="R17" s="16"/>
      <c r="S17" s="18"/>
      <c r="T17" s="18"/>
      <c r="U17" s="20"/>
      <c r="V17" s="20"/>
      <c r="W17" s="20"/>
      <c r="X17" s="20"/>
      <c r="Y17" s="20"/>
      <c r="Z17" s="20"/>
      <c r="AA17" s="20"/>
      <c r="AB17" s="20"/>
      <c r="AC17" s="21" t="n">
        <f aca="false">IF(A17="","",SUM(U17:AB17))</f>
        <v>0</v>
      </c>
      <c r="AD17" s="22" t="n">
        <f aca="false">IF(A17="","",SUM($AC$9:AC17))</f>
        <v>0</v>
      </c>
      <c r="AE17" s="23" t="n">
        <f aca="false">IF(A17="","",IF(WEEKDAY(A17,2)=7,"",A17))</f>
        <v>46304</v>
      </c>
    </row>
    <row r="18" customFormat="false" ht="19.5" hidden="false" customHeight="true" outlineLevel="0" collapsed="false">
      <c r="A18" s="14" t="n">
        <f aca="false">IF('4 Monthly Review'!$X$9+ROW()-9&gt;EOMONTH('4 Monthly Review'!$X$9,0),"",'4 Monthly Review'!$X$9+ROW()-9)</f>
        <v>46305</v>
      </c>
      <c r="B18" s="15" t="str">
        <f aca="false">IF(A18="","",TEXT(A18,"ddd"))</f>
        <v>Sat</v>
      </c>
      <c r="C18" s="15" t="n">
        <f aca="false">IF(A18="","",INT((A18-WEEKDAY(A18,3)-('4 Monthly Review'!$X$9-WEEKDAY('4 Monthly Review'!$X$9,3)))/7)+1)</f>
        <v>2</v>
      </c>
      <c r="D18" s="15" t="n">
        <f aca="false">IF(A18="","",IF(OR(WEEKDAY(A18,2)=7,COUNTIF('4 Monthly Review'!$B$26:$AM$26,A18)&gt;0),0,1))</f>
        <v>1</v>
      </c>
      <c r="E18" s="16"/>
      <c r="F18" s="16"/>
      <c r="G18" s="18"/>
      <c r="H18" s="16"/>
      <c r="I18" s="19"/>
      <c r="J18" s="16"/>
      <c r="K18" s="19"/>
      <c r="L18" s="19"/>
      <c r="M18" s="16"/>
      <c r="N18" s="16"/>
      <c r="O18" s="16"/>
      <c r="P18" s="16"/>
      <c r="Q18" s="16"/>
      <c r="R18" s="16"/>
      <c r="S18" s="18"/>
      <c r="T18" s="18"/>
      <c r="U18" s="20"/>
      <c r="V18" s="20"/>
      <c r="W18" s="20"/>
      <c r="X18" s="20"/>
      <c r="Y18" s="20"/>
      <c r="Z18" s="20"/>
      <c r="AA18" s="20"/>
      <c r="AB18" s="20"/>
      <c r="AC18" s="21" t="n">
        <f aca="false">IF(A18="","",SUM(U18:AB18))</f>
        <v>0</v>
      </c>
      <c r="AD18" s="22" t="n">
        <f aca="false">IF(A18="","",SUM($AC$9:AC18))</f>
        <v>0</v>
      </c>
      <c r="AE18" s="23" t="n">
        <f aca="false">IF(A18="","",IF(WEEKDAY(A18,2)=7,"",A18))</f>
        <v>46305</v>
      </c>
    </row>
    <row r="19" customFormat="false" ht="19.5" hidden="false" customHeight="true" outlineLevel="0" collapsed="false">
      <c r="A19" s="14" t="n">
        <f aca="false">IF('4 Monthly Review'!$X$9+ROW()-9&gt;EOMONTH('4 Monthly Review'!$X$9,0),"",'4 Monthly Review'!$X$9+ROW()-9)</f>
        <v>46306</v>
      </c>
      <c r="B19" s="15" t="str">
        <f aca="false">IF(A19="","",TEXT(A19,"ddd"))</f>
        <v>Sun</v>
      </c>
      <c r="C19" s="15" t="n">
        <f aca="false">IF(A19="","",INT((A19-WEEKDAY(A19,3)-('4 Monthly Review'!$X$9-WEEKDAY('4 Monthly Review'!$X$9,3)))/7)+1)</f>
        <v>2</v>
      </c>
      <c r="D19" s="15" t="n">
        <f aca="false">IF(A19="","",IF(OR(WEEKDAY(A19,2)=7,COUNTIF('4 Monthly Review'!$B$26:$AM$26,A19)&gt;0),0,1))</f>
        <v>0</v>
      </c>
      <c r="E19" s="16"/>
      <c r="F19" s="16"/>
      <c r="G19" s="18"/>
      <c r="H19" s="16"/>
      <c r="I19" s="19"/>
      <c r="J19" s="16"/>
      <c r="K19" s="19"/>
      <c r="L19" s="19"/>
      <c r="M19" s="16"/>
      <c r="N19" s="16"/>
      <c r="O19" s="16"/>
      <c r="P19" s="16"/>
      <c r="Q19" s="16"/>
      <c r="R19" s="16"/>
      <c r="S19" s="18"/>
      <c r="T19" s="18"/>
      <c r="U19" s="20"/>
      <c r="V19" s="20"/>
      <c r="W19" s="20"/>
      <c r="X19" s="20"/>
      <c r="Y19" s="20"/>
      <c r="Z19" s="20"/>
      <c r="AA19" s="20"/>
      <c r="AB19" s="20"/>
      <c r="AC19" s="21" t="n">
        <f aca="false">IF(A19="","",SUM(U19:AB19))</f>
        <v>0</v>
      </c>
      <c r="AD19" s="22" t="n">
        <f aca="false">IF(A19="","",SUM($AC$9:AC19))</f>
        <v>0</v>
      </c>
      <c r="AE19" s="23" t="str">
        <f aca="false">IF(A19="","",IF(WEEKDAY(A19,2)=7,"",A19))</f>
        <v/>
      </c>
    </row>
    <row r="20" customFormat="false" ht="19.5" hidden="false" customHeight="true" outlineLevel="0" collapsed="false">
      <c r="A20" s="14" t="n">
        <f aca="false">IF('4 Monthly Review'!$X$9+ROW()-9&gt;EOMONTH('4 Monthly Review'!$X$9,0),"",'4 Monthly Review'!$X$9+ROW()-9)</f>
        <v>46307</v>
      </c>
      <c r="B20" s="15" t="str">
        <f aca="false">IF(A20="","",TEXT(A20,"ddd"))</f>
        <v>Mon</v>
      </c>
      <c r="C20" s="15" t="n">
        <f aca="false">IF(A20="","",INT((A20-WEEKDAY(A20,3)-('4 Monthly Review'!$X$9-WEEKDAY('4 Monthly Review'!$X$9,3)))/7)+1)</f>
        <v>3</v>
      </c>
      <c r="D20" s="15" t="n">
        <f aca="false">IF(A20="","",IF(OR(WEEKDAY(A20,2)=7,COUNTIF('4 Monthly Review'!$B$26:$AM$26,A20)&gt;0),0,1))</f>
        <v>1</v>
      </c>
      <c r="E20" s="16"/>
      <c r="F20" s="16"/>
      <c r="G20" s="18"/>
      <c r="H20" s="16"/>
      <c r="I20" s="19"/>
      <c r="J20" s="16"/>
      <c r="K20" s="19"/>
      <c r="L20" s="19"/>
      <c r="M20" s="16"/>
      <c r="N20" s="16"/>
      <c r="O20" s="16"/>
      <c r="P20" s="16"/>
      <c r="Q20" s="16"/>
      <c r="R20" s="16"/>
      <c r="S20" s="18"/>
      <c r="T20" s="18"/>
      <c r="U20" s="20"/>
      <c r="V20" s="20"/>
      <c r="W20" s="20"/>
      <c r="X20" s="20"/>
      <c r="Y20" s="20"/>
      <c r="Z20" s="20"/>
      <c r="AA20" s="20"/>
      <c r="AB20" s="20"/>
      <c r="AC20" s="21" t="n">
        <f aca="false">IF(A20="","",SUM(U20:AB20))</f>
        <v>0</v>
      </c>
      <c r="AD20" s="22" t="n">
        <f aca="false">IF(A20="","",SUM($AC$9:AC20))</f>
        <v>0</v>
      </c>
      <c r="AE20" s="23" t="n">
        <f aca="false">IF(A20="","",IF(WEEKDAY(A20,2)=7,"",A20))</f>
        <v>46307</v>
      </c>
    </row>
    <row r="21" customFormat="false" ht="19.5" hidden="false" customHeight="true" outlineLevel="0" collapsed="false">
      <c r="A21" s="14" t="n">
        <f aca="false">IF('4 Monthly Review'!$X$9+ROW()-9&gt;EOMONTH('4 Monthly Review'!$X$9,0),"",'4 Monthly Review'!$X$9+ROW()-9)</f>
        <v>46308</v>
      </c>
      <c r="B21" s="15" t="str">
        <f aca="false">IF(A21="","",TEXT(A21,"ddd"))</f>
        <v>Tue</v>
      </c>
      <c r="C21" s="15" t="n">
        <f aca="false">IF(A21="","",INT((A21-WEEKDAY(A21,3)-('4 Monthly Review'!$X$9-WEEKDAY('4 Monthly Review'!$X$9,3)))/7)+1)</f>
        <v>3</v>
      </c>
      <c r="D21" s="15" t="n">
        <f aca="false">IF(A21="","",IF(OR(WEEKDAY(A21,2)=7,COUNTIF('4 Monthly Review'!$B$26:$AM$26,A21)&gt;0),0,1))</f>
        <v>1</v>
      </c>
      <c r="E21" s="16"/>
      <c r="F21" s="16"/>
      <c r="G21" s="18"/>
      <c r="H21" s="16"/>
      <c r="I21" s="19"/>
      <c r="J21" s="16"/>
      <c r="K21" s="19"/>
      <c r="L21" s="19"/>
      <c r="M21" s="16"/>
      <c r="N21" s="16"/>
      <c r="O21" s="16"/>
      <c r="P21" s="16"/>
      <c r="Q21" s="16"/>
      <c r="R21" s="16"/>
      <c r="S21" s="18"/>
      <c r="T21" s="18"/>
      <c r="U21" s="20"/>
      <c r="V21" s="20"/>
      <c r="W21" s="20"/>
      <c r="X21" s="20"/>
      <c r="Y21" s="20"/>
      <c r="Z21" s="20"/>
      <c r="AA21" s="20"/>
      <c r="AB21" s="20"/>
      <c r="AC21" s="21" t="n">
        <f aca="false">IF(A21="","",SUM(U21:AB21))</f>
        <v>0</v>
      </c>
      <c r="AD21" s="22" t="n">
        <f aca="false">IF(A21="","",SUM($AC$9:AC21))</f>
        <v>0</v>
      </c>
      <c r="AE21" s="23" t="n">
        <f aca="false">IF(A21="","",IF(WEEKDAY(A21,2)=7,"",A21))</f>
        <v>46308</v>
      </c>
    </row>
    <row r="22" customFormat="false" ht="19.5" hidden="false" customHeight="true" outlineLevel="0" collapsed="false">
      <c r="A22" s="14" t="n">
        <f aca="false">IF('4 Monthly Review'!$X$9+ROW()-9&gt;EOMONTH('4 Monthly Review'!$X$9,0),"",'4 Monthly Review'!$X$9+ROW()-9)</f>
        <v>46309</v>
      </c>
      <c r="B22" s="15" t="str">
        <f aca="false">IF(A22="","",TEXT(A22,"ddd"))</f>
        <v>Wed</v>
      </c>
      <c r="C22" s="15" t="n">
        <f aca="false">IF(A22="","",INT((A22-WEEKDAY(A22,3)-('4 Monthly Review'!$X$9-WEEKDAY('4 Monthly Review'!$X$9,3)))/7)+1)</f>
        <v>3</v>
      </c>
      <c r="D22" s="15" t="n">
        <f aca="false">IF(A22="","",IF(OR(WEEKDAY(A22,2)=7,COUNTIF('4 Monthly Review'!$B$26:$AM$26,A22)&gt;0),0,1))</f>
        <v>1</v>
      </c>
      <c r="E22" s="16"/>
      <c r="F22" s="16"/>
      <c r="G22" s="18"/>
      <c r="H22" s="16"/>
      <c r="I22" s="19"/>
      <c r="J22" s="16"/>
      <c r="K22" s="19"/>
      <c r="L22" s="19"/>
      <c r="M22" s="16"/>
      <c r="N22" s="16"/>
      <c r="O22" s="16"/>
      <c r="P22" s="16"/>
      <c r="Q22" s="16"/>
      <c r="R22" s="16"/>
      <c r="S22" s="18"/>
      <c r="T22" s="18"/>
      <c r="U22" s="20"/>
      <c r="V22" s="20"/>
      <c r="W22" s="20"/>
      <c r="X22" s="20"/>
      <c r="Y22" s="20"/>
      <c r="Z22" s="20"/>
      <c r="AA22" s="20"/>
      <c r="AB22" s="20"/>
      <c r="AC22" s="21" t="n">
        <f aca="false">IF(A22="","",SUM(U22:AB22))</f>
        <v>0</v>
      </c>
      <c r="AD22" s="22" t="n">
        <f aca="false">IF(A22="","",SUM($AC$9:AC22))</f>
        <v>0</v>
      </c>
      <c r="AE22" s="23" t="n">
        <f aca="false">IF(A22="","",IF(WEEKDAY(A22,2)=7,"",A22))</f>
        <v>46309</v>
      </c>
    </row>
    <row r="23" customFormat="false" ht="19.5" hidden="false" customHeight="true" outlineLevel="0" collapsed="false">
      <c r="A23" s="14" t="n">
        <f aca="false">IF('4 Monthly Review'!$X$9+ROW()-9&gt;EOMONTH('4 Monthly Review'!$X$9,0),"",'4 Monthly Review'!$X$9+ROW()-9)</f>
        <v>46310</v>
      </c>
      <c r="B23" s="15" t="str">
        <f aca="false">IF(A23="","",TEXT(A23,"ddd"))</f>
        <v>Thu</v>
      </c>
      <c r="C23" s="15" t="n">
        <f aca="false">IF(A23="","",INT((A23-WEEKDAY(A23,3)-('4 Monthly Review'!$X$9-WEEKDAY('4 Monthly Review'!$X$9,3)))/7)+1)</f>
        <v>3</v>
      </c>
      <c r="D23" s="15" t="n">
        <f aca="false">IF(A23="","",IF(OR(WEEKDAY(A23,2)=7,COUNTIF('4 Monthly Review'!$B$26:$AM$26,A23)&gt;0),0,1))</f>
        <v>1</v>
      </c>
      <c r="E23" s="16"/>
      <c r="F23" s="16"/>
      <c r="G23" s="18"/>
      <c r="H23" s="16"/>
      <c r="I23" s="19"/>
      <c r="J23" s="16"/>
      <c r="K23" s="19"/>
      <c r="L23" s="19"/>
      <c r="M23" s="16"/>
      <c r="N23" s="16"/>
      <c r="O23" s="16"/>
      <c r="P23" s="16"/>
      <c r="Q23" s="16"/>
      <c r="R23" s="16"/>
      <c r="S23" s="18"/>
      <c r="T23" s="18"/>
      <c r="U23" s="20"/>
      <c r="V23" s="20"/>
      <c r="W23" s="20"/>
      <c r="X23" s="20"/>
      <c r="Y23" s="20"/>
      <c r="Z23" s="20"/>
      <c r="AA23" s="20"/>
      <c r="AB23" s="20"/>
      <c r="AC23" s="21" t="n">
        <f aca="false">IF(A23="","",SUM(U23:AB23))</f>
        <v>0</v>
      </c>
      <c r="AD23" s="22" t="n">
        <f aca="false">IF(A23="","",SUM($AC$9:AC23))</f>
        <v>0</v>
      </c>
      <c r="AE23" s="23" t="n">
        <f aca="false">IF(A23="","",IF(WEEKDAY(A23,2)=7,"",A23))</f>
        <v>46310</v>
      </c>
    </row>
    <row r="24" customFormat="false" ht="19.5" hidden="false" customHeight="true" outlineLevel="0" collapsed="false">
      <c r="A24" s="14" t="n">
        <f aca="false">IF('4 Monthly Review'!$X$9+ROW()-9&gt;EOMONTH('4 Monthly Review'!$X$9,0),"",'4 Monthly Review'!$X$9+ROW()-9)</f>
        <v>46311</v>
      </c>
      <c r="B24" s="15" t="str">
        <f aca="false">IF(A24="","",TEXT(A24,"ddd"))</f>
        <v>Fri</v>
      </c>
      <c r="C24" s="15" t="n">
        <f aca="false">IF(A24="","",INT((A24-WEEKDAY(A24,3)-('4 Monthly Review'!$X$9-WEEKDAY('4 Monthly Review'!$X$9,3)))/7)+1)</f>
        <v>3</v>
      </c>
      <c r="D24" s="15" t="n">
        <f aca="false">IF(A24="","",IF(OR(WEEKDAY(A24,2)=7,COUNTIF('4 Monthly Review'!$B$26:$AM$26,A24)&gt;0),0,1))</f>
        <v>1</v>
      </c>
      <c r="E24" s="16"/>
      <c r="F24" s="16"/>
      <c r="G24" s="18"/>
      <c r="H24" s="16"/>
      <c r="I24" s="19"/>
      <c r="J24" s="16"/>
      <c r="K24" s="19"/>
      <c r="L24" s="19"/>
      <c r="M24" s="16"/>
      <c r="N24" s="16"/>
      <c r="O24" s="16"/>
      <c r="P24" s="16"/>
      <c r="Q24" s="16"/>
      <c r="R24" s="16"/>
      <c r="S24" s="18"/>
      <c r="T24" s="18"/>
      <c r="U24" s="20"/>
      <c r="V24" s="20"/>
      <c r="W24" s="20"/>
      <c r="X24" s="20"/>
      <c r="Y24" s="20"/>
      <c r="Z24" s="20"/>
      <c r="AA24" s="20"/>
      <c r="AB24" s="20"/>
      <c r="AC24" s="21" t="n">
        <f aca="false">IF(A24="","",SUM(U24:AB24))</f>
        <v>0</v>
      </c>
      <c r="AD24" s="22" t="n">
        <f aca="false">IF(A24="","",SUM($AC$9:AC24))</f>
        <v>0</v>
      </c>
      <c r="AE24" s="23" t="n">
        <f aca="false">IF(A24="","",IF(WEEKDAY(A24,2)=7,"",A24))</f>
        <v>46311</v>
      </c>
    </row>
    <row r="25" customFormat="false" ht="19.5" hidden="false" customHeight="true" outlineLevel="0" collapsed="false">
      <c r="A25" s="14" t="n">
        <f aca="false">IF('4 Monthly Review'!$X$9+ROW()-9&gt;EOMONTH('4 Monthly Review'!$X$9,0),"",'4 Monthly Review'!$X$9+ROW()-9)</f>
        <v>46312</v>
      </c>
      <c r="B25" s="15" t="str">
        <f aca="false">IF(A25="","",TEXT(A25,"ddd"))</f>
        <v>Sat</v>
      </c>
      <c r="C25" s="15" t="n">
        <f aca="false">IF(A25="","",INT((A25-WEEKDAY(A25,3)-('4 Monthly Review'!$X$9-WEEKDAY('4 Monthly Review'!$X$9,3)))/7)+1)</f>
        <v>3</v>
      </c>
      <c r="D25" s="15" t="n">
        <f aca="false">IF(A25="","",IF(OR(WEEKDAY(A25,2)=7,COUNTIF('4 Monthly Review'!$B$26:$AM$26,A25)&gt;0),0,1))</f>
        <v>1</v>
      </c>
      <c r="E25" s="16"/>
      <c r="F25" s="16"/>
      <c r="G25" s="18"/>
      <c r="H25" s="16"/>
      <c r="I25" s="19"/>
      <c r="J25" s="16"/>
      <c r="K25" s="19"/>
      <c r="L25" s="19"/>
      <c r="M25" s="16"/>
      <c r="N25" s="16"/>
      <c r="O25" s="16"/>
      <c r="P25" s="16"/>
      <c r="Q25" s="16"/>
      <c r="R25" s="16"/>
      <c r="S25" s="18"/>
      <c r="T25" s="18"/>
      <c r="U25" s="20"/>
      <c r="V25" s="20"/>
      <c r="W25" s="20"/>
      <c r="X25" s="20"/>
      <c r="Y25" s="20"/>
      <c r="Z25" s="20"/>
      <c r="AA25" s="20"/>
      <c r="AB25" s="20"/>
      <c r="AC25" s="21" t="n">
        <f aca="false">IF(A25="","",SUM(U25:AB25))</f>
        <v>0</v>
      </c>
      <c r="AD25" s="22" t="n">
        <f aca="false">IF(A25="","",SUM($AC$9:AC25))</f>
        <v>0</v>
      </c>
      <c r="AE25" s="23" t="n">
        <f aca="false">IF(A25="","",IF(WEEKDAY(A25,2)=7,"",A25))</f>
        <v>46312</v>
      </c>
    </row>
    <row r="26" customFormat="false" ht="19.5" hidden="false" customHeight="true" outlineLevel="0" collapsed="false">
      <c r="A26" s="14" t="n">
        <f aca="false">IF('4 Monthly Review'!$X$9+ROW()-9&gt;EOMONTH('4 Monthly Review'!$X$9,0),"",'4 Monthly Review'!$X$9+ROW()-9)</f>
        <v>46313</v>
      </c>
      <c r="B26" s="15" t="str">
        <f aca="false">IF(A26="","",TEXT(A26,"ddd"))</f>
        <v>Sun</v>
      </c>
      <c r="C26" s="15" t="n">
        <f aca="false">IF(A26="","",INT((A26-WEEKDAY(A26,3)-('4 Monthly Review'!$X$9-WEEKDAY('4 Monthly Review'!$X$9,3)))/7)+1)</f>
        <v>3</v>
      </c>
      <c r="D26" s="15" t="n">
        <f aca="false">IF(A26="","",IF(OR(WEEKDAY(A26,2)=7,COUNTIF('4 Monthly Review'!$B$26:$AM$26,A26)&gt;0),0,1))</f>
        <v>0</v>
      </c>
      <c r="E26" s="16"/>
      <c r="F26" s="16"/>
      <c r="G26" s="18"/>
      <c r="H26" s="16"/>
      <c r="I26" s="19"/>
      <c r="J26" s="16"/>
      <c r="K26" s="19"/>
      <c r="L26" s="19"/>
      <c r="M26" s="16"/>
      <c r="N26" s="16"/>
      <c r="O26" s="16"/>
      <c r="P26" s="16"/>
      <c r="Q26" s="16"/>
      <c r="R26" s="16"/>
      <c r="S26" s="18"/>
      <c r="T26" s="18"/>
      <c r="U26" s="20"/>
      <c r="V26" s="20"/>
      <c r="W26" s="20"/>
      <c r="X26" s="20"/>
      <c r="Y26" s="20"/>
      <c r="Z26" s="20"/>
      <c r="AA26" s="20"/>
      <c r="AB26" s="20"/>
      <c r="AC26" s="21" t="n">
        <f aca="false">IF(A26="","",SUM(U26:AB26))</f>
        <v>0</v>
      </c>
      <c r="AD26" s="22" t="n">
        <f aca="false">IF(A26="","",SUM($AC$9:AC26))</f>
        <v>0</v>
      </c>
      <c r="AE26" s="23" t="str">
        <f aca="false">IF(A26="","",IF(WEEKDAY(A26,2)=7,"",A26))</f>
        <v/>
      </c>
    </row>
    <row r="27" customFormat="false" ht="19.5" hidden="false" customHeight="true" outlineLevel="0" collapsed="false">
      <c r="A27" s="14" t="n">
        <f aca="false">IF('4 Monthly Review'!$X$9+ROW()-9&gt;EOMONTH('4 Monthly Review'!$X$9,0),"",'4 Monthly Review'!$X$9+ROW()-9)</f>
        <v>46314</v>
      </c>
      <c r="B27" s="15" t="str">
        <f aca="false">IF(A27="","",TEXT(A27,"ddd"))</f>
        <v>Mon</v>
      </c>
      <c r="C27" s="15" t="n">
        <f aca="false">IF(A27="","",INT((A27-WEEKDAY(A27,3)-('4 Monthly Review'!$X$9-WEEKDAY('4 Monthly Review'!$X$9,3)))/7)+1)</f>
        <v>4</v>
      </c>
      <c r="D27" s="15" t="n">
        <f aca="false">IF(A27="","",IF(OR(WEEKDAY(A27,2)=7,COUNTIF('4 Monthly Review'!$B$26:$AM$26,A27)&gt;0),0,1))</f>
        <v>1</v>
      </c>
      <c r="E27" s="16"/>
      <c r="F27" s="16"/>
      <c r="G27" s="18"/>
      <c r="H27" s="16"/>
      <c r="I27" s="19"/>
      <c r="J27" s="16"/>
      <c r="K27" s="19"/>
      <c r="L27" s="19"/>
      <c r="M27" s="16"/>
      <c r="N27" s="16"/>
      <c r="O27" s="16"/>
      <c r="P27" s="16"/>
      <c r="Q27" s="16"/>
      <c r="R27" s="16"/>
      <c r="S27" s="18"/>
      <c r="T27" s="18"/>
      <c r="U27" s="20"/>
      <c r="V27" s="20"/>
      <c r="W27" s="20"/>
      <c r="X27" s="20"/>
      <c r="Y27" s="20"/>
      <c r="Z27" s="20"/>
      <c r="AA27" s="20"/>
      <c r="AB27" s="20"/>
      <c r="AC27" s="21" t="n">
        <f aca="false">IF(A27="","",SUM(U27:AB27))</f>
        <v>0</v>
      </c>
      <c r="AD27" s="22" t="n">
        <f aca="false">IF(A27="","",SUM($AC$9:AC27))</f>
        <v>0</v>
      </c>
      <c r="AE27" s="23" t="n">
        <f aca="false">IF(A27="","",IF(WEEKDAY(A27,2)=7,"",A27))</f>
        <v>46314</v>
      </c>
    </row>
    <row r="28" customFormat="false" ht="19.5" hidden="false" customHeight="true" outlineLevel="0" collapsed="false">
      <c r="A28" s="14" t="n">
        <f aca="false">IF('4 Monthly Review'!$X$9+ROW()-9&gt;EOMONTH('4 Monthly Review'!$X$9,0),"",'4 Monthly Review'!$X$9+ROW()-9)</f>
        <v>46315</v>
      </c>
      <c r="B28" s="15" t="str">
        <f aca="false">IF(A28="","",TEXT(A28,"ddd"))</f>
        <v>Tue</v>
      </c>
      <c r="C28" s="15" t="n">
        <f aca="false">IF(A28="","",INT((A28-WEEKDAY(A28,3)-('4 Monthly Review'!$X$9-WEEKDAY('4 Monthly Review'!$X$9,3)))/7)+1)</f>
        <v>4</v>
      </c>
      <c r="D28" s="15" t="n">
        <f aca="false">IF(A28="","",IF(OR(WEEKDAY(A28,2)=7,COUNTIF('4 Monthly Review'!$B$26:$AM$26,A28)&gt;0),0,1))</f>
        <v>1</v>
      </c>
      <c r="E28" s="16"/>
      <c r="F28" s="16"/>
      <c r="G28" s="18"/>
      <c r="H28" s="16"/>
      <c r="I28" s="19"/>
      <c r="J28" s="16"/>
      <c r="K28" s="19"/>
      <c r="L28" s="19"/>
      <c r="M28" s="16"/>
      <c r="N28" s="16"/>
      <c r="O28" s="16"/>
      <c r="P28" s="16"/>
      <c r="Q28" s="16"/>
      <c r="R28" s="16"/>
      <c r="S28" s="18"/>
      <c r="T28" s="18"/>
      <c r="U28" s="20"/>
      <c r="V28" s="20"/>
      <c r="W28" s="20"/>
      <c r="X28" s="20"/>
      <c r="Y28" s="20"/>
      <c r="Z28" s="20"/>
      <c r="AA28" s="20"/>
      <c r="AB28" s="20"/>
      <c r="AC28" s="21" t="n">
        <f aca="false">IF(A28="","",SUM(U28:AB28))</f>
        <v>0</v>
      </c>
      <c r="AD28" s="22" t="n">
        <f aca="false">IF(A28="","",SUM($AC$9:AC28))</f>
        <v>0</v>
      </c>
      <c r="AE28" s="23" t="n">
        <f aca="false">IF(A28="","",IF(WEEKDAY(A28,2)=7,"",A28))</f>
        <v>46315</v>
      </c>
    </row>
    <row r="29" customFormat="false" ht="19.5" hidden="false" customHeight="true" outlineLevel="0" collapsed="false">
      <c r="A29" s="14" t="n">
        <f aca="false">IF('4 Monthly Review'!$X$9+ROW()-9&gt;EOMONTH('4 Monthly Review'!$X$9,0),"",'4 Monthly Review'!$X$9+ROW()-9)</f>
        <v>46316</v>
      </c>
      <c r="B29" s="15" t="str">
        <f aca="false">IF(A29="","",TEXT(A29,"ddd"))</f>
        <v>Wed</v>
      </c>
      <c r="C29" s="15" t="n">
        <f aca="false">IF(A29="","",INT((A29-WEEKDAY(A29,3)-('4 Monthly Review'!$X$9-WEEKDAY('4 Monthly Review'!$X$9,3)))/7)+1)</f>
        <v>4</v>
      </c>
      <c r="D29" s="15" t="n">
        <f aca="false">IF(A29="","",IF(OR(WEEKDAY(A29,2)=7,COUNTIF('4 Monthly Review'!$B$26:$AM$26,A29)&gt;0),0,1))</f>
        <v>1</v>
      </c>
      <c r="E29" s="16"/>
      <c r="F29" s="16"/>
      <c r="G29" s="18"/>
      <c r="H29" s="16"/>
      <c r="I29" s="19"/>
      <c r="J29" s="16"/>
      <c r="K29" s="19"/>
      <c r="L29" s="19"/>
      <c r="M29" s="16"/>
      <c r="N29" s="16"/>
      <c r="O29" s="16"/>
      <c r="P29" s="16"/>
      <c r="Q29" s="16"/>
      <c r="R29" s="16"/>
      <c r="S29" s="18"/>
      <c r="T29" s="18"/>
      <c r="U29" s="20"/>
      <c r="V29" s="20"/>
      <c r="W29" s="20"/>
      <c r="X29" s="20"/>
      <c r="Y29" s="20"/>
      <c r="Z29" s="20"/>
      <c r="AA29" s="20"/>
      <c r="AB29" s="20"/>
      <c r="AC29" s="21" t="n">
        <f aca="false">IF(A29="","",SUM(U29:AB29))</f>
        <v>0</v>
      </c>
      <c r="AD29" s="22" t="n">
        <f aca="false">IF(A29="","",SUM($AC$9:AC29))</f>
        <v>0</v>
      </c>
      <c r="AE29" s="23" t="n">
        <f aca="false">IF(A29="","",IF(WEEKDAY(A29,2)=7,"",A29))</f>
        <v>46316</v>
      </c>
    </row>
    <row r="30" customFormat="false" ht="19.5" hidden="false" customHeight="true" outlineLevel="0" collapsed="false">
      <c r="A30" s="14" t="n">
        <f aca="false">IF('4 Monthly Review'!$X$9+ROW()-9&gt;EOMONTH('4 Monthly Review'!$X$9,0),"",'4 Monthly Review'!$X$9+ROW()-9)</f>
        <v>46317</v>
      </c>
      <c r="B30" s="15" t="str">
        <f aca="false">IF(A30="","",TEXT(A30,"ddd"))</f>
        <v>Thu</v>
      </c>
      <c r="C30" s="15" t="n">
        <f aca="false">IF(A30="","",INT((A30-WEEKDAY(A30,3)-('4 Monthly Review'!$X$9-WEEKDAY('4 Monthly Review'!$X$9,3)))/7)+1)</f>
        <v>4</v>
      </c>
      <c r="D30" s="15" t="n">
        <f aca="false">IF(A30="","",IF(OR(WEEKDAY(A30,2)=7,COUNTIF('4 Monthly Review'!$B$26:$AM$26,A30)&gt;0),0,1))</f>
        <v>1</v>
      </c>
      <c r="E30" s="16"/>
      <c r="F30" s="16"/>
      <c r="G30" s="18"/>
      <c r="H30" s="16"/>
      <c r="I30" s="19"/>
      <c r="J30" s="16"/>
      <c r="K30" s="19"/>
      <c r="L30" s="19"/>
      <c r="M30" s="16"/>
      <c r="N30" s="16"/>
      <c r="O30" s="16"/>
      <c r="P30" s="16"/>
      <c r="Q30" s="16"/>
      <c r="R30" s="16"/>
      <c r="S30" s="18"/>
      <c r="T30" s="18"/>
      <c r="U30" s="20"/>
      <c r="V30" s="20"/>
      <c r="W30" s="20"/>
      <c r="X30" s="20"/>
      <c r="Y30" s="20"/>
      <c r="Z30" s="20"/>
      <c r="AA30" s="20"/>
      <c r="AB30" s="20"/>
      <c r="AC30" s="21" t="n">
        <f aca="false">IF(A30="","",SUM(U30:AB30))</f>
        <v>0</v>
      </c>
      <c r="AD30" s="22" t="n">
        <f aca="false">IF(A30="","",SUM($AC$9:AC30))</f>
        <v>0</v>
      </c>
      <c r="AE30" s="23" t="n">
        <f aca="false">IF(A30="","",IF(WEEKDAY(A30,2)=7,"",A30))</f>
        <v>46317</v>
      </c>
    </row>
    <row r="31" customFormat="false" ht="19.5" hidden="false" customHeight="true" outlineLevel="0" collapsed="false">
      <c r="A31" s="14" t="n">
        <f aca="false">IF('4 Monthly Review'!$X$9+ROW()-9&gt;EOMONTH('4 Monthly Review'!$X$9,0),"",'4 Monthly Review'!$X$9+ROW()-9)</f>
        <v>46318</v>
      </c>
      <c r="B31" s="15" t="str">
        <f aca="false">IF(A31="","",TEXT(A31,"ddd"))</f>
        <v>Fri</v>
      </c>
      <c r="C31" s="15" t="n">
        <f aca="false">IF(A31="","",INT((A31-WEEKDAY(A31,3)-('4 Monthly Review'!$X$9-WEEKDAY('4 Monthly Review'!$X$9,3)))/7)+1)</f>
        <v>4</v>
      </c>
      <c r="D31" s="15" t="n">
        <f aca="false">IF(A31="","",IF(OR(WEEKDAY(A31,2)=7,COUNTIF('4 Monthly Review'!$B$26:$AM$26,A31)&gt;0),0,1))</f>
        <v>1</v>
      </c>
      <c r="E31" s="16"/>
      <c r="F31" s="16"/>
      <c r="G31" s="18"/>
      <c r="H31" s="16"/>
      <c r="I31" s="19"/>
      <c r="J31" s="16"/>
      <c r="K31" s="19"/>
      <c r="L31" s="19"/>
      <c r="M31" s="16"/>
      <c r="N31" s="16"/>
      <c r="O31" s="16"/>
      <c r="P31" s="16"/>
      <c r="Q31" s="16"/>
      <c r="R31" s="16"/>
      <c r="S31" s="18"/>
      <c r="T31" s="18"/>
      <c r="U31" s="20"/>
      <c r="V31" s="20"/>
      <c r="W31" s="20"/>
      <c r="X31" s="20"/>
      <c r="Y31" s="20"/>
      <c r="Z31" s="20"/>
      <c r="AA31" s="20"/>
      <c r="AB31" s="20"/>
      <c r="AC31" s="21" t="n">
        <f aca="false">IF(A31="","",SUM(U31:AB31))</f>
        <v>0</v>
      </c>
      <c r="AD31" s="22" t="n">
        <f aca="false">IF(A31="","",SUM($AC$9:AC31))</f>
        <v>0</v>
      </c>
      <c r="AE31" s="23" t="n">
        <f aca="false">IF(A31="","",IF(WEEKDAY(A31,2)=7,"",A31))</f>
        <v>46318</v>
      </c>
    </row>
    <row r="32" customFormat="false" ht="19.5" hidden="false" customHeight="true" outlineLevel="0" collapsed="false">
      <c r="A32" s="14" t="n">
        <f aca="false">IF('4 Monthly Review'!$X$9+ROW()-9&gt;EOMONTH('4 Monthly Review'!$X$9,0),"",'4 Monthly Review'!$X$9+ROW()-9)</f>
        <v>46319</v>
      </c>
      <c r="B32" s="15" t="str">
        <f aca="false">IF(A32="","",TEXT(A32,"ddd"))</f>
        <v>Sat</v>
      </c>
      <c r="C32" s="15" t="n">
        <f aca="false">IF(A32="","",INT((A32-WEEKDAY(A32,3)-('4 Monthly Review'!$X$9-WEEKDAY('4 Monthly Review'!$X$9,3)))/7)+1)</f>
        <v>4</v>
      </c>
      <c r="D32" s="15" t="n">
        <f aca="false">IF(A32="","",IF(OR(WEEKDAY(A32,2)=7,COUNTIF('4 Monthly Review'!$B$26:$AM$26,A32)&gt;0),0,1))</f>
        <v>1</v>
      </c>
      <c r="E32" s="16"/>
      <c r="F32" s="16"/>
      <c r="G32" s="18"/>
      <c r="H32" s="16"/>
      <c r="I32" s="19"/>
      <c r="J32" s="16"/>
      <c r="K32" s="19"/>
      <c r="L32" s="19"/>
      <c r="M32" s="16"/>
      <c r="N32" s="16"/>
      <c r="O32" s="16"/>
      <c r="P32" s="16"/>
      <c r="Q32" s="16"/>
      <c r="R32" s="16"/>
      <c r="S32" s="18"/>
      <c r="T32" s="18"/>
      <c r="U32" s="20"/>
      <c r="V32" s="20"/>
      <c r="W32" s="20"/>
      <c r="X32" s="20"/>
      <c r="Y32" s="20"/>
      <c r="Z32" s="20"/>
      <c r="AA32" s="20"/>
      <c r="AB32" s="20"/>
      <c r="AC32" s="21" t="n">
        <f aca="false">IF(A32="","",SUM(U32:AB32))</f>
        <v>0</v>
      </c>
      <c r="AD32" s="22" t="n">
        <f aca="false">IF(A32="","",SUM($AC$9:AC32))</f>
        <v>0</v>
      </c>
      <c r="AE32" s="23" t="n">
        <f aca="false">IF(A32="","",IF(WEEKDAY(A32,2)=7,"",A32))</f>
        <v>46319</v>
      </c>
    </row>
    <row r="33" customFormat="false" ht="19.5" hidden="false" customHeight="true" outlineLevel="0" collapsed="false">
      <c r="A33" s="14" t="n">
        <f aca="false">IF('4 Monthly Review'!$X$9+ROW()-9&gt;EOMONTH('4 Monthly Review'!$X$9,0),"",'4 Monthly Review'!$X$9+ROW()-9)</f>
        <v>46320</v>
      </c>
      <c r="B33" s="15" t="str">
        <f aca="false">IF(A33="","",TEXT(A33,"ddd"))</f>
        <v>Sun</v>
      </c>
      <c r="C33" s="15" t="n">
        <f aca="false">IF(A33="","",INT((A33-WEEKDAY(A33,3)-('4 Monthly Review'!$X$9-WEEKDAY('4 Monthly Review'!$X$9,3)))/7)+1)</f>
        <v>4</v>
      </c>
      <c r="D33" s="15" t="n">
        <f aca="false">IF(A33="","",IF(OR(WEEKDAY(A33,2)=7,COUNTIF('4 Monthly Review'!$B$26:$AM$26,A33)&gt;0),0,1))</f>
        <v>0</v>
      </c>
      <c r="E33" s="16"/>
      <c r="F33" s="16"/>
      <c r="G33" s="18"/>
      <c r="H33" s="16"/>
      <c r="I33" s="19"/>
      <c r="J33" s="16"/>
      <c r="K33" s="19"/>
      <c r="L33" s="19"/>
      <c r="M33" s="16"/>
      <c r="N33" s="16"/>
      <c r="O33" s="16"/>
      <c r="P33" s="16"/>
      <c r="Q33" s="16"/>
      <c r="R33" s="16"/>
      <c r="S33" s="18"/>
      <c r="T33" s="18"/>
      <c r="U33" s="20"/>
      <c r="V33" s="20"/>
      <c r="W33" s="20"/>
      <c r="X33" s="20"/>
      <c r="Y33" s="20"/>
      <c r="Z33" s="20"/>
      <c r="AA33" s="20"/>
      <c r="AB33" s="20"/>
      <c r="AC33" s="21" t="n">
        <f aca="false">IF(A33="","",SUM(U33:AB33))</f>
        <v>0</v>
      </c>
      <c r="AD33" s="22" t="n">
        <f aca="false">IF(A33="","",SUM($AC$9:AC33))</f>
        <v>0</v>
      </c>
      <c r="AE33" s="23" t="str">
        <f aca="false">IF(A33="","",IF(WEEKDAY(A33,2)=7,"",A33))</f>
        <v/>
      </c>
    </row>
    <row r="34" customFormat="false" ht="19.5" hidden="false" customHeight="true" outlineLevel="0" collapsed="false">
      <c r="A34" s="14" t="n">
        <f aca="false">IF('4 Monthly Review'!$X$9+ROW()-9&gt;EOMONTH('4 Monthly Review'!$X$9,0),"",'4 Monthly Review'!$X$9+ROW()-9)</f>
        <v>46321</v>
      </c>
      <c r="B34" s="15" t="str">
        <f aca="false">IF(A34="","",TEXT(A34,"ddd"))</f>
        <v>Mon</v>
      </c>
      <c r="C34" s="15" t="n">
        <f aca="false">IF(A34="","",INT((A34-WEEKDAY(A34,3)-('4 Monthly Review'!$X$9-WEEKDAY('4 Monthly Review'!$X$9,3)))/7)+1)</f>
        <v>5</v>
      </c>
      <c r="D34" s="15" t="n">
        <f aca="false">IF(A34="","",IF(OR(WEEKDAY(A34,2)=7,COUNTIF('4 Monthly Review'!$B$26:$AM$26,A34)&gt;0),0,1))</f>
        <v>1</v>
      </c>
      <c r="E34" s="16"/>
      <c r="F34" s="16"/>
      <c r="G34" s="18"/>
      <c r="H34" s="16"/>
      <c r="I34" s="19"/>
      <c r="J34" s="16"/>
      <c r="K34" s="19"/>
      <c r="L34" s="19"/>
      <c r="M34" s="16"/>
      <c r="N34" s="16"/>
      <c r="O34" s="16"/>
      <c r="P34" s="16"/>
      <c r="Q34" s="16"/>
      <c r="R34" s="16"/>
      <c r="S34" s="18"/>
      <c r="T34" s="18"/>
      <c r="U34" s="20"/>
      <c r="V34" s="20"/>
      <c r="W34" s="20"/>
      <c r="X34" s="20"/>
      <c r="Y34" s="20"/>
      <c r="Z34" s="20"/>
      <c r="AA34" s="20"/>
      <c r="AB34" s="20"/>
      <c r="AC34" s="21" t="n">
        <f aca="false">IF(A34="","",SUM(U34:AB34))</f>
        <v>0</v>
      </c>
      <c r="AD34" s="22" t="n">
        <f aca="false">IF(A34="","",SUM($AC$9:AC34))</f>
        <v>0</v>
      </c>
      <c r="AE34" s="23" t="n">
        <f aca="false">IF(A34="","",IF(WEEKDAY(A34,2)=7,"",A34))</f>
        <v>46321</v>
      </c>
    </row>
    <row r="35" customFormat="false" ht="19.5" hidden="false" customHeight="true" outlineLevel="0" collapsed="false">
      <c r="A35" s="14" t="n">
        <f aca="false">IF('4 Monthly Review'!$X$9+ROW()-9&gt;EOMONTH('4 Monthly Review'!$X$9,0),"",'4 Monthly Review'!$X$9+ROW()-9)</f>
        <v>46322</v>
      </c>
      <c r="B35" s="15" t="str">
        <f aca="false">IF(A35="","",TEXT(A35,"ddd"))</f>
        <v>Tue</v>
      </c>
      <c r="C35" s="15" t="n">
        <f aca="false">IF(A35="","",INT((A35-WEEKDAY(A35,3)-('4 Monthly Review'!$X$9-WEEKDAY('4 Monthly Review'!$X$9,3)))/7)+1)</f>
        <v>5</v>
      </c>
      <c r="D35" s="15" t="n">
        <f aca="false">IF(A35="","",IF(OR(WEEKDAY(A35,2)=7,COUNTIF('4 Monthly Review'!$B$26:$AM$26,A35)&gt;0),0,1))</f>
        <v>1</v>
      </c>
      <c r="E35" s="16"/>
      <c r="F35" s="16"/>
      <c r="G35" s="18"/>
      <c r="H35" s="16"/>
      <c r="I35" s="19"/>
      <c r="J35" s="16"/>
      <c r="K35" s="19"/>
      <c r="L35" s="19"/>
      <c r="M35" s="16"/>
      <c r="N35" s="16"/>
      <c r="O35" s="16"/>
      <c r="P35" s="16"/>
      <c r="Q35" s="16"/>
      <c r="R35" s="16"/>
      <c r="S35" s="18"/>
      <c r="T35" s="18"/>
      <c r="U35" s="20"/>
      <c r="V35" s="20"/>
      <c r="W35" s="20"/>
      <c r="X35" s="20"/>
      <c r="Y35" s="20"/>
      <c r="Z35" s="20"/>
      <c r="AA35" s="20"/>
      <c r="AB35" s="20"/>
      <c r="AC35" s="21" t="n">
        <f aca="false">IF(A35="","",SUM(U35:AB35))</f>
        <v>0</v>
      </c>
      <c r="AD35" s="22" t="n">
        <f aca="false">IF(A35="","",SUM($AC$9:AC35))</f>
        <v>0</v>
      </c>
      <c r="AE35" s="23" t="n">
        <f aca="false">IF(A35="","",IF(WEEKDAY(A35,2)=7,"",A35))</f>
        <v>46322</v>
      </c>
    </row>
    <row r="36" customFormat="false" ht="19.5" hidden="false" customHeight="true" outlineLevel="0" collapsed="false">
      <c r="A36" s="14" t="n">
        <f aca="false">IF('4 Monthly Review'!$X$9+ROW()-9&gt;EOMONTH('4 Monthly Review'!$X$9,0),"",'4 Monthly Review'!$X$9+ROW()-9)</f>
        <v>46323</v>
      </c>
      <c r="B36" s="15" t="str">
        <f aca="false">IF(A36="","",TEXT(A36,"ddd"))</f>
        <v>Wed</v>
      </c>
      <c r="C36" s="15" t="n">
        <f aca="false">IF(A36="","",INT((A36-WEEKDAY(A36,3)-('4 Monthly Review'!$X$9-WEEKDAY('4 Monthly Review'!$X$9,3)))/7)+1)</f>
        <v>5</v>
      </c>
      <c r="D36" s="15" t="n">
        <f aca="false">IF(A36="","",IF(OR(WEEKDAY(A36,2)=7,COUNTIF('4 Monthly Review'!$B$26:$AM$26,A36)&gt;0),0,1))</f>
        <v>1</v>
      </c>
      <c r="E36" s="16"/>
      <c r="F36" s="16"/>
      <c r="G36" s="18"/>
      <c r="H36" s="16"/>
      <c r="I36" s="19"/>
      <c r="J36" s="16"/>
      <c r="K36" s="19"/>
      <c r="L36" s="19"/>
      <c r="M36" s="16"/>
      <c r="N36" s="16"/>
      <c r="O36" s="16"/>
      <c r="P36" s="16"/>
      <c r="Q36" s="16"/>
      <c r="R36" s="16"/>
      <c r="S36" s="18"/>
      <c r="T36" s="18"/>
      <c r="U36" s="20"/>
      <c r="V36" s="20"/>
      <c r="W36" s="20"/>
      <c r="X36" s="20"/>
      <c r="Y36" s="20"/>
      <c r="Z36" s="20"/>
      <c r="AA36" s="20"/>
      <c r="AB36" s="20"/>
      <c r="AC36" s="21" t="n">
        <f aca="false">IF(A36="","",SUM(U36:AB36))</f>
        <v>0</v>
      </c>
      <c r="AD36" s="22" t="n">
        <f aca="false">IF(A36="","",SUM($AC$9:AC36))</f>
        <v>0</v>
      </c>
      <c r="AE36" s="23" t="n">
        <f aca="false">IF(A36="","",IF(WEEKDAY(A36,2)=7,"",A36))</f>
        <v>46323</v>
      </c>
    </row>
    <row r="37" customFormat="false" ht="19.5" hidden="false" customHeight="true" outlineLevel="0" collapsed="false">
      <c r="A37" s="14" t="n">
        <f aca="false">IF('4 Monthly Review'!$X$9+ROW()-9&gt;EOMONTH('4 Monthly Review'!$X$9,0),"",'4 Monthly Review'!$X$9+ROW()-9)</f>
        <v>46324</v>
      </c>
      <c r="B37" s="15" t="str">
        <f aca="false">IF(A37="","",TEXT(A37,"ddd"))</f>
        <v>Thu</v>
      </c>
      <c r="C37" s="15" t="n">
        <f aca="false">IF(A37="","",INT((A37-WEEKDAY(A37,3)-('4 Monthly Review'!$X$9-WEEKDAY('4 Monthly Review'!$X$9,3)))/7)+1)</f>
        <v>5</v>
      </c>
      <c r="D37" s="15" t="n">
        <f aca="false">IF(A37="","",IF(OR(WEEKDAY(A37,2)=7,COUNTIF('4 Monthly Review'!$B$26:$AM$26,A37)&gt;0),0,1))</f>
        <v>1</v>
      </c>
      <c r="E37" s="16"/>
      <c r="F37" s="16"/>
      <c r="G37" s="18"/>
      <c r="H37" s="16"/>
      <c r="I37" s="19"/>
      <c r="J37" s="16"/>
      <c r="K37" s="19"/>
      <c r="L37" s="19"/>
      <c r="M37" s="16"/>
      <c r="N37" s="16"/>
      <c r="O37" s="16"/>
      <c r="P37" s="16"/>
      <c r="Q37" s="16"/>
      <c r="R37" s="16"/>
      <c r="S37" s="18"/>
      <c r="T37" s="18"/>
      <c r="U37" s="20"/>
      <c r="V37" s="20"/>
      <c r="W37" s="20"/>
      <c r="X37" s="20"/>
      <c r="Y37" s="20"/>
      <c r="Z37" s="20"/>
      <c r="AA37" s="20"/>
      <c r="AB37" s="20"/>
      <c r="AC37" s="21" t="n">
        <f aca="false">IF(A37="","",SUM(U37:AB37))</f>
        <v>0</v>
      </c>
      <c r="AD37" s="22" t="n">
        <f aca="false">IF(A37="","",SUM($AC$9:AC37))</f>
        <v>0</v>
      </c>
      <c r="AE37" s="23" t="n">
        <f aca="false">IF(A37="","",IF(WEEKDAY(A37,2)=7,"",A37))</f>
        <v>46324</v>
      </c>
    </row>
    <row r="38" customFormat="false" ht="19.5" hidden="false" customHeight="true" outlineLevel="0" collapsed="false">
      <c r="A38" s="14" t="n">
        <f aca="false">IF('4 Monthly Review'!$X$9+ROW()-9&gt;EOMONTH('4 Monthly Review'!$X$9,0),"",'4 Monthly Review'!$X$9+ROW()-9)</f>
        <v>46325</v>
      </c>
      <c r="B38" s="15" t="str">
        <f aca="false">IF(A38="","",TEXT(A38,"ddd"))</f>
        <v>Fri</v>
      </c>
      <c r="C38" s="15" t="n">
        <f aca="false">IF(A38="","",INT((A38-WEEKDAY(A38,3)-('4 Monthly Review'!$X$9-WEEKDAY('4 Monthly Review'!$X$9,3)))/7)+1)</f>
        <v>5</v>
      </c>
      <c r="D38" s="15" t="n">
        <f aca="false">IF(A38="","",IF(OR(WEEKDAY(A38,2)=7,COUNTIF('4 Monthly Review'!$B$26:$AM$26,A38)&gt;0),0,1))</f>
        <v>1</v>
      </c>
      <c r="E38" s="16"/>
      <c r="F38" s="16"/>
      <c r="G38" s="18"/>
      <c r="H38" s="16"/>
      <c r="I38" s="19"/>
      <c r="J38" s="16"/>
      <c r="K38" s="19"/>
      <c r="L38" s="19"/>
      <c r="M38" s="16"/>
      <c r="N38" s="16"/>
      <c r="O38" s="16"/>
      <c r="P38" s="16"/>
      <c r="Q38" s="16"/>
      <c r="R38" s="16"/>
      <c r="S38" s="18"/>
      <c r="T38" s="18"/>
      <c r="U38" s="20"/>
      <c r="V38" s="20"/>
      <c r="W38" s="20"/>
      <c r="X38" s="20"/>
      <c r="Y38" s="20"/>
      <c r="Z38" s="20"/>
      <c r="AA38" s="20"/>
      <c r="AB38" s="20"/>
      <c r="AC38" s="21" t="n">
        <f aca="false">IF(A38="","",SUM(U38:AB38))</f>
        <v>0</v>
      </c>
      <c r="AD38" s="22" t="n">
        <f aca="false">IF(A38="","",SUM($AC$9:AC38))</f>
        <v>0</v>
      </c>
      <c r="AE38" s="23" t="n">
        <f aca="false">IF(A38="","",IF(WEEKDAY(A38,2)=7,"",A38))</f>
        <v>46325</v>
      </c>
    </row>
    <row r="39" customFormat="false" ht="19.5" hidden="false" customHeight="true" outlineLevel="0" collapsed="false">
      <c r="A39" s="14" t="n">
        <f aca="false">IF('4 Monthly Review'!$X$9+ROW()-9&gt;EOMONTH('4 Monthly Review'!$X$9,0),"",'4 Monthly Review'!$X$9+ROW()-9)</f>
        <v>46326</v>
      </c>
      <c r="B39" s="15" t="str">
        <f aca="false">IF(A39="","",TEXT(A39,"ddd"))</f>
        <v>Sat</v>
      </c>
      <c r="C39" s="15" t="n">
        <f aca="false">IF(A39="","",INT((A39-WEEKDAY(A39,3)-('4 Monthly Review'!$X$9-WEEKDAY('4 Monthly Review'!$X$9,3)))/7)+1)</f>
        <v>5</v>
      </c>
      <c r="D39" s="15" t="n">
        <f aca="false">IF(A39="","",IF(OR(WEEKDAY(A39,2)=7,COUNTIF('4 Monthly Review'!$B$26:$AM$26,A39)&gt;0),0,1))</f>
        <v>1</v>
      </c>
      <c r="E39" s="16"/>
      <c r="F39" s="16"/>
      <c r="G39" s="18"/>
      <c r="H39" s="16"/>
      <c r="I39" s="19"/>
      <c r="J39" s="16"/>
      <c r="K39" s="19"/>
      <c r="L39" s="19"/>
      <c r="M39" s="16"/>
      <c r="N39" s="16"/>
      <c r="O39" s="16"/>
      <c r="P39" s="16"/>
      <c r="Q39" s="16"/>
      <c r="R39" s="16"/>
      <c r="S39" s="18"/>
      <c r="T39" s="18"/>
      <c r="U39" s="20"/>
      <c r="V39" s="20"/>
      <c r="W39" s="20"/>
      <c r="X39" s="20"/>
      <c r="Y39" s="20"/>
      <c r="Z39" s="20"/>
      <c r="AA39" s="20"/>
      <c r="AB39" s="20"/>
      <c r="AC39" s="21" t="n">
        <f aca="false">IF(A39="","",SUM(U39:AB39))</f>
        <v>0</v>
      </c>
      <c r="AD39" s="22" t="n">
        <f aca="false">IF(A39="","",SUM($AC$9:AC39))</f>
        <v>0</v>
      </c>
      <c r="AE39" s="23" t="n">
        <f aca="false">IF(A39="","",IF(WEEKDAY(A39,2)=7,"",A39))</f>
        <v>46326</v>
      </c>
    </row>
    <row r="40" customFormat="false" ht="21.75" hidden="false" customHeight="true" outlineLevel="0" collapsed="false">
      <c r="A40" s="24" t="s">
        <v>45</v>
      </c>
      <c r="B40" s="24"/>
      <c r="C40" s="24"/>
      <c r="D40" s="24"/>
      <c r="E40" s="25" t="n">
        <f aca="false">SUM(E9:E39)</f>
        <v>21</v>
      </c>
      <c r="F40" s="25" t="n">
        <f aca="false">SUM(F9:F39)</f>
        <v>9</v>
      </c>
      <c r="G40" s="26"/>
      <c r="H40" s="25" t="n">
        <f aca="false">SUM(H9:H39)</f>
        <v>6</v>
      </c>
      <c r="I40" s="26"/>
      <c r="J40" s="25" t="n">
        <f aca="false">SUM(J9:J39)</f>
        <v>2</v>
      </c>
      <c r="K40" s="26"/>
      <c r="L40" s="26"/>
      <c r="M40" s="25" t="n">
        <f aca="false">SUM(M9:M39)</f>
        <v>5</v>
      </c>
      <c r="N40" s="25" t="n">
        <f aca="false">SUM(N9:N39)</f>
        <v>21</v>
      </c>
      <c r="O40" s="25" t="n">
        <f aca="false">SUM(O9:O39)</f>
        <v>0</v>
      </c>
      <c r="P40" s="25" t="n">
        <f aca="false">SUM(P9:P39)</f>
        <v>0</v>
      </c>
      <c r="Q40" s="25" t="n">
        <f aca="false">SUM(Q9:Q39)</f>
        <v>0</v>
      </c>
      <c r="R40" s="25" t="n">
        <f aca="false">SUM(R9:R39)</f>
        <v>2</v>
      </c>
      <c r="S40" s="26"/>
      <c r="T40" s="26"/>
      <c r="U40" s="27" t="n">
        <f aca="false">SUM(U9:U39)</f>
        <v>0</v>
      </c>
      <c r="V40" s="27" t="n">
        <f aca="false">SUM(V9:V39)</f>
        <v>0</v>
      </c>
      <c r="W40" s="27" t="n">
        <f aca="false">SUM(W9:W39)</f>
        <v>0</v>
      </c>
      <c r="X40" s="27" t="n">
        <f aca="false">SUM(X9:X39)</f>
        <v>0</v>
      </c>
      <c r="Y40" s="27" t="n">
        <f aca="false">SUM(Y9:Y39)</f>
        <v>0</v>
      </c>
      <c r="Z40" s="27" t="n">
        <f aca="false">SUM(Z9:Z39)</f>
        <v>0</v>
      </c>
      <c r="AA40" s="27" t="n">
        <f aca="false">SUM(AA9:AA39)</f>
        <v>0</v>
      </c>
      <c r="AB40" s="27" t="n">
        <f aca="false">SUM(AB9:AB39)</f>
        <v>0</v>
      </c>
      <c r="AC40" s="27" t="n">
        <f aca="false">SUM(AC9:AC39)</f>
        <v>0</v>
      </c>
      <c r="AD40" s="26"/>
    </row>
  </sheetData>
  <mergeCells count="11">
    <mergeCell ref="A1:L1"/>
    <mergeCell ref="A2:L2"/>
    <mergeCell ref="A3:T3"/>
    <mergeCell ref="A4:T4"/>
    <mergeCell ref="A7:D7"/>
    <mergeCell ref="E7:G7"/>
    <mergeCell ref="H7:M7"/>
    <mergeCell ref="N7:S7"/>
    <mergeCell ref="U7:AB7"/>
    <mergeCell ref="AC7:AD7"/>
    <mergeCell ref="A40:D40"/>
  </mergeCells>
  <printOptions headings="false" gridLines="false" gridLinesSet="true" horizontalCentered="true" verticalCentered="false"/>
  <pageMargins left="0.3" right="0.3" top="0.3" bottom="0.3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C8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.2"/>
    <col collapsed="false" customWidth="true" hidden="false" outlineLevel="0" max="55" min="2" style="0" width="2.3"/>
    <col collapsed="false" customWidth="true" hidden="false" outlineLevel="0" max="56" min="56" style="0" width="1.2"/>
  </cols>
  <sheetData>
    <row r="1" customFormat="false" ht="7.5" hidden="false" customHeight="true" outlineLevel="0" collapsed="false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</row>
    <row r="2" customFormat="false" ht="19.5" hidden="false" customHeight="true" outlineLevel="0" collapsed="false">
      <c r="B2" s="2"/>
      <c r="C2" s="28" t="s">
        <v>46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"/>
      <c r="AS2" s="2"/>
      <c r="AT2" s="2"/>
      <c r="AU2" s="29" t="s">
        <v>47</v>
      </c>
      <c r="AV2" s="29"/>
      <c r="AW2" s="29"/>
      <c r="AX2" s="29"/>
      <c r="AY2" s="29"/>
      <c r="AZ2" s="29"/>
      <c r="BA2" s="29"/>
      <c r="BB2" s="2"/>
      <c r="BC2" s="2"/>
    </row>
    <row r="3" customFormat="false" ht="30" hidden="false" customHeight="true" outlineLevel="0" collapsed="false">
      <c r="B3" s="2"/>
      <c r="C3" s="30" t="s">
        <v>48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1" t="s">
        <v>49</v>
      </c>
      <c r="AS3" s="31"/>
      <c r="AT3" s="31"/>
      <c r="AU3" s="31"/>
      <c r="AV3" s="31"/>
      <c r="AW3" s="31"/>
      <c r="AX3" s="31"/>
      <c r="AY3" s="31"/>
      <c r="AZ3" s="31"/>
      <c r="BA3" s="31"/>
      <c r="BB3" s="2"/>
      <c r="BC3" s="2"/>
    </row>
    <row r="4" customFormat="false" ht="15.75" hidden="false" customHeight="true" outlineLevel="0" collapsed="false">
      <c r="B4" s="2"/>
      <c r="C4" s="32" t="s">
        <v>50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</row>
    <row r="5" customFormat="false" ht="9.75" hidden="false" customHeight="true" outlineLevel="0" collapsed="false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</row>
    <row r="6" customFormat="false" ht="3.75" hidden="false" customHeight="true" outlineLevel="0" collapsed="false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</row>
    <row r="7" customFormat="false" ht="7.5" hidden="false" customHeight="true" outlineLevel="0" collapsed="false"/>
    <row r="8" customFormat="false" ht="13.5" hidden="false" customHeight="true" outlineLevel="0" collapsed="false">
      <c r="B8" s="33" t="s">
        <v>51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U8" s="33" t="s">
        <v>10</v>
      </c>
      <c r="V8" s="33"/>
      <c r="W8" s="33"/>
      <c r="X8" s="33"/>
      <c r="Y8" s="33"/>
      <c r="Z8" s="33"/>
      <c r="AA8" s="33"/>
      <c r="AB8" s="33"/>
      <c r="AC8" s="33"/>
      <c r="AD8" s="33"/>
      <c r="AE8" s="33"/>
      <c r="AG8" s="33" t="s">
        <v>52</v>
      </c>
      <c r="AH8" s="33"/>
      <c r="AI8" s="33"/>
      <c r="AJ8" s="33"/>
      <c r="AK8" s="33"/>
      <c r="AL8" s="33"/>
      <c r="AM8" s="33"/>
      <c r="AN8" s="33"/>
      <c r="AO8" s="33"/>
      <c r="AP8" s="33"/>
      <c r="AQ8" s="33"/>
      <c r="AS8" s="33" t="s">
        <v>53</v>
      </c>
      <c r="AT8" s="33"/>
      <c r="AU8" s="33"/>
      <c r="AV8" s="33"/>
      <c r="AW8" s="33"/>
      <c r="AX8" s="33"/>
      <c r="AY8" s="33"/>
      <c r="AZ8" s="33"/>
      <c r="BA8" s="33"/>
      <c r="BB8" s="33"/>
      <c r="BC8" s="33"/>
    </row>
    <row r="9" customFormat="false" ht="21.75" hidden="false" customHeight="true" outlineLevel="0" collapsed="false">
      <c r="B9" s="34" t="str">
        <f aca="false">'4 Monthly Review'!$B$9</f>
        <v>Bindhya TB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U9" s="34" t="str">
        <f aca="false">'4 Monthly Review'!$O$9</f>
        <v>Tourism &amp; Business</v>
      </c>
      <c r="V9" s="34"/>
      <c r="W9" s="34"/>
      <c r="X9" s="34"/>
      <c r="Y9" s="34"/>
      <c r="Z9" s="34"/>
      <c r="AA9" s="34"/>
      <c r="AB9" s="34"/>
      <c r="AC9" s="34"/>
      <c r="AD9" s="34"/>
      <c r="AE9" s="34"/>
      <c r="AG9" s="35" t="n">
        <f aca="false">IFERROR(INDEX('4 Monthly Review'!$F$18:$F$22,'3 Weekly Report'!$H$2),"")</f>
        <v>46296</v>
      </c>
      <c r="AH9" s="35"/>
      <c r="AI9" s="35"/>
      <c r="AJ9" s="35"/>
      <c r="AK9" s="35"/>
      <c r="AL9" s="35"/>
      <c r="AM9" s="35"/>
      <c r="AN9" s="35"/>
      <c r="AO9" s="35"/>
      <c r="AP9" s="35"/>
      <c r="AQ9" s="35"/>
      <c r="AS9" s="35" t="n">
        <f aca="false">IFERROR(INDEX('4 Monthly Review'!$K$18:$K$22,'3 Weekly Report'!$H$2),"")</f>
        <v>46298</v>
      </c>
      <c r="AT9" s="35"/>
      <c r="AU9" s="35"/>
      <c r="AV9" s="35"/>
      <c r="AW9" s="35"/>
      <c r="AX9" s="35"/>
      <c r="AY9" s="35"/>
      <c r="AZ9" s="35"/>
      <c r="BA9" s="35"/>
      <c r="BB9" s="35"/>
      <c r="BC9" s="35"/>
    </row>
    <row r="10" customFormat="false" ht="6" hidden="false" customHeight="true" outlineLevel="0" collapsed="false"/>
    <row r="11" customFormat="false" ht="21.75" hidden="false" customHeight="true" outlineLevel="0" collapsed="false">
      <c r="B11" s="36" t="str">
        <f aca="false">"Showing WEEK "&amp;'3 Weekly Report'!$H$2&amp;" in the Weekly Summary below. Change the week on sheet 3 (Weekly Report). Logs further down hold the whole month."</f>
        <v>Showing WEEK 1 in the Weekly Summary below. Change the week on sheet 3 (Weekly Report). Logs further down hold the whole month.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</row>
    <row r="13" customFormat="false" ht="21.75" hidden="false" customHeight="true" outlineLevel="0" collapsed="false">
      <c r="B13" s="6"/>
      <c r="C13" s="37" t="s">
        <v>54</v>
      </c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8" t="s">
        <v>55</v>
      </c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</row>
    <row r="14" customFormat="false" ht="19.5" hidden="false" customHeight="true" outlineLevel="0" collapsed="false">
      <c r="B14" s="39"/>
      <c r="C14" s="40" t="s">
        <v>56</v>
      </c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1"/>
      <c r="P14" s="39"/>
      <c r="Q14" s="40" t="s">
        <v>57</v>
      </c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1"/>
      <c r="AD14" s="39"/>
      <c r="AE14" s="40" t="s">
        <v>58</v>
      </c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1"/>
      <c r="AR14" s="39"/>
      <c r="AS14" s="40" t="s">
        <v>59</v>
      </c>
      <c r="AT14" s="40"/>
      <c r="AU14" s="40"/>
      <c r="AV14" s="40"/>
      <c r="AW14" s="40"/>
      <c r="AX14" s="40"/>
      <c r="AY14" s="40"/>
      <c r="AZ14" s="40"/>
      <c r="BA14" s="40"/>
      <c r="BB14" s="40"/>
      <c r="BC14" s="41"/>
    </row>
    <row r="15" customFormat="false" ht="12" hidden="false" customHeight="true" outlineLevel="0" collapsed="false">
      <c r="B15" s="42"/>
      <c r="C15" s="43" t="s">
        <v>60</v>
      </c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4"/>
      <c r="P15" s="42"/>
      <c r="Q15" s="43" t="s">
        <v>60</v>
      </c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4"/>
      <c r="AD15" s="42"/>
      <c r="AE15" s="43" t="s">
        <v>60</v>
      </c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4"/>
      <c r="AR15" s="42"/>
      <c r="AS15" s="43" t="s">
        <v>60</v>
      </c>
      <c r="AT15" s="43"/>
      <c r="AU15" s="43"/>
      <c r="AV15" s="43"/>
      <c r="AW15" s="43"/>
      <c r="AX15" s="45"/>
      <c r="AY15" s="43" t="s">
        <v>61</v>
      </c>
      <c r="AZ15" s="43"/>
      <c r="BA15" s="43"/>
      <c r="BB15" s="43"/>
      <c r="BC15" s="44"/>
    </row>
    <row r="16" customFormat="false" ht="25.5" hidden="false" customHeight="true" outlineLevel="0" collapsed="false">
      <c r="B16" s="42"/>
      <c r="C16" s="46" t="n">
        <f aca="false">IFERROR(SUMIFS('1 Daily Report'!$F$9:$F$39,'1 Daily Report'!$A$9:$A$39,"&gt;="&amp;INDEX('4 Monthly Review'!$F$18:$F$22,'3 Weekly Report'!$H$2),'1 Daily Report'!$A$9:$A$39,"&lt;="&amp;INDEX('4 Monthly Review'!$K$18:$K$22,'3 Weekly Report'!$H$2)),0)</f>
        <v>9</v>
      </c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4"/>
      <c r="P16" s="42"/>
      <c r="Q16" s="46" t="n">
        <f aca="false">IFERROR(SUMIFS('1 Daily Report'!$H$9:$H$39,'1 Daily Report'!$A$9:$A$39,"&gt;="&amp;INDEX('4 Monthly Review'!$F$18:$F$22,'3 Weekly Report'!$H$2),'1 Daily Report'!$A$9:$A$39,"&lt;="&amp;INDEX('4 Monthly Review'!$K$18:$K$22,'3 Weekly Report'!$H$2)),0)</f>
        <v>6</v>
      </c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4"/>
      <c r="AD16" s="42"/>
      <c r="AE16" s="46" t="n">
        <f aca="false">IFERROR(SUMIFS('1 Daily Report'!$N$9:$N$39,'1 Daily Report'!$A$9:$A$39,"&gt;="&amp;INDEX('4 Monthly Review'!$F$18:$F$22,'3 Weekly Report'!$H$2),'1 Daily Report'!$A$9:$A$39,"&lt;="&amp;INDEX('4 Monthly Review'!$K$18:$K$22,'3 Weekly Report'!$H$2)),0)</f>
        <v>21</v>
      </c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4"/>
      <c r="AR16" s="42"/>
      <c r="AS16" s="46" t="n">
        <f aca="false">IFERROR(SUMIFS('1 Daily Report'!$O$9:$O$39,'1 Daily Report'!$A$9:$A$39,"&gt;="&amp;INDEX('4 Monthly Review'!$F$18:$F$22,'3 Weekly Report'!$H$2),'1 Daily Report'!$A$9:$A$39,"&lt;="&amp;INDEX('4 Monthly Review'!$K$18:$K$22,'3 Weekly Report'!$H$2)),0)</f>
        <v>0</v>
      </c>
      <c r="AT16" s="46"/>
      <c r="AU16" s="46"/>
      <c r="AV16" s="46"/>
      <c r="AW16" s="46"/>
      <c r="AX16" s="45"/>
      <c r="AY16" s="47" t="n">
        <f aca="false">IFERROR(SUMIFS($W$472:$W$511,$D$472:$D$511,"&gt;="&amp;INDEX('4 Monthly Review'!$F$18:$F$22,'3 Weekly Report'!$H$2),$D$472:$D$511,"&lt;="&amp;INDEX('4 Monthly Review'!$K$18:$K$22,'3 Weekly Report'!$H$2)),0)</f>
        <v>0</v>
      </c>
      <c r="AZ16" s="47"/>
      <c r="BA16" s="47"/>
      <c r="BB16" s="47"/>
      <c r="BC16" s="44"/>
    </row>
    <row r="17" customFormat="false" ht="6" hidden="false" customHeight="true" outlineLevel="0" collapsed="false">
      <c r="B17" s="48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50"/>
      <c r="P17" s="48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50"/>
      <c r="AD17" s="48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50"/>
      <c r="AR17" s="48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50"/>
    </row>
    <row r="18" customFormat="false" ht="7.5" hidden="false" customHeight="true" outlineLevel="0" collapsed="false"/>
    <row r="19" customFormat="false" ht="19.5" hidden="false" customHeight="true" outlineLevel="0" collapsed="false">
      <c r="B19" s="39"/>
      <c r="C19" s="40" t="s">
        <v>62</v>
      </c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1"/>
      <c r="P19" s="39"/>
      <c r="Q19" s="40" t="s">
        <v>63</v>
      </c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1"/>
      <c r="AD19" s="39"/>
      <c r="AE19" s="40" t="s">
        <v>64</v>
      </c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1"/>
      <c r="AR19" s="39"/>
      <c r="AS19" s="40" t="s">
        <v>65</v>
      </c>
      <c r="AT19" s="40"/>
      <c r="AU19" s="40"/>
      <c r="AV19" s="40"/>
      <c r="AW19" s="40"/>
      <c r="AX19" s="40"/>
      <c r="AY19" s="40"/>
      <c r="AZ19" s="40"/>
      <c r="BA19" s="40"/>
      <c r="BB19" s="40"/>
      <c r="BC19" s="41"/>
    </row>
    <row r="20" customFormat="false" ht="12" hidden="false" customHeight="true" outlineLevel="0" collapsed="false">
      <c r="B20" s="42"/>
      <c r="C20" s="43" t="s">
        <v>60</v>
      </c>
      <c r="D20" s="43"/>
      <c r="E20" s="43"/>
      <c r="F20" s="43"/>
      <c r="G20" s="43"/>
      <c r="H20" s="45"/>
      <c r="I20" s="43" t="s">
        <v>66</v>
      </c>
      <c r="J20" s="43"/>
      <c r="K20" s="43"/>
      <c r="L20" s="43"/>
      <c r="M20" s="43"/>
      <c r="N20" s="44"/>
      <c r="P20" s="42"/>
      <c r="Q20" s="43" t="s">
        <v>60</v>
      </c>
      <c r="R20" s="43"/>
      <c r="S20" s="43"/>
      <c r="T20" s="43"/>
      <c r="U20" s="43"/>
      <c r="V20" s="45"/>
      <c r="W20" s="43" t="s">
        <v>67</v>
      </c>
      <c r="X20" s="43"/>
      <c r="Y20" s="43"/>
      <c r="Z20" s="43"/>
      <c r="AA20" s="43"/>
      <c r="AB20" s="44"/>
      <c r="AD20" s="42"/>
      <c r="AE20" s="43" t="s">
        <v>60</v>
      </c>
      <c r="AF20" s="43"/>
      <c r="AG20" s="43"/>
      <c r="AH20" s="43"/>
      <c r="AI20" s="43"/>
      <c r="AJ20" s="45"/>
      <c r="AK20" s="43" t="s">
        <v>66</v>
      </c>
      <c r="AL20" s="43"/>
      <c r="AM20" s="43"/>
      <c r="AN20" s="43"/>
      <c r="AO20" s="43"/>
      <c r="AP20" s="44"/>
      <c r="AR20" s="42"/>
      <c r="AS20" s="43" t="s">
        <v>60</v>
      </c>
      <c r="AT20" s="43"/>
      <c r="AU20" s="43"/>
      <c r="AV20" s="43"/>
      <c r="AW20" s="43"/>
      <c r="AX20" s="43"/>
      <c r="AY20" s="43"/>
      <c r="AZ20" s="43"/>
      <c r="BA20" s="43"/>
      <c r="BB20" s="43"/>
      <c r="BC20" s="44"/>
    </row>
    <row r="21" customFormat="false" ht="25.5" hidden="false" customHeight="true" outlineLevel="0" collapsed="false">
      <c r="B21" s="42"/>
      <c r="C21" s="46" t="n">
        <f aca="false">IFERROR(SUMIFS('1 Daily Report'!$P$9:$P$39,'1 Daily Report'!$A$9:$A$39,"&gt;="&amp;INDEX('4 Monthly Review'!$F$18:$F$22,'3 Weekly Report'!$H$2),'1 Daily Report'!$A$9:$A$39,"&lt;="&amp;INDEX('4 Monthly Review'!$K$18:$K$22,'3 Weekly Report'!$H$2)),0)</f>
        <v>0</v>
      </c>
      <c r="D21" s="46"/>
      <c r="E21" s="46"/>
      <c r="F21" s="46"/>
      <c r="G21" s="46"/>
      <c r="H21" s="45"/>
      <c r="I21" s="46" t="n">
        <f aca="false">IFERROR(COUNTIFS($AW$516:$AW$555,"O",$D$516:$D$555,"&gt;="&amp;INDEX('4 Monthly Review'!$F$18:$F$22,'3 Weekly Report'!$H$2),$D$516:$D$555,"&lt;="&amp;INDEX('4 Monthly Review'!$K$18:$K$22,'3 Weekly Report'!$H$2)),0)</f>
        <v>0</v>
      </c>
      <c r="J21" s="46"/>
      <c r="K21" s="46"/>
      <c r="L21" s="46"/>
      <c r="M21" s="46"/>
      <c r="N21" s="44"/>
      <c r="P21" s="42"/>
      <c r="Q21" s="46" t="n">
        <f aca="false">IFERROR(SUMIFS('1 Daily Report'!$Q$9:$Q$39,'1 Daily Report'!$A$9:$A$39,"&gt;="&amp;INDEX('4 Monthly Review'!$F$18:$F$22,'3 Weekly Report'!$H$2),'1 Daily Report'!$A$9:$A$39,"&lt;="&amp;INDEX('4 Monthly Review'!$K$18:$K$22,'3 Weekly Report'!$H$2)),0)</f>
        <v>0</v>
      </c>
      <c r="R21" s="46"/>
      <c r="S21" s="46"/>
      <c r="T21" s="46"/>
      <c r="U21" s="46"/>
      <c r="V21" s="45"/>
      <c r="W21" s="46" t="n">
        <f aca="false">IFERROR(COUNTIFS($AC$560:$AC$599,"&gt;0",$D$560:$D$599,"&gt;="&amp;INDEX('4 Monthly Review'!$F$18:$F$22,'3 Weekly Report'!$H$2),$D$560:$D$599,"&lt;="&amp;INDEX('4 Monthly Review'!$K$18:$K$22,'3 Weekly Report'!$H$2)),0)</f>
        <v>0</v>
      </c>
      <c r="X21" s="46"/>
      <c r="Y21" s="46"/>
      <c r="Z21" s="46"/>
      <c r="AA21" s="46"/>
      <c r="AB21" s="44"/>
      <c r="AD21" s="42"/>
      <c r="AE21" s="46" t="n">
        <f aca="false">IFERROR(SUMIFS('1 Daily Report'!$R$9:$R$39,'1 Daily Report'!$A$9:$A$39,"&gt;="&amp;INDEX('4 Monthly Review'!$F$18:$F$22,'3 Weekly Report'!$H$2),'1 Daily Report'!$A$9:$A$39,"&lt;="&amp;INDEX('4 Monthly Review'!$K$18:$K$22,'3 Weekly Report'!$H$2)),0)</f>
        <v>2</v>
      </c>
      <c r="AF21" s="46"/>
      <c r="AG21" s="46"/>
      <c r="AH21" s="46"/>
      <c r="AI21" s="46"/>
      <c r="AJ21" s="45"/>
      <c r="AK21" s="46" t="n">
        <f aca="false">IFERROR(COUNTIFS($AV$604:$AV$643,"O",$D$604:$D$643,"&gt;="&amp;INDEX('4 Monthly Review'!$F$18:$F$22,'3 Weekly Report'!$H$2),$D$604:$D$643,"&lt;="&amp;INDEX('4 Monthly Review'!$K$18:$K$22,'3 Weekly Report'!$H$2)),0)</f>
        <v>0</v>
      </c>
      <c r="AL21" s="46"/>
      <c r="AM21" s="46"/>
      <c r="AN21" s="46"/>
      <c r="AO21" s="46"/>
      <c r="AP21" s="44"/>
      <c r="AR21" s="42"/>
      <c r="AS21" s="46" t="n">
        <f aca="false">IFERROR(SUMIFS('1 Daily Report'!$M$9:$M$39,'1 Daily Report'!$A$9:$A$39,"&gt;="&amp;INDEX('4 Monthly Review'!$F$18:$F$22,'3 Weekly Report'!$H$2),'1 Daily Report'!$A$9:$A$39,"&lt;="&amp;INDEX('4 Monthly Review'!$K$18:$K$22,'3 Weekly Report'!$H$2)),0)</f>
        <v>5</v>
      </c>
      <c r="AT21" s="46"/>
      <c r="AU21" s="46"/>
      <c r="AV21" s="46"/>
      <c r="AW21" s="46"/>
      <c r="AX21" s="46"/>
      <c r="AY21" s="46"/>
      <c r="AZ21" s="46"/>
      <c r="BA21" s="46"/>
      <c r="BB21" s="46"/>
      <c r="BC21" s="44"/>
    </row>
    <row r="22" customFormat="false" ht="6" hidden="false" customHeight="true" outlineLevel="0" collapsed="false">
      <c r="B22" s="48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50"/>
      <c r="P22" s="48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50"/>
      <c r="AD22" s="48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50"/>
      <c r="AR22" s="48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50"/>
    </row>
    <row r="23" customFormat="false" ht="7.5" hidden="false" customHeight="true" outlineLevel="0" collapsed="false"/>
    <row r="24" customFormat="false" ht="18" hidden="false" customHeight="true" outlineLevel="0" collapsed="false">
      <c r="B24" s="6"/>
      <c r="C24" s="51" t="s">
        <v>68</v>
      </c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</row>
    <row r="25" customFormat="false" ht="18" hidden="false" customHeight="true" outlineLevel="0" collapsed="false">
      <c r="B25" s="6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</row>
    <row r="28" customFormat="false" ht="21.75" hidden="false" customHeight="true" outlineLevel="0" collapsed="false">
      <c r="B28" s="6"/>
      <c r="C28" s="37" t="s">
        <v>69</v>
      </c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8" t="s">
        <v>70</v>
      </c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</row>
    <row r="29" customFormat="false" ht="27.75" hidden="false" customHeight="true" outlineLevel="0" collapsed="false">
      <c r="B29" s="52" t="s">
        <v>71</v>
      </c>
      <c r="C29" s="52"/>
      <c r="D29" s="53" t="s">
        <v>72</v>
      </c>
      <c r="E29" s="53"/>
      <c r="F29" s="53"/>
      <c r="G29" s="53"/>
      <c r="H29" s="53" t="s">
        <v>73</v>
      </c>
      <c r="I29" s="53"/>
      <c r="J29" s="53"/>
      <c r="K29" s="53"/>
      <c r="L29" s="53"/>
      <c r="M29" s="53"/>
      <c r="N29" s="53"/>
      <c r="O29" s="53" t="s">
        <v>74</v>
      </c>
      <c r="P29" s="53"/>
      <c r="Q29" s="53"/>
      <c r="R29" s="53"/>
      <c r="S29" s="53"/>
      <c r="T29" s="53"/>
      <c r="U29" s="53"/>
      <c r="V29" s="53" t="s">
        <v>75</v>
      </c>
      <c r="W29" s="53"/>
      <c r="X29" s="53"/>
      <c r="Y29" s="53"/>
      <c r="Z29" s="53" t="s">
        <v>76</v>
      </c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</row>
    <row r="30" customFormat="false" ht="21.75" hidden="false" customHeight="true" outlineLevel="0" collapsed="false">
      <c r="B30" s="54" t="n">
        <v>1</v>
      </c>
      <c r="C30" s="54"/>
      <c r="D30" s="55" t="n">
        <v>46296</v>
      </c>
      <c r="E30" s="55"/>
      <c r="F30" s="55"/>
      <c r="G30" s="55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 t="s">
        <v>77</v>
      </c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</row>
    <row r="31" customFormat="false" ht="21.75" hidden="false" customHeight="true" outlineLevel="0" collapsed="false">
      <c r="B31" s="54" t="n">
        <v>2</v>
      </c>
      <c r="C31" s="54"/>
      <c r="D31" s="55" t="n">
        <v>46297</v>
      </c>
      <c r="E31" s="55"/>
      <c r="F31" s="55"/>
      <c r="G31" s="55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 t="s">
        <v>38</v>
      </c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</row>
    <row r="32" customFormat="false" ht="21.75" hidden="false" customHeight="true" outlineLevel="0" collapsed="false">
      <c r="B32" s="54" t="n">
        <v>3</v>
      </c>
      <c r="C32" s="54"/>
      <c r="D32" s="55"/>
      <c r="E32" s="55"/>
      <c r="F32" s="55"/>
      <c r="G32" s="55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</row>
    <row r="33" customFormat="false" ht="21.75" hidden="false" customHeight="true" outlineLevel="0" collapsed="false">
      <c r="B33" s="54" t="n">
        <v>4</v>
      </c>
      <c r="C33" s="54"/>
      <c r="D33" s="55"/>
      <c r="E33" s="55"/>
      <c r="F33" s="55"/>
      <c r="G33" s="55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</row>
    <row r="34" customFormat="false" ht="21.75" hidden="false" customHeight="true" outlineLevel="0" collapsed="false">
      <c r="B34" s="54" t="n">
        <v>5</v>
      </c>
      <c r="C34" s="54"/>
      <c r="D34" s="55"/>
      <c r="E34" s="55"/>
      <c r="F34" s="55"/>
      <c r="G34" s="55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</row>
    <row r="35" customFormat="false" ht="21.75" hidden="false" customHeight="true" outlineLevel="0" collapsed="false">
      <c r="B35" s="54" t="n">
        <v>6</v>
      </c>
      <c r="C35" s="54"/>
      <c r="D35" s="55"/>
      <c r="E35" s="55"/>
      <c r="F35" s="55"/>
      <c r="G35" s="55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</row>
    <row r="36" customFormat="false" ht="21.75" hidden="false" customHeight="true" outlineLevel="0" collapsed="false">
      <c r="B36" s="54" t="n">
        <v>7</v>
      </c>
      <c r="C36" s="54"/>
      <c r="D36" s="55"/>
      <c r="E36" s="55"/>
      <c r="F36" s="55"/>
      <c r="G36" s="55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</row>
    <row r="37" customFormat="false" ht="21.75" hidden="false" customHeight="true" outlineLevel="0" collapsed="false">
      <c r="B37" s="54" t="n">
        <v>8</v>
      </c>
      <c r="C37" s="54"/>
      <c r="D37" s="55"/>
      <c r="E37" s="55"/>
      <c r="F37" s="55"/>
      <c r="G37" s="55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</row>
    <row r="38" customFormat="false" ht="21.75" hidden="false" customHeight="true" outlineLevel="0" collapsed="false">
      <c r="B38" s="54" t="n">
        <v>9</v>
      </c>
      <c r="C38" s="54"/>
      <c r="D38" s="55"/>
      <c r="E38" s="55"/>
      <c r="F38" s="55"/>
      <c r="G38" s="55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</row>
    <row r="39" customFormat="false" ht="21.75" hidden="false" customHeight="true" outlineLevel="0" collapsed="false">
      <c r="B39" s="54" t="n">
        <v>10</v>
      </c>
      <c r="C39" s="54"/>
      <c r="D39" s="55"/>
      <c r="E39" s="55"/>
      <c r="F39" s="55"/>
      <c r="G39" s="55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</row>
    <row r="40" customFormat="false" ht="21.75" hidden="false" customHeight="true" outlineLevel="0" collapsed="false">
      <c r="B40" s="54" t="n">
        <v>11</v>
      </c>
      <c r="C40" s="54"/>
      <c r="D40" s="55"/>
      <c r="E40" s="55"/>
      <c r="F40" s="55"/>
      <c r="G40" s="55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</row>
    <row r="41" customFormat="false" ht="21.75" hidden="false" customHeight="true" outlineLevel="0" collapsed="false">
      <c r="B41" s="54" t="n">
        <v>12</v>
      </c>
      <c r="C41" s="54"/>
      <c r="D41" s="55"/>
      <c r="E41" s="55"/>
      <c r="F41" s="55"/>
      <c r="G41" s="55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</row>
    <row r="42" customFormat="false" ht="21.75" hidden="false" customHeight="true" outlineLevel="0" collapsed="false">
      <c r="B42" s="54" t="n">
        <v>13</v>
      </c>
      <c r="C42" s="54"/>
      <c r="D42" s="55"/>
      <c r="E42" s="55"/>
      <c r="F42" s="55"/>
      <c r="G42" s="55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</row>
    <row r="43" customFormat="false" ht="21.75" hidden="false" customHeight="true" outlineLevel="0" collapsed="false">
      <c r="B43" s="54" t="n">
        <v>14</v>
      </c>
      <c r="C43" s="54"/>
      <c r="D43" s="55"/>
      <c r="E43" s="55"/>
      <c r="F43" s="55"/>
      <c r="G43" s="55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</row>
    <row r="44" customFormat="false" ht="21.75" hidden="false" customHeight="true" outlineLevel="0" collapsed="false">
      <c r="B44" s="54" t="n">
        <v>15</v>
      </c>
      <c r="C44" s="54"/>
      <c r="D44" s="55"/>
      <c r="E44" s="55"/>
      <c r="F44" s="55"/>
      <c r="G44" s="55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</row>
    <row r="45" customFormat="false" ht="21.75" hidden="false" customHeight="true" outlineLevel="0" collapsed="false">
      <c r="B45" s="54" t="n">
        <v>16</v>
      </c>
      <c r="C45" s="54"/>
      <c r="D45" s="55"/>
      <c r="E45" s="55"/>
      <c r="F45" s="55"/>
      <c r="G45" s="55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</row>
    <row r="46" customFormat="false" ht="21.75" hidden="false" customHeight="true" outlineLevel="0" collapsed="false">
      <c r="B46" s="54" t="n">
        <v>17</v>
      </c>
      <c r="C46" s="54"/>
      <c r="D46" s="55"/>
      <c r="E46" s="55"/>
      <c r="F46" s="55"/>
      <c r="G46" s="55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</row>
    <row r="47" customFormat="false" ht="21.75" hidden="false" customHeight="true" outlineLevel="0" collapsed="false">
      <c r="B47" s="54" t="n">
        <v>18</v>
      </c>
      <c r="C47" s="54"/>
      <c r="D47" s="55"/>
      <c r="E47" s="55"/>
      <c r="F47" s="55"/>
      <c r="G47" s="55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</row>
    <row r="48" customFormat="false" ht="21.75" hidden="false" customHeight="true" outlineLevel="0" collapsed="false">
      <c r="B48" s="54" t="n">
        <v>19</v>
      </c>
      <c r="C48" s="54"/>
      <c r="D48" s="55"/>
      <c r="E48" s="55"/>
      <c r="F48" s="55"/>
      <c r="G48" s="55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</row>
    <row r="49" customFormat="false" ht="21.75" hidden="false" customHeight="true" outlineLevel="0" collapsed="false">
      <c r="B49" s="54" t="n">
        <v>20</v>
      </c>
      <c r="C49" s="54"/>
      <c r="D49" s="55"/>
      <c r="E49" s="55"/>
      <c r="F49" s="55"/>
      <c r="G49" s="55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</row>
    <row r="50" customFormat="false" ht="21.75" hidden="false" customHeight="true" outlineLevel="0" collapsed="false">
      <c r="B50" s="54" t="n">
        <v>21</v>
      </c>
      <c r="C50" s="54"/>
      <c r="D50" s="55"/>
      <c r="E50" s="55"/>
      <c r="F50" s="55"/>
      <c r="G50" s="55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56"/>
    </row>
    <row r="51" customFormat="false" ht="21.75" hidden="false" customHeight="true" outlineLevel="0" collapsed="false">
      <c r="B51" s="54" t="n">
        <v>22</v>
      </c>
      <c r="C51" s="54"/>
      <c r="D51" s="55"/>
      <c r="E51" s="55"/>
      <c r="F51" s="55"/>
      <c r="G51" s="55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</row>
    <row r="52" customFormat="false" ht="21.75" hidden="false" customHeight="true" outlineLevel="0" collapsed="false">
      <c r="B52" s="54" t="n">
        <v>23</v>
      </c>
      <c r="C52" s="54"/>
      <c r="D52" s="55"/>
      <c r="E52" s="55"/>
      <c r="F52" s="55"/>
      <c r="G52" s="55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</row>
    <row r="53" customFormat="false" ht="21.75" hidden="false" customHeight="true" outlineLevel="0" collapsed="false">
      <c r="B53" s="54" t="n">
        <v>24</v>
      </c>
      <c r="C53" s="54"/>
      <c r="D53" s="55"/>
      <c r="E53" s="55"/>
      <c r="F53" s="55"/>
      <c r="G53" s="55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</row>
    <row r="54" customFormat="false" ht="21.75" hidden="false" customHeight="true" outlineLevel="0" collapsed="false">
      <c r="B54" s="54" t="n">
        <v>25</v>
      </c>
      <c r="C54" s="54"/>
      <c r="D54" s="55"/>
      <c r="E54" s="55"/>
      <c r="F54" s="55"/>
      <c r="G54" s="55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</row>
    <row r="55" customFormat="false" ht="21.75" hidden="false" customHeight="true" outlineLevel="0" collapsed="false">
      <c r="B55" s="54" t="n">
        <v>26</v>
      </c>
      <c r="C55" s="54"/>
      <c r="D55" s="55"/>
      <c r="E55" s="55"/>
      <c r="F55" s="55"/>
      <c r="G55" s="55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</row>
    <row r="56" customFormat="false" ht="21.75" hidden="false" customHeight="true" outlineLevel="0" collapsed="false">
      <c r="B56" s="54" t="n">
        <v>27</v>
      </c>
      <c r="C56" s="54"/>
      <c r="D56" s="55"/>
      <c r="E56" s="55"/>
      <c r="F56" s="55"/>
      <c r="G56" s="55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</row>
    <row r="57" customFormat="false" ht="21.75" hidden="false" customHeight="true" outlineLevel="0" collapsed="false">
      <c r="B57" s="54" t="n">
        <v>28</v>
      </c>
      <c r="C57" s="54"/>
      <c r="D57" s="55"/>
      <c r="E57" s="55"/>
      <c r="F57" s="55"/>
      <c r="G57" s="55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</row>
    <row r="58" customFormat="false" ht="21.75" hidden="false" customHeight="true" outlineLevel="0" collapsed="false">
      <c r="B58" s="54" t="n">
        <v>29</v>
      </c>
      <c r="C58" s="54"/>
      <c r="D58" s="55"/>
      <c r="E58" s="55"/>
      <c r="F58" s="55"/>
      <c r="G58" s="55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</row>
    <row r="59" customFormat="false" ht="21.75" hidden="false" customHeight="true" outlineLevel="0" collapsed="false">
      <c r="B59" s="54" t="n">
        <v>30</v>
      </c>
      <c r="C59" s="54"/>
      <c r="D59" s="55"/>
      <c r="E59" s="55"/>
      <c r="F59" s="55"/>
      <c r="G59" s="55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</row>
    <row r="60" customFormat="false" ht="21.75" hidden="false" customHeight="true" outlineLevel="0" collapsed="false">
      <c r="B60" s="54" t="n">
        <v>31</v>
      </c>
      <c r="C60" s="54"/>
      <c r="D60" s="55"/>
      <c r="E60" s="55"/>
      <c r="F60" s="55"/>
      <c r="G60" s="55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</row>
    <row r="61" customFormat="false" ht="21.75" hidden="false" customHeight="true" outlineLevel="0" collapsed="false">
      <c r="B61" s="54" t="n">
        <v>32</v>
      </c>
      <c r="C61" s="54"/>
      <c r="D61" s="55"/>
      <c r="E61" s="55"/>
      <c r="F61" s="55"/>
      <c r="G61" s="55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</row>
    <row r="62" customFormat="false" ht="21.75" hidden="false" customHeight="true" outlineLevel="0" collapsed="false">
      <c r="B62" s="54" t="n">
        <v>33</v>
      </c>
      <c r="C62" s="54"/>
      <c r="D62" s="55"/>
      <c r="E62" s="55"/>
      <c r="F62" s="55"/>
      <c r="G62" s="55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</row>
    <row r="63" customFormat="false" ht="21.75" hidden="false" customHeight="true" outlineLevel="0" collapsed="false">
      <c r="B63" s="54" t="n">
        <v>34</v>
      </c>
      <c r="C63" s="54"/>
      <c r="D63" s="55"/>
      <c r="E63" s="55"/>
      <c r="F63" s="55"/>
      <c r="G63" s="55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</row>
    <row r="64" customFormat="false" ht="21.75" hidden="false" customHeight="true" outlineLevel="0" collapsed="false">
      <c r="B64" s="54" t="n">
        <v>35</v>
      </c>
      <c r="C64" s="54"/>
      <c r="D64" s="55"/>
      <c r="E64" s="55"/>
      <c r="F64" s="55"/>
      <c r="G64" s="55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</row>
    <row r="65" customFormat="false" ht="21.75" hidden="false" customHeight="true" outlineLevel="0" collapsed="false">
      <c r="B65" s="54" t="n">
        <v>36</v>
      </c>
      <c r="C65" s="54"/>
      <c r="D65" s="55"/>
      <c r="E65" s="55"/>
      <c r="F65" s="55"/>
      <c r="G65" s="55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</row>
    <row r="66" customFormat="false" ht="21.75" hidden="false" customHeight="true" outlineLevel="0" collapsed="false">
      <c r="B66" s="54" t="n">
        <v>37</v>
      </c>
      <c r="C66" s="54"/>
      <c r="D66" s="55"/>
      <c r="E66" s="55"/>
      <c r="F66" s="55"/>
      <c r="G66" s="55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</row>
    <row r="67" customFormat="false" ht="21.75" hidden="false" customHeight="true" outlineLevel="0" collapsed="false">
      <c r="B67" s="54" t="n">
        <v>38</v>
      </c>
      <c r="C67" s="54"/>
      <c r="D67" s="55"/>
      <c r="E67" s="55"/>
      <c r="F67" s="55"/>
      <c r="G67" s="55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</row>
    <row r="68" customFormat="false" ht="21.75" hidden="false" customHeight="true" outlineLevel="0" collapsed="false">
      <c r="B68" s="54" t="n">
        <v>39</v>
      </c>
      <c r="C68" s="54"/>
      <c r="D68" s="55"/>
      <c r="E68" s="55"/>
      <c r="F68" s="55"/>
      <c r="G68" s="55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</row>
    <row r="69" customFormat="false" ht="21.75" hidden="false" customHeight="true" outlineLevel="0" collapsed="false">
      <c r="B69" s="54" t="n">
        <v>40</v>
      </c>
      <c r="C69" s="54"/>
      <c r="D69" s="55"/>
      <c r="E69" s="55"/>
      <c r="F69" s="55"/>
      <c r="G69" s="55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56"/>
    </row>
    <row r="70" customFormat="false" ht="21.75" hidden="false" customHeight="true" outlineLevel="0" collapsed="false">
      <c r="B70" s="54" t="n">
        <v>41</v>
      </c>
      <c r="C70" s="54"/>
      <c r="D70" s="55"/>
      <c r="E70" s="55"/>
      <c r="F70" s="55"/>
      <c r="G70" s="55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</row>
    <row r="71" customFormat="false" ht="21.75" hidden="false" customHeight="true" outlineLevel="0" collapsed="false">
      <c r="B71" s="54" t="n">
        <v>42</v>
      </c>
      <c r="C71" s="54"/>
      <c r="D71" s="55"/>
      <c r="E71" s="55"/>
      <c r="F71" s="55"/>
      <c r="G71" s="55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</row>
    <row r="72" customFormat="false" ht="21.75" hidden="false" customHeight="true" outlineLevel="0" collapsed="false">
      <c r="B72" s="54" t="n">
        <v>43</v>
      </c>
      <c r="C72" s="54"/>
      <c r="D72" s="55"/>
      <c r="E72" s="55"/>
      <c r="F72" s="55"/>
      <c r="G72" s="55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</row>
    <row r="73" customFormat="false" ht="21.75" hidden="false" customHeight="true" outlineLevel="0" collapsed="false">
      <c r="B73" s="54" t="n">
        <v>44</v>
      </c>
      <c r="C73" s="54"/>
      <c r="D73" s="55"/>
      <c r="E73" s="55"/>
      <c r="F73" s="55"/>
      <c r="G73" s="55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</row>
    <row r="74" customFormat="false" ht="21.75" hidden="false" customHeight="true" outlineLevel="0" collapsed="false">
      <c r="B74" s="54" t="n">
        <v>45</v>
      </c>
      <c r="C74" s="54"/>
      <c r="D74" s="55"/>
      <c r="E74" s="55"/>
      <c r="F74" s="55"/>
      <c r="G74" s="55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  <c r="BB74" s="56"/>
      <c r="BC74" s="56"/>
    </row>
    <row r="75" customFormat="false" ht="21.75" hidden="false" customHeight="true" outlineLevel="0" collapsed="false">
      <c r="B75" s="54" t="n">
        <v>46</v>
      </c>
      <c r="C75" s="54"/>
      <c r="D75" s="55"/>
      <c r="E75" s="55"/>
      <c r="F75" s="55"/>
      <c r="G75" s="55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6"/>
    </row>
    <row r="76" customFormat="false" ht="21.75" hidden="false" customHeight="true" outlineLevel="0" collapsed="false">
      <c r="B76" s="54" t="n">
        <v>47</v>
      </c>
      <c r="C76" s="54"/>
      <c r="D76" s="55"/>
      <c r="E76" s="55"/>
      <c r="F76" s="55"/>
      <c r="G76" s="55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6"/>
      <c r="BA76" s="56"/>
      <c r="BB76" s="56"/>
      <c r="BC76" s="56"/>
    </row>
    <row r="77" customFormat="false" ht="21.75" hidden="false" customHeight="true" outlineLevel="0" collapsed="false">
      <c r="B77" s="54" t="n">
        <v>48</v>
      </c>
      <c r="C77" s="54"/>
      <c r="D77" s="55"/>
      <c r="E77" s="55"/>
      <c r="F77" s="55"/>
      <c r="G77" s="55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</row>
    <row r="78" customFormat="false" ht="21.75" hidden="false" customHeight="true" outlineLevel="0" collapsed="false">
      <c r="B78" s="54" t="n">
        <v>49</v>
      </c>
      <c r="C78" s="54"/>
      <c r="D78" s="55"/>
      <c r="E78" s="55"/>
      <c r="F78" s="55"/>
      <c r="G78" s="55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</row>
    <row r="79" customFormat="false" ht="21.75" hidden="false" customHeight="true" outlineLevel="0" collapsed="false">
      <c r="B79" s="54" t="n">
        <v>50</v>
      </c>
      <c r="C79" s="54"/>
      <c r="D79" s="55"/>
      <c r="E79" s="55"/>
      <c r="F79" s="55"/>
      <c r="G79" s="55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  <c r="BB79" s="56"/>
      <c r="BC79" s="56"/>
    </row>
    <row r="80" customFormat="false" ht="21.75" hidden="false" customHeight="true" outlineLevel="0" collapsed="false">
      <c r="B80" s="54" t="n">
        <v>51</v>
      </c>
      <c r="C80" s="54"/>
      <c r="D80" s="55"/>
      <c r="E80" s="55"/>
      <c r="F80" s="55"/>
      <c r="G80" s="55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</row>
    <row r="81" customFormat="false" ht="21.75" hidden="false" customHeight="true" outlineLevel="0" collapsed="false">
      <c r="B81" s="54" t="n">
        <v>52</v>
      </c>
      <c r="C81" s="54"/>
      <c r="D81" s="55"/>
      <c r="E81" s="55"/>
      <c r="F81" s="55"/>
      <c r="G81" s="55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</row>
    <row r="82" customFormat="false" ht="21.75" hidden="false" customHeight="true" outlineLevel="0" collapsed="false">
      <c r="B82" s="54" t="n">
        <v>53</v>
      </c>
      <c r="C82" s="54"/>
      <c r="D82" s="55"/>
      <c r="E82" s="55"/>
      <c r="F82" s="55"/>
      <c r="G82" s="55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</row>
    <row r="83" customFormat="false" ht="21.75" hidden="false" customHeight="true" outlineLevel="0" collapsed="false">
      <c r="B83" s="54" t="n">
        <v>54</v>
      </c>
      <c r="C83" s="54"/>
      <c r="D83" s="55"/>
      <c r="E83" s="55"/>
      <c r="F83" s="55"/>
      <c r="G83" s="55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</row>
    <row r="84" customFormat="false" ht="21.75" hidden="false" customHeight="true" outlineLevel="0" collapsed="false">
      <c r="B84" s="54" t="n">
        <v>55</v>
      </c>
      <c r="C84" s="54"/>
      <c r="D84" s="55"/>
      <c r="E84" s="55"/>
      <c r="F84" s="55"/>
      <c r="G84" s="55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</row>
    <row r="85" customFormat="false" ht="21.75" hidden="false" customHeight="true" outlineLevel="0" collapsed="false">
      <c r="B85" s="54" t="n">
        <v>56</v>
      </c>
      <c r="C85" s="54"/>
      <c r="D85" s="55"/>
      <c r="E85" s="55"/>
      <c r="F85" s="55"/>
      <c r="G85" s="55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</row>
    <row r="86" customFormat="false" ht="21.75" hidden="false" customHeight="true" outlineLevel="0" collapsed="false">
      <c r="B86" s="54" t="n">
        <v>57</v>
      </c>
      <c r="C86" s="54"/>
      <c r="D86" s="55"/>
      <c r="E86" s="55"/>
      <c r="F86" s="55"/>
      <c r="G86" s="55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</row>
    <row r="87" customFormat="false" ht="21.75" hidden="false" customHeight="true" outlineLevel="0" collapsed="false">
      <c r="B87" s="54" t="n">
        <v>58</v>
      </c>
      <c r="C87" s="54"/>
      <c r="D87" s="55"/>
      <c r="E87" s="55"/>
      <c r="F87" s="55"/>
      <c r="G87" s="55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</row>
    <row r="88" customFormat="false" ht="21.75" hidden="false" customHeight="true" outlineLevel="0" collapsed="false">
      <c r="B88" s="54" t="n">
        <v>59</v>
      </c>
      <c r="C88" s="54"/>
      <c r="D88" s="55"/>
      <c r="E88" s="55"/>
      <c r="F88" s="55"/>
      <c r="G88" s="55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</row>
    <row r="89" customFormat="false" ht="21.75" hidden="false" customHeight="true" outlineLevel="0" collapsed="false">
      <c r="B89" s="54" t="n">
        <v>60</v>
      </c>
      <c r="C89" s="54"/>
      <c r="D89" s="55"/>
      <c r="E89" s="55"/>
      <c r="F89" s="55"/>
      <c r="G89" s="55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</row>
    <row r="90" customFormat="false" ht="21.75" hidden="false" customHeight="true" outlineLevel="0" collapsed="false">
      <c r="B90" s="54" t="n">
        <v>61</v>
      </c>
      <c r="C90" s="54"/>
      <c r="D90" s="55"/>
      <c r="E90" s="55"/>
      <c r="F90" s="55"/>
      <c r="G90" s="55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</row>
    <row r="91" customFormat="false" ht="21.75" hidden="false" customHeight="true" outlineLevel="0" collapsed="false">
      <c r="B91" s="54" t="n">
        <v>62</v>
      </c>
      <c r="C91" s="54"/>
      <c r="D91" s="55"/>
      <c r="E91" s="55"/>
      <c r="F91" s="55"/>
      <c r="G91" s="55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</row>
    <row r="92" customFormat="false" ht="21.75" hidden="false" customHeight="true" outlineLevel="0" collapsed="false">
      <c r="B92" s="54" t="n">
        <v>63</v>
      </c>
      <c r="C92" s="54"/>
      <c r="D92" s="55"/>
      <c r="E92" s="55"/>
      <c r="F92" s="55"/>
      <c r="G92" s="55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</row>
    <row r="93" customFormat="false" ht="21.75" hidden="false" customHeight="true" outlineLevel="0" collapsed="false">
      <c r="B93" s="54" t="n">
        <v>64</v>
      </c>
      <c r="C93" s="54"/>
      <c r="D93" s="55"/>
      <c r="E93" s="55"/>
      <c r="F93" s="55"/>
      <c r="G93" s="55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</row>
    <row r="94" customFormat="false" ht="21.75" hidden="false" customHeight="true" outlineLevel="0" collapsed="false">
      <c r="B94" s="54" t="n">
        <v>65</v>
      </c>
      <c r="C94" s="54"/>
      <c r="D94" s="55"/>
      <c r="E94" s="55"/>
      <c r="F94" s="55"/>
      <c r="G94" s="55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</row>
    <row r="95" customFormat="false" ht="21.75" hidden="false" customHeight="true" outlineLevel="0" collapsed="false">
      <c r="B95" s="54" t="n">
        <v>66</v>
      </c>
      <c r="C95" s="54"/>
      <c r="D95" s="55"/>
      <c r="E95" s="55"/>
      <c r="F95" s="55"/>
      <c r="G95" s="55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</row>
    <row r="96" customFormat="false" ht="21.75" hidden="false" customHeight="true" outlineLevel="0" collapsed="false">
      <c r="B96" s="54" t="n">
        <v>67</v>
      </c>
      <c r="C96" s="54"/>
      <c r="D96" s="55"/>
      <c r="E96" s="55"/>
      <c r="F96" s="55"/>
      <c r="G96" s="55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</row>
    <row r="97" customFormat="false" ht="21.75" hidden="false" customHeight="true" outlineLevel="0" collapsed="false">
      <c r="B97" s="54" t="n">
        <v>68</v>
      </c>
      <c r="C97" s="54"/>
      <c r="D97" s="55"/>
      <c r="E97" s="55"/>
      <c r="F97" s="55"/>
      <c r="G97" s="55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</row>
    <row r="98" customFormat="false" ht="21.75" hidden="false" customHeight="true" outlineLevel="0" collapsed="false">
      <c r="B98" s="54" t="n">
        <v>69</v>
      </c>
      <c r="C98" s="54"/>
      <c r="D98" s="55"/>
      <c r="E98" s="55"/>
      <c r="F98" s="55"/>
      <c r="G98" s="55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</row>
    <row r="99" customFormat="false" ht="21.75" hidden="false" customHeight="true" outlineLevel="0" collapsed="false">
      <c r="B99" s="54" t="n">
        <v>70</v>
      </c>
      <c r="C99" s="54"/>
      <c r="D99" s="55"/>
      <c r="E99" s="55"/>
      <c r="F99" s="55"/>
      <c r="G99" s="55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</row>
    <row r="100" customFormat="false" ht="21.75" hidden="false" customHeight="true" outlineLevel="0" collapsed="false">
      <c r="B100" s="54" t="n">
        <v>71</v>
      </c>
      <c r="C100" s="54"/>
      <c r="D100" s="55"/>
      <c r="E100" s="55"/>
      <c r="F100" s="55"/>
      <c r="G100" s="55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</row>
    <row r="101" customFormat="false" ht="21.75" hidden="false" customHeight="true" outlineLevel="0" collapsed="false">
      <c r="B101" s="54" t="n">
        <v>72</v>
      </c>
      <c r="C101" s="54"/>
      <c r="D101" s="55"/>
      <c r="E101" s="55"/>
      <c r="F101" s="55"/>
      <c r="G101" s="55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</row>
    <row r="102" customFormat="false" ht="21.75" hidden="false" customHeight="true" outlineLevel="0" collapsed="false">
      <c r="B102" s="54" t="n">
        <v>73</v>
      </c>
      <c r="C102" s="54"/>
      <c r="D102" s="55"/>
      <c r="E102" s="55"/>
      <c r="F102" s="55"/>
      <c r="G102" s="55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</row>
    <row r="103" customFormat="false" ht="21.75" hidden="false" customHeight="true" outlineLevel="0" collapsed="false">
      <c r="B103" s="54" t="n">
        <v>74</v>
      </c>
      <c r="C103" s="54"/>
      <c r="D103" s="55"/>
      <c r="E103" s="55"/>
      <c r="F103" s="55"/>
      <c r="G103" s="55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56"/>
      <c r="BB103" s="56"/>
      <c r="BC103" s="56"/>
    </row>
    <row r="104" customFormat="false" ht="21.75" hidden="false" customHeight="true" outlineLevel="0" collapsed="false">
      <c r="B104" s="54" t="n">
        <v>75</v>
      </c>
      <c r="C104" s="54"/>
      <c r="D104" s="55"/>
      <c r="E104" s="55"/>
      <c r="F104" s="55"/>
      <c r="G104" s="55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</row>
    <row r="105" customFormat="false" ht="21.75" hidden="false" customHeight="true" outlineLevel="0" collapsed="false">
      <c r="B105" s="54" t="n">
        <v>76</v>
      </c>
      <c r="C105" s="54"/>
      <c r="D105" s="55"/>
      <c r="E105" s="55"/>
      <c r="F105" s="55"/>
      <c r="G105" s="55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</row>
    <row r="106" customFormat="false" ht="21.75" hidden="false" customHeight="true" outlineLevel="0" collapsed="false">
      <c r="B106" s="54" t="n">
        <v>77</v>
      </c>
      <c r="C106" s="54"/>
      <c r="D106" s="55"/>
      <c r="E106" s="55"/>
      <c r="F106" s="55"/>
      <c r="G106" s="55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56"/>
      <c r="BB106" s="56"/>
      <c r="BC106" s="56"/>
    </row>
    <row r="107" customFormat="false" ht="21.75" hidden="false" customHeight="true" outlineLevel="0" collapsed="false">
      <c r="B107" s="54" t="n">
        <v>78</v>
      </c>
      <c r="C107" s="54"/>
      <c r="D107" s="55"/>
      <c r="E107" s="55"/>
      <c r="F107" s="55"/>
      <c r="G107" s="55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56"/>
      <c r="AW107" s="56"/>
      <c r="AX107" s="56"/>
      <c r="AY107" s="56"/>
      <c r="AZ107" s="56"/>
      <c r="BA107" s="56"/>
      <c r="BB107" s="56"/>
      <c r="BC107" s="56"/>
    </row>
    <row r="108" customFormat="false" ht="21.75" hidden="false" customHeight="true" outlineLevel="0" collapsed="false">
      <c r="B108" s="54" t="n">
        <v>79</v>
      </c>
      <c r="C108" s="54"/>
      <c r="D108" s="55"/>
      <c r="E108" s="55"/>
      <c r="F108" s="55"/>
      <c r="G108" s="55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56"/>
      <c r="BB108" s="56"/>
      <c r="BC108" s="56"/>
    </row>
    <row r="109" customFormat="false" ht="21.75" hidden="false" customHeight="true" outlineLevel="0" collapsed="false">
      <c r="B109" s="54" t="n">
        <v>80</v>
      </c>
      <c r="C109" s="54"/>
      <c r="D109" s="55"/>
      <c r="E109" s="55"/>
      <c r="F109" s="55"/>
      <c r="G109" s="55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56"/>
      <c r="BB109" s="56"/>
      <c r="BC109" s="56"/>
    </row>
    <row r="110" customFormat="false" ht="21.75" hidden="false" customHeight="true" outlineLevel="0" collapsed="false">
      <c r="B110" s="54" t="n">
        <v>81</v>
      </c>
      <c r="C110" s="54"/>
      <c r="D110" s="55"/>
      <c r="E110" s="55"/>
      <c r="F110" s="55"/>
      <c r="G110" s="55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/>
      <c r="BB110" s="56"/>
      <c r="BC110" s="56"/>
    </row>
    <row r="111" customFormat="false" ht="21.75" hidden="false" customHeight="true" outlineLevel="0" collapsed="false">
      <c r="B111" s="54" t="n">
        <v>82</v>
      </c>
      <c r="C111" s="54"/>
      <c r="D111" s="55"/>
      <c r="E111" s="55"/>
      <c r="F111" s="55"/>
      <c r="G111" s="55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56"/>
      <c r="BB111" s="56"/>
      <c r="BC111" s="56"/>
    </row>
    <row r="112" customFormat="false" ht="21.75" hidden="false" customHeight="true" outlineLevel="0" collapsed="false">
      <c r="B112" s="54" t="n">
        <v>83</v>
      </c>
      <c r="C112" s="54"/>
      <c r="D112" s="55"/>
      <c r="E112" s="55"/>
      <c r="F112" s="55"/>
      <c r="G112" s="55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56"/>
      <c r="BB112" s="56"/>
      <c r="BC112" s="56"/>
    </row>
    <row r="113" customFormat="false" ht="21.75" hidden="false" customHeight="true" outlineLevel="0" collapsed="false">
      <c r="B113" s="54" t="n">
        <v>84</v>
      </c>
      <c r="C113" s="54"/>
      <c r="D113" s="55"/>
      <c r="E113" s="55"/>
      <c r="F113" s="55"/>
      <c r="G113" s="55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56"/>
      <c r="BB113" s="56"/>
      <c r="BC113" s="56"/>
    </row>
    <row r="114" customFormat="false" ht="21.75" hidden="false" customHeight="true" outlineLevel="0" collapsed="false">
      <c r="B114" s="54" t="n">
        <v>85</v>
      </c>
      <c r="C114" s="54"/>
      <c r="D114" s="55"/>
      <c r="E114" s="55"/>
      <c r="F114" s="55"/>
      <c r="G114" s="55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56"/>
      <c r="BB114" s="56"/>
      <c r="BC114" s="56"/>
    </row>
    <row r="115" customFormat="false" ht="21.75" hidden="false" customHeight="true" outlineLevel="0" collapsed="false">
      <c r="B115" s="54" t="n">
        <v>86</v>
      </c>
      <c r="C115" s="54"/>
      <c r="D115" s="55"/>
      <c r="E115" s="55"/>
      <c r="F115" s="55"/>
      <c r="G115" s="55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</row>
    <row r="116" customFormat="false" ht="21.75" hidden="false" customHeight="true" outlineLevel="0" collapsed="false">
      <c r="B116" s="54" t="n">
        <v>87</v>
      </c>
      <c r="C116" s="54"/>
      <c r="D116" s="55"/>
      <c r="E116" s="55"/>
      <c r="F116" s="55"/>
      <c r="G116" s="55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</row>
    <row r="117" customFormat="false" ht="21.75" hidden="false" customHeight="true" outlineLevel="0" collapsed="false">
      <c r="B117" s="54" t="n">
        <v>88</v>
      </c>
      <c r="C117" s="54"/>
      <c r="D117" s="55"/>
      <c r="E117" s="55"/>
      <c r="F117" s="55"/>
      <c r="G117" s="55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</row>
    <row r="118" customFormat="false" ht="21.75" hidden="false" customHeight="true" outlineLevel="0" collapsed="false">
      <c r="B118" s="54" t="n">
        <v>89</v>
      </c>
      <c r="C118" s="54"/>
      <c r="D118" s="55"/>
      <c r="E118" s="55"/>
      <c r="F118" s="55"/>
      <c r="G118" s="55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</row>
    <row r="119" customFormat="false" ht="21.75" hidden="false" customHeight="true" outlineLevel="0" collapsed="false">
      <c r="B119" s="54" t="n">
        <v>90</v>
      </c>
      <c r="C119" s="54"/>
      <c r="D119" s="55"/>
      <c r="E119" s="55"/>
      <c r="F119" s="55"/>
      <c r="G119" s="55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</row>
    <row r="120" customFormat="false" ht="21.75" hidden="false" customHeight="true" outlineLevel="0" collapsed="false">
      <c r="B120" s="54" t="n">
        <v>91</v>
      </c>
      <c r="C120" s="54"/>
      <c r="D120" s="55"/>
      <c r="E120" s="55"/>
      <c r="F120" s="55"/>
      <c r="G120" s="55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56"/>
      <c r="BB120" s="56"/>
      <c r="BC120" s="56"/>
    </row>
    <row r="121" customFormat="false" ht="21.75" hidden="false" customHeight="true" outlineLevel="0" collapsed="false">
      <c r="B121" s="54" t="n">
        <v>92</v>
      </c>
      <c r="C121" s="54"/>
      <c r="D121" s="55"/>
      <c r="E121" s="55"/>
      <c r="F121" s="55"/>
      <c r="G121" s="55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  <c r="AV121" s="56"/>
      <c r="AW121" s="56"/>
      <c r="AX121" s="56"/>
      <c r="AY121" s="56"/>
      <c r="AZ121" s="56"/>
      <c r="BA121" s="56"/>
      <c r="BB121" s="56"/>
      <c r="BC121" s="56"/>
    </row>
    <row r="122" customFormat="false" ht="21.75" hidden="false" customHeight="true" outlineLevel="0" collapsed="false">
      <c r="B122" s="54" t="n">
        <v>93</v>
      </c>
      <c r="C122" s="54"/>
      <c r="D122" s="55"/>
      <c r="E122" s="55"/>
      <c r="F122" s="55"/>
      <c r="G122" s="55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  <c r="AZ122" s="56"/>
      <c r="BA122" s="56"/>
      <c r="BB122" s="56"/>
      <c r="BC122" s="56"/>
    </row>
    <row r="123" customFormat="false" ht="21.75" hidden="false" customHeight="true" outlineLevel="0" collapsed="false">
      <c r="B123" s="54" t="n">
        <v>94</v>
      </c>
      <c r="C123" s="54"/>
      <c r="D123" s="55"/>
      <c r="E123" s="55"/>
      <c r="F123" s="55"/>
      <c r="G123" s="55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  <c r="AZ123" s="56"/>
      <c r="BA123" s="56"/>
      <c r="BB123" s="56"/>
      <c r="BC123" s="56"/>
    </row>
    <row r="124" customFormat="false" ht="21.75" hidden="false" customHeight="true" outlineLevel="0" collapsed="false">
      <c r="B124" s="54" t="n">
        <v>95</v>
      </c>
      <c r="C124" s="54"/>
      <c r="D124" s="55"/>
      <c r="E124" s="55"/>
      <c r="F124" s="55"/>
      <c r="G124" s="55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56"/>
      <c r="BB124" s="56"/>
      <c r="BC124" s="56"/>
    </row>
    <row r="125" customFormat="false" ht="21.75" hidden="false" customHeight="true" outlineLevel="0" collapsed="false">
      <c r="B125" s="54" t="n">
        <v>96</v>
      </c>
      <c r="C125" s="54"/>
      <c r="D125" s="55"/>
      <c r="E125" s="55"/>
      <c r="F125" s="55"/>
      <c r="G125" s="55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56"/>
      <c r="BB125" s="56"/>
      <c r="BC125" s="56"/>
    </row>
    <row r="126" customFormat="false" ht="21.75" hidden="false" customHeight="true" outlineLevel="0" collapsed="false">
      <c r="B126" s="54" t="n">
        <v>97</v>
      </c>
      <c r="C126" s="54"/>
      <c r="D126" s="55"/>
      <c r="E126" s="55"/>
      <c r="F126" s="55"/>
      <c r="G126" s="55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56"/>
      <c r="BB126" s="56"/>
      <c r="BC126" s="56"/>
    </row>
    <row r="127" customFormat="false" ht="21.75" hidden="false" customHeight="true" outlineLevel="0" collapsed="false">
      <c r="B127" s="54" t="n">
        <v>98</v>
      </c>
      <c r="C127" s="54"/>
      <c r="D127" s="55"/>
      <c r="E127" s="55"/>
      <c r="F127" s="55"/>
      <c r="G127" s="55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  <c r="AZ127" s="56"/>
      <c r="BA127" s="56"/>
      <c r="BB127" s="56"/>
      <c r="BC127" s="56"/>
    </row>
    <row r="128" customFormat="false" ht="21.75" hidden="false" customHeight="true" outlineLevel="0" collapsed="false">
      <c r="B128" s="54" t="n">
        <v>99</v>
      </c>
      <c r="C128" s="54"/>
      <c r="D128" s="55"/>
      <c r="E128" s="55"/>
      <c r="F128" s="55"/>
      <c r="G128" s="55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56"/>
      <c r="BB128" s="56"/>
      <c r="BC128" s="56"/>
    </row>
    <row r="129" customFormat="false" ht="21.75" hidden="false" customHeight="true" outlineLevel="0" collapsed="false">
      <c r="B129" s="54" t="n">
        <v>100</v>
      </c>
      <c r="C129" s="54"/>
      <c r="D129" s="55"/>
      <c r="E129" s="55"/>
      <c r="F129" s="55"/>
      <c r="G129" s="55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  <c r="AY129" s="56"/>
      <c r="AZ129" s="56"/>
      <c r="BA129" s="56"/>
      <c r="BB129" s="56"/>
      <c r="BC129" s="56"/>
    </row>
    <row r="130" customFormat="false" ht="24" hidden="false" customHeight="true" outlineLevel="0" collapsed="false">
      <c r="B130" s="57" t="s">
        <v>78</v>
      </c>
      <c r="C130" s="57"/>
      <c r="E130" s="58" t="s">
        <v>79</v>
      </c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8"/>
      <c r="BB130" s="58"/>
      <c r="BC130" s="58"/>
    </row>
    <row r="131" customFormat="false" ht="12" hidden="false" customHeight="true" outlineLevel="0" collapsed="false"/>
    <row r="132" customFormat="false" ht="21.75" hidden="false" customHeight="true" outlineLevel="0" collapsed="false">
      <c r="B132" s="6"/>
      <c r="C132" s="37" t="s">
        <v>80</v>
      </c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8" t="s">
        <v>81</v>
      </c>
      <c r="AM132" s="38"/>
      <c r="AN132" s="38"/>
      <c r="AO132" s="38"/>
      <c r="AP132" s="38"/>
      <c r="AQ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38"/>
    </row>
    <row r="133" customFormat="false" ht="27.75" hidden="false" customHeight="true" outlineLevel="0" collapsed="false">
      <c r="B133" s="52" t="s">
        <v>71</v>
      </c>
      <c r="C133" s="52"/>
      <c r="D133" s="53" t="s">
        <v>4</v>
      </c>
      <c r="E133" s="53"/>
      <c r="F133" s="53"/>
      <c r="G133" s="53"/>
      <c r="H133" s="53" t="s">
        <v>73</v>
      </c>
      <c r="I133" s="53"/>
      <c r="J133" s="53"/>
      <c r="K133" s="53"/>
      <c r="L133" s="53"/>
      <c r="M133" s="53"/>
      <c r="N133" s="53"/>
      <c r="O133" s="53"/>
      <c r="P133" s="53" t="s">
        <v>82</v>
      </c>
      <c r="Q133" s="53"/>
      <c r="R133" s="53"/>
      <c r="S133" s="53"/>
      <c r="T133" s="53" t="s">
        <v>83</v>
      </c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 t="s">
        <v>84</v>
      </c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</row>
    <row r="134" customFormat="false" ht="21.75" hidden="false" customHeight="true" outlineLevel="0" collapsed="false">
      <c r="B134" s="54" t="n">
        <v>1</v>
      </c>
      <c r="C134" s="54"/>
      <c r="D134" s="55" t="n">
        <v>46296</v>
      </c>
      <c r="E134" s="55"/>
      <c r="F134" s="55"/>
      <c r="G134" s="55"/>
      <c r="H134" s="56" t="s">
        <v>85</v>
      </c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56"/>
      <c r="BB134" s="56"/>
      <c r="BC134" s="56"/>
    </row>
    <row r="135" customFormat="false" ht="21.75" hidden="false" customHeight="true" outlineLevel="0" collapsed="false">
      <c r="B135" s="54" t="n">
        <v>2</v>
      </c>
      <c r="C135" s="54"/>
      <c r="D135" s="55" t="n">
        <v>46296</v>
      </c>
      <c r="E135" s="55"/>
      <c r="F135" s="55"/>
      <c r="G135" s="55"/>
      <c r="H135" s="56" t="s">
        <v>86</v>
      </c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6"/>
      <c r="AW135" s="56"/>
      <c r="AX135" s="56"/>
      <c r="AY135" s="56"/>
      <c r="AZ135" s="56"/>
      <c r="BA135" s="56"/>
      <c r="BB135" s="56"/>
      <c r="BC135" s="56"/>
    </row>
    <row r="136" customFormat="false" ht="21.75" hidden="false" customHeight="true" outlineLevel="0" collapsed="false">
      <c r="B136" s="54" t="n">
        <v>3</v>
      </c>
      <c r="C136" s="54"/>
      <c r="D136" s="55" t="n">
        <v>46297</v>
      </c>
      <c r="E136" s="55"/>
      <c r="F136" s="55"/>
      <c r="G136" s="55"/>
      <c r="H136" s="56" t="s">
        <v>85</v>
      </c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</row>
    <row r="137" customFormat="false" ht="21.75" hidden="false" customHeight="true" outlineLevel="0" collapsed="false">
      <c r="B137" s="54" t="n">
        <v>4</v>
      </c>
      <c r="C137" s="54"/>
      <c r="D137" s="55" t="n">
        <v>46297</v>
      </c>
      <c r="E137" s="55"/>
      <c r="F137" s="55"/>
      <c r="G137" s="55"/>
      <c r="H137" s="56" t="s">
        <v>87</v>
      </c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</row>
    <row r="138" customFormat="false" ht="21.75" hidden="false" customHeight="true" outlineLevel="0" collapsed="false">
      <c r="B138" s="54" t="n">
        <v>5</v>
      </c>
      <c r="C138" s="54"/>
      <c r="D138" s="55" t="n">
        <v>46298</v>
      </c>
      <c r="E138" s="55"/>
      <c r="F138" s="55"/>
      <c r="G138" s="55"/>
      <c r="H138" s="56" t="s">
        <v>85</v>
      </c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</row>
    <row r="139" customFormat="false" ht="21.75" hidden="false" customHeight="true" outlineLevel="0" collapsed="false">
      <c r="B139" s="54" t="n">
        <v>6</v>
      </c>
      <c r="C139" s="54"/>
      <c r="D139" s="55" t="n">
        <v>46298</v>
      </c>
      <c r="E139" s="55"/>
      <c r="F139" s="55"/>
      <c r="G139" s="55"/>
      <c r="H139" s="56" t="s">
        <v>86</v>
      </c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56"/>
      <c r="AS139" s="56"/>
      <c r="AT139" s="56"/>
      <c r="AU139" s="56"/>
      <c r="AV139" s="56"/>
      <c r="AW139" s="56"/>
      <c r="AX139" s="56"/>
      <c r="AY139" s="56"/>
      <c r="AZ139" s="56"/>
      <c r="BA139" s="56"/>
      <c r="BB139" s="56"/>
      <c r="BC139" s="56"/>
    </row>
    <row r="140" customFormat="false" ht="21.75" hidden="false" customHeight="true" outlineLevel="0" collapsed="false">
      <c r="B140" s="54" t="n">
        <v>7</v>
      </c>
      <c r="C140" s="54"/>
      <c r="D140" s="55"/>
      <c r="E140" s="55"/>
      <c r="F140" s="55"/>
      <c r="G140" s="55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56"/>
      <c r="AS140" s="56"/>
      <c r="AT140" s="56"/>
      <c r="AU140" s="56"/>
      <c r="AV140" s="56"/>
      <c r="AW140" s="56"/>
      <c r="AX140" s="56"/>
      <c r="AY140" s="56"/>
      <c r="AZ140" s="56"/>
      <c r="BA140" s="56"/>
      <c r="BB140" s="56"/>
      <c r="BC140" s="56"/>
    </row>
    <row r="141" customFormat="false" ht="21.75" hidden="false" customHeight="true" outlineLevel="0" collapsed="false">
      <c r="B141" s="54" t="n">
        <v>8</v>
      </c>
      <c r="C141" s="54"/>
      <c r="D141" s="55"/>
      <c r="E141" s="55"/>
      <c r="F141" s="55"/>
      <c r="G141" s="55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56"/>
      <c r="AV141" s="56"/>
      <c r="AW141" s="56"/>
      <c r="AX141" s="56"/>
      <c r="AY141" s="56"/>
      <c r="AZ141" s="56"/>
      <c r="BA141" s="56"/>
      <c r="BB141" s="56"/>
      <c r="BC141" s="56"/>
    </row>
    <row r="142" customFormat="false" ht="21.75" hidden="false" customHeight="true" outlineLevel="0" collapsed="false">
      <c r="B142" s="54" t="n">
        <v>9</v>
      </c>
      <c r="C142" s="54"/>
      <c r="D142" s="55"/>
      <c r="E142" s="55"/>
      <c r="F142" s="55"/>
      <c r="G142" s="55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6"/>
      <c r="AW142" s="56"/>
      <c r="AX142" s="56"/>
      <c r="AY142" s="56"/>
      <c r="AZ142" s="56"/>
      <c r="BA142" s="56"/>
      <c r="BB142" s="56"/>
      <c r="BC142" s="56"/>
    </row>
    <row r="143" customFormat="false" ht="21.75" hidden="false" customHeight="true" outlineLevel="0" collapsed="false">
      <c r="B143" s="54" t="n">
        <v>10</v>
      </c>
      <c r="C143" s="54"/>
      <c r="D143" s="55"/>
      <c r="E143" s="55"/>
      <c r="F143" s="55"/>
      <c r="G143" s="55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  <c r="AV143" s="56"/>
      <c r="AW143" s="56"/>
      <c r="AX143" s="56"/>
      <c r="AY143" s="56"/>
      <c r="AZ143" s="56"/>
      <c r="BA143" s="56"/>
      <c r="BB143" s="56"/>
      <c r="BC143" s="56"/>
    </row>
    <row r="144" customFormat="false" ht="21.75" hidden="false" customHeight="true" outlineLevel="0" collapsed="false">
      <c r="B144" s="54" t="n">
        <v>11</v>
      </c>
      <c r="C144" s="54"/>
      <c r="D144" s="55"/>
      <c r="E144" s="55"/>
      <c r="F144" s="55"/>
      <c r="G144" s="55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  <c r="AV144" s="56"/>
      <c r="AW144" s="56"/>
      <c r="AX144" s="56"/>
      <c r="AY144" s="56"/>
      <c r="AZ144" s="56"/>
      <c r="BA144" s="56"/>
      <c r="BB144" s="56"/>
      <c r="BC144" s="56"/>
    </row>
    <row r="145" customFormat="false" ht="21.75" hidden="false" customHeight="true" outlineLevel="0" collapsed="false">
      <c r="B145" s="54" t="n">
        <v>12</v>
      </c>
      <c r="C145" s="54"/>
      <c r="D145" s="55"/>
      <c r="E145" s="55"/>
      <c r="F145" s="55"/>
      <c r="G145" s="55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56"/>
      <c r="AS145" s="56"/>
      <c r="AT145" s="56"/>
      <c r="AU145" s="56"/>
      <c r="AV145" s="56"/>
      <c r="AW145" s="56"/>
      <c r="AX145" s="56"/>
      <c r="AY145" s="56"/>
      <c r="AZ145" s="56"/>
      <c r="BA145" s="56"/>
      <c r="BB145" s="56"/>
      <c r="BC145" s="56"/>
    </row>
    <row r="146" customFormat="false" ht="21.75" hidden="false" customHeight="true" outlineLevel="0" collapsed="false">
      <c r="B146" s="54" t="n">
        <v>13</v>
      </c>
      <c r="C146" s="54"/>
      <c r="D146" s="55"/>
      <c r="E146" s="55"/>
      <c r="F146" s="55"/>
      <c r="G146" s="55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56"/>
      <c r="AS146" s="56"/>
      <c r="AT146" s="56"/>
      <c r="AU146" s="56"/>
      <c r="AV146" s="56"/>
      <c r="AW146" s="56"/>
      <c r="AX146" s="56"/>
      <c r="AY146" s="56"/>
      <c r="AZ146" s="56"/>
      <c r="BA146" s="56"/>
      <c r="BB146" s="56"/>
      <c r="BC146" s="56"/>
    </row>
    <row r="147" customFormat="false" ht="21.75" hidden="false" customHeight="true" outlineLevel="0" collapsed="false">
      <c r="B147" s="54" t="n">
        <v>14</v>
      </c>
      <c r="C147" s="54"/>
      <c r="D147" s="55"/>
      <c r="E147" s="55"/>
      <c r="F147" s="55"/>
      <c r="G147" s="55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6"/>
      <c r="AQ147" s="56"/>
      <c r="AR147" s="56"/>
      <c r="AS147" s="56"/>
      <c r="AT147" s="56"/>
      <c r="AU147" s="56"/>
      <c r="AV147" s="56"/>
      <c r="AW147" s="56"/>
      <c r="AX147" s="56"/>
      <c r="AY147" s="56"/>
      <c r="AZ147" s="56"/>
      <c r="BA147" s="56"/>
      <c r="BB147" s="56"/>
      <c r="BC147" s="56"/>
    </row>
    <row r="148" customFormat="false" ht="21.75" hidden="false" customHeight="true" outlineLevel="0" collapsed="false">
      <c r="B148" s="54" t="n">
        <v>15</v>
      </c>
      <c r="C148" s="54"/>
      <c r="D148" s="55"/>
      <c r="E148" s="55"/>
      <c r="F148" s="55"/>
      <c r="G148" s="55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6"/>
      <c r="AR148" s="56"/>
      <c r="AS148" s="56"/>
      <c r="AT148" s="56"/>
      <c r="AU148" s="56"/>
      <c r="AV148" s="56"/>
      <c r="AW148" s="56"/>
      <c r="AX148" s="56"/>
      <c r="AY148" s="56"/>
      <c r="AZ148" s="56"/>
      <c r="BA148" s="56"/>
      <c r="BB148" s="56"/>
      <c r="BC148" s="56"/>
    </row>
    <row r="149" customFormat="false" ht="21.75" hidden="false" customHeight="true" outlineLevel="0" collapsed="false">
      <c r="B149" s="54" t="n">
        <v>16</v>
      </c>
      <c r="C149" s="54"/>
      <c r="D149" s="55"/>
      <c r="E149" s="55"/>
      <c r="F149" s="55"/>
      <c r="G149" s="55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R149" s="56"/>
      <c r="AS149" s="56"/>
      <c r="AT149" s="56"/>
      <c r="AU149" s="56"/>
      <c r="AV149" s="56"/>
      <c r="AW149" s="56"/>
      <c r="AX149" s="56"/>
      <c r="AY149" s="56"/>
      <c r="AZ149" s="56"/>
      <c r="BA149" s="56"/>
      <c r="BB149" s="56"/>
      <c r="BC149" s="56"/>
    </row>
    <row r="150" customFormat="false" ht="21.75" hidden="false" customHeight="true" outlineLevel="0" collapsed="false">
      <c r="B150" s="54" t="n">
        <v>17</v>
      </c>
      <c r="C150" s="54"/>
      <c r="D150" s="55"/>
      <c r="E150" s="55"/>
      <c r="F150" s="55"/>
      <c r="G150" s="55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/>
      <c r="BB150" s="56"/>
      <c r="BC150" s="56"/>
    </row>
    <row r="151" customFormat="false" ht="21.75" hidden="false" customHeight="true" outlineLevel="0" collapsed="false">
      <c r="B151" s="54" t="n">
        <v>18</v>
      </c>
      <c r="C151" s="54"/>
      <c r="D151" s="55"/>
      <c r="E151" s="55"/>
      <c r="F151" s="55"/>
      <c r="G151" s="55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6"/>
      <c r="AQ151" s="56"/>
      <c r="AR151" s="56"/>
      <c r="AS151" s="56"/>
      <c r="AT151" s="56"/>
      <c r="AU151" s="56"/>
      <c r="AV151" s="56"/>
      <c r="AW151" s="56"/>
      <c r="AX151" s="56"/>
      <c r="AY151" s="56"/>
      <c r="AZ151" s="56"/>
      <c r="BA151" s="56"/>
      <c r="BB151" s="56"/>
      <c r="BC151" s="56"/>
    </row>
    <row r="152" customFormat="false" ht="21.75" hidden="false" customHeight="true" outlineLevel="0" collapsed="false">
      <c r="B152" s="54" t="n">
        <v>19</v>
      </c>
      <c r="C152" s="54"/>
      <c r="D152" s="55"/>
      <c r="E152" s="55"/>
      <c r="F152" s="55"/>
      <c r="G152" s="55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6"/>
      <c r="AQ152" s="56"/>
      <c r="AR152" s="56"/>
      <c r="AS152" s="56"/>
      <c r="AT152" s="56"/>
      <c r="AU152" s="56"/>
      <c r="AV152" s="56"/>
      <c r="AW152" s="56"/>
      <c r="AX152" s="56"/>
      <c r="AY152" s="56"/>
      <c r="AZ152" s="56"/>
      <c r="BA152" s="56"/>
      <c r="BB152" s="56"/>
      <c r="BC152" s="56"/>
    </row>
    <row r="153" customFormat="false" ht="21.75" hidden="false" customHeight="true" outlineLevel="0" collapsed="false">
      <c r="B153" s="54" t="n">
        <v>20</v>
      </c>
      <c r="C153" s="54"/>
      <c r="D153" s="55"/>
      <c r="E153" s="55"/>
      <c r="F153" s="55"/>
      <c r="G153" s="55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6"/>
      <c r="AQ153" s="56"/>
      <c r="AR153" s="56"/>
      <c r="AS153" s="56"/>
      <c r="AT153" s="56"/>
      <c r="AU153" s="56"/>
      <c r="AV153" s="56"/>
      <c r="AW153" s="56"/>
      <c r="AX153" s="56"/>
      <c r="AY153" s="56"/>
      <c r="AZ153" s="56"/>
      <c r="BA153" s="56"/>
      <c r="BB153" s="56"/>
      <c r="BC153" s="56"/>
    </row>
    <row r="154" customFormat="false" ht="21.75" hidden="false" customHeight="true" outlineLevel="0" collapsed="false">
      <c r="B154" s="54" t="n">
        <v>21</v>
      </c>
      <c r="C154" s="54"/>
      <c r="D154" s="55"/>
      <c r="E154" s="55"/>
      <c r="F154" s="55"/>
      <c r="G154" s="55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6"/>
      <c r="AQ154" s="56"/>
      <c r="AR154" s="56"/>
      <c r="AS154" s="56"/>
      <c r="AT154" s="56"/>
      <c r="AU154" s="56"/>
      <c r="AV154" s="56"/>
      <c r="AW154" s="56"/>
      <c r="AX154" s="56"/>
      <c r="AY154" s="56"/>
      <c r="AZ154" s="56"/>
      <c r="BA154" s="56"/>
      <c r="BB154" s="56"/>
      <c r="BC154" s="56"/>
    </row>
    <row r="155" customFormat="false" ht="21.75" hidden="false" customHeight="true" outlineLevel="0" collapsed="false">
      <c r="B155" s="54" t="n">
        <v>22</v>
      </c>
      <c r="C155" s="54"/>
      <c r="D155" s="55"/>
      <c r="E155" s="55"/>
      <c r="F155" s="55"/>
      <c r="G155" s="55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  <c r="AV155" s="56"/>
      <c r="AW155" s="56"/>
      <c r="AX155" s="56"/>
      <c r="AY155" s="56"/>
      <c r="AZ155" s="56"/>
      <c r="BA155" s="56"/>
      <c r="BB155" s="56"/>
      <c r="BC155" s="56"/>
    </row>
    <row r="156" customFormat="false" ht="21.75" hidden="false" customHeight="true" outlineLevel="0" collapsed="false">
      <c r="B156" s="54" t="n">
        <v>23</v>
      </c>
      <c r="C156" s="54"/>
      <c r="D156" s="55"/>
      <c r="E156" s="55"/>
      <c r="F156" s="55"/>
      <c r="G156" s="55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  <c r="AV156" s="56"/>
      <c r="AW156" s="56"/>
      <c r="AX156" s="56"/>
      <c r="AY156" s="56"/>
      <c r="AZ156" s="56"/>
      <c r="BA156" s="56"/>
      <c r="BB156" s="56"/>
      <c r="BC156" s="56"/>
    </row>
    <row r="157" customFormat="false" ht="21.75" hidden="false" customHeight="true" outlineLevel="0" collapsed="false">
      <c r="B157" s="54" t="n">
        <v>24</v>
      </c>
      <c r="C157" s="54"/>
      <c r="D157" s="55"/>
      <c r="E157" s="55"/>
      <c r="F157" s="55"/>
      <c r="G157" s="55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R157" s="56"/>
      <c r="AS157" s="56"/>
      <c r="AT157" s="56"/>
      <c r="AU157" s="56"/>
      <c r="AV157" s="56"/>
      <c r="AW157" s="56"/>
      <c r="AX157" s="56"/>
      <c r="AY157" s="56"/>
      <c r="AZ157" s="56"/>
      <c r="BA157" s="56"/>
      <c r="BB157" s="56"/>
      <c r="BC157" s="56"/>
    </row>
    <row r="158" customFormat="false" ht="21.75" hidden="false" customHeight="true" outlineLevel="0" collapsed="false">
      <c r="B158" s="54" t="n">
        <v>25</v>
      </c>
      <c r="C158" s="54"/>
      <c r="D158" s="55"/>
      <c r="E158" s="55"/>
      <c r="F158" s="55"/>
      <c r="G158" s="55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  <c r="AT158" s="56"/>
      <c r="AU158" s="56"/>
      <c r="AV158" s="56"/>
      <c r="AW158" s="56"/>
      <c r="AX158" s="56"/>
      <c r="AY158" s="56"/>
      <c r="AZ158" s="56"/>
      <c r="BA158" s="56"/>
      <c r="BB158" s="56"/>
      <c r="BC158" s="56"/>
    </row>
    <row r="159" customFormat="false" ht="21.75" hidden="false" customHeight="true" outlineLevel="0" collapsed="false">
      <c r="B159" s="54" t="n">
        <v>26</v>
      </c>
      <c r="C159" s="54"/>
      <c r="D159" s="55"/>
      <c r="E159" s="55"/>
      <c r="F159" s="55"/>
      <c r="G159" s="55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  <c r="AV159" s="56"/>
      <c r="AW159" s="56"/>
      <c r="AX159" s="56"/>
      <c r="AY159" s="56"/>
      <c r="AZ159" s="56"/>
      <c r="BA159" s="56"/>
      <c r="BB159" s="56"/>
      <c r="BC159" s="56"/>
    </row>
    <row r="160" customFormat="false" ht="21.75" hidden="false" customHeight="true" outlineLevel="0" collapsed="false">
      <c r="B160" s="54" t="n">
        <v>27</v>
      </c>
      <c r="C160" s="54"/>
      <c r="D160" s="55"/>
      <c r="E160" s="55"/>
      <c r="F160" s="55"/>
      <c r="G160" s="55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56"/>
      <c r="AS160" s="56"/>
      <c r="AT160" s="56"/>
      <c r="AU160" s="56"/>
      <c r="AV160" s="56"/>
      <c r="AW160" s="56"/>
      <c r="AX160" s="56"/>
      <c r="AY160" s="56"/>
      <c r="AZ160" s="56"/>
      <c r="BA160" s="56"/>
      <c r="BB160" s="56"/>
      <c r="BC160" s="56"/>
    </row>
    <row r="161" customFormat="false" ht="21.75" hidden="false" customHeight="true" outlineLevel="0" collapsed="false">
      <c r="B161" s="54" t="n">
        <v>28</v>
      </c>
      <c r="C161" s="54"/>
      <c r="D161" s="55"/>
      <c r="E161" s="55"/>
      <c r="F161" s="55"/>
      <c r="G161" s="55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  <c r="AT161" s="56"/>
      <c r="AU161" s="56"/>
      <c r="AV161" s="56"/>
      <c r="AW161" s="56"/>
      <c r="AX161" s="56"/>
      <c r="AY161" s="56"/>
      <c r="AZ161" s="56"/>
      <c r="BA161" s="56"/>
      <c r="BB161" s="56"/>
      <c r="BC161" s="56"/>
    </row>
    <row r="162" customFormat="false" ht="21.75" hidden="false" customHeight="true" outlineLevel="0" collapsed="false">
      <c r="B162" s="54" t="n">
        <v>29</v>
      </c>
      <c r="C162" s="54"/>
      <c r="D162" s="55"/>
      <c r="E162" s="55"/>
      <c r="F162" s="55"/>
      <c r="G162" s="55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56"/>
      <c r="AS162" s="56"/>
      <c r="AT162" s="56"/>
      <c r="AU162" s="56"/>
      <c r="AV162" s="56"/>
      <c r="AW162" s="56"/>
      <c r="AX162" s="56"/>
      <c r="AY162" s="56"/>
      <c r="AZ162" s="56"/>
      <c r="BA162" s="56"/>
      <c r="BB162" s="56"/>
      <c r="BC162" s="56"/>
    </row>
    <row r="163" customFormat="false" ht="21.75" hidden="false" customHeight="true" outlineLevel="0" collapsed="false">
      <c r="B163" s="54" t="n">
        <v>30</v>
      </c>
      <c r="C163" s="54"/>
      <c r="D163" s="55"/>
      <c r="E163" s="55"/>
      <c r="F163" s="55"/>
      <c r="G163" s="55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R163" s="56"/>
      <c r="AS163" s="56"/>
      <c r="AT163" s="56"/>
      <c r="AU163" s="56"/>
      <c r="AV163" s="56"/>
      <c r="AW163" s="56"/>
      <c r="AX163" s="56"/>
      <c r="AY163" s="56"/>
      <c r="AZ163" s="56"/>
      <c r="BA163" s="56"/>
      <c r="BB163" s="56"/>
      <c r="BC163" s="56"/>
    </row>
    <row r="164" customFormat="false" ht="21.75" hidden="false" customHeight="true" outlineLevel="0" collapsed="false">
      <c r="B164" s="54" t="n">
        <v>31</v>
      </c>
      <c r="C164" s="54"/>
      <c r="D164" s="55"/>
      <c r="E164" s="55"/>
      <c r="F164" s="55"/>
      <c r="G164" s="55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56"/>
      <c r="AS164" s="56"/>
      <c r="AT164" s="56"/>
      <c r="AU164" s="56"/>
      <c r="AV164" s="56"/>
      <c r="AW164" s="56"/>
      <c r="AX164" s="56"/>
      <c r="AY164" s="56"/>
      <c r="AZ164" s="56"/>
      <c r="BA164" s="56"/>
      <c r="BB164" s="56"/>
      <c r="BC164" s="56"/>
    </row>
    <row r="165" customFormat="false" ht="21.75" hidden="false" customHeight="true" outlineLevel="0" collapsed="false">
      <c r="B165" s="54" t="n">
        <v>32</v>
      </c>
      <c r="C165" s="54"/>
      <c r="D165" s="55"/>
      <c r="E165" s="55"/>
      <c r="F165" s="55"/>
      <c r="G165" s="55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  <c r="AV165" s="56"/>
      <c r="AW165" s="56"/>
      <c r="AX165" s="56"/>
      <c r="AY165" s="56"/>
      <c r="AZ165" s="56"/>
      <c r="BA165" s="56"/>
      <c r="BB165" s="56"/>
      <c r="BC165" s="56"/>
    </row>
    <row r="166" customFormat="false" ht="21.75" hidden="false" customHeight="true" outlineLevel="0" collapsed="false">
      <c r="B166" s="54" t="n">
        <v>33</v>
      </c>
      <c r="C166" s="54"/>
      <c r="D166" s="55"/>
      <c r="E166" s="55"/>
      <c r="F166" s="55"/>
      <c r="G166" s="55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56"/>
      <c r="AV166" s="56"/>
      <c r="AW166" s="56"/>
      <c r="AX166" s="56"/>
      <c r="AY166" s="56"/>
      <c r="AZ166" s="56"/>
      <c r="BA166" s="56"/>
      <c r="BB166" s="56"/>
      <c r="BC166" s="56"/>
    </row>
    <row r="167" customFormat="false" ht="21.75" hidden="false" customHeight="true" outlineLevel="0" collapsed="false">
      <c r="B167" s="54" t="n">
        <v>34</v>
      </c>
      <c r="C167" s="54"/>
      <c r="D167" s="55"/>
      <c r="E167" s="55"/>
      <c r="F167" s="55"/>
      <c r="G167" s="55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</row>
    <row r="168" customFormat="false" ht="21.75" hidden="false" customHeight="true" outlineLevel="0" collapsed="false">
      <c r="B168" s="54" t="n">
        <v>35</v>
      </c>
      <c r="C168" s="54"/>
      <c r="D168" s="55"/>
      <c r="E168" s="55"/>
      <c r="F168" s="55"/>
      <c r="G168" s="55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</row>
    <row r="169" customFormat="false" ht="21.75" hidden="false" customHeight="true" outlineLevel="0" collapsed="false">
      <c r="B169" s="54" t="n">
        <v>36</v>
      </c>
      <c r="C169" s="54"/>
      <c r="D169" s="55"/>
      <c r="E169" s="55"/>
      <c r="F169" s="55"/>
      <c r="G169" s="55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</row>
    <row r="170" customFormat="false" ht="21.75" hidden="false" customHeight="true" outlineLevel="0" collapsed="false">
      <c r="B170" s="54" t="n">
        <v>37</v>
      </c>
      <c r="C170" s="54"/>
      <c r="D170" s="55"/>
      <c r="E170" s="55"/>
      <c r="F170" s="55"/>
      <c r="G170" s="55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6"/>
      <c r="AW170" s="56"/>
      <c r="AX170" s="56"/>
      <c r="AY170" s="56"/>
      <c r="AZ170" s="56"/>
      <c r="BA170" s="56"/>
      <c r="BB170" s="56"/>
      <c r="BC170" s="56"/>
    </row>
    <row r="171" customFormat="false" ht="21.75" hidden="false" customHeight="true" outlineLevel="0" collapsed="false">
      <c r="B171" s="54" t="n">
        <v>38</v>
      </c>
      <c r="C171" s="54"/>
      <c r="D171" s="55"/>
      <c r="E171" s="55"/>
      <c r="F171" s="55"/>
      <c r="G171" s="55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56"/>
      <c r="AV171" s="56"/>
      <c r="AW171" s="56"/>
      <c r="AX171" s="56"/>
      <c r="AY171" s="56"/>
      <c r="AZ171" s="56"/>
      <c r="BA171" s="56"/>
      <c r="BB171" s="56"/>
      <c r="BC171" s="56"/>
    </row>
    <row r="172" customFormat="false" ht="21.75" hidden="false" customHeight="true" outlineLevel="0" collapsed="false">
      <c r="B172" s="54" t="n">
        <v>39</v>
      </c>
      <c r="C172" s="54"/>
      <c r="D172" s="55"/>
      <c r="E172" s="55"/>
      <c r="F172" s="55"/>
      <c r="G172" s="55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6"/>
      <c r="AQ172" s="56"/>
      <c r="AR172" s="56"/>
      <c r="AS172" s="56"/>
      <c r="AT172" s="56"/>
      <c r="AU172" s="56"/>
      <c r="AV172" s="56"/>
      <c r="AW172" s="56"/>
      <c r="AX172" s="56"/>
      <c r="AY172" s="56"/>
      <c r="AZ172" s="56"/>
      <c r="BA172" s="56"/>
      <c r="BB172" s="56"/>
      <c r="BC172" s="56"/>
    </row>
    <row r="173" customFormat="false" ht="21.75" hidden="false" customHeight="true" outlineLevel="0" collapsed="false">
      <c r="B173" s="54" t="n">
        <v>40</v>
      </c>
      <c r="C173" s="54"/>
      <c r="D173" s="55"/>
      <c r="E173" s="55"/>
      <c r="F173" s="55"/>
      <c r="G173" s="55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56"/>
      <c r="AS173" s="56"/>
      <c r="AT173" s="56"/>
      <c r="AU173" s="56"/>
      <c r="AV173" s="56"/>
      <c r="AW173" s="56"/>
      <c r="AX173" s="56"/>
      <c r="AY173" s="56"/>
      <c r="AZ173" s="56"/>
      <c r="BA173" s="56"/>
      <c r="BB173" s="56"/>
      <c r="BC173" s="56"/>
    </row>
    <row r="174" customFormat="false" ht="21.75" hidden="false" customHeight="true" outlineLevel="0" collapsed="false">
      <c r="B174" s="54" t="n">
        <v>41</v>
      </c>
      <c r="C174" s="54"/>
      <c r="D174" s="55"/>
      <c r="E174" s="55"/>
      <c r="F174" s="55"/>
      <c r="G174" s="55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56"/>
      <c r="AV174" s="56"/>
      <c r="AW174" s="56"/>
      <c r="AX174" s="56"/>
      <c r="AY174" s="56"/>
      <c r="AZ174" s="56"/>
      <c r="BA174" s="56"/>
      <c r="BB174" s="56"/>
      <c r="BC174" s="56"/>
    </row>
    <row r="175" customFormat="false" ht="21.75" hidden="false" customHeight="true" outlineLevel="0" collapsed="false">
      <c r="B175" s="54" t="n">
        <v>42</v>
      </c>
      <c r="C175" s="54"/>
      <c r="D175" s="55"/>
      <c r="E175" s="55"/>
      <c r="F175" s="55"/>
      <c r="G175" s="55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56"/>
      <c r="AS175" s="56"/>
      <c r="AT175" s="56"/>
      <c r="AU175" s="56"/>
      <c r="AV175" s="56"/>
      <c r="AW175" s="56"/>
      <c r="AX175" s="56"/>
      <c r="AY175" s="56"/>
      <c r="AZ175" s="56"/>
      <c r="BA175" s="56"/>
      <c r="BB175" s="56"/>
      <c r="BC175" s="56"/>
    </row>
    <row r="176" customFormat="false" ht="21.75" hidden="false" customHeight="true" outlineLevel="0" collapsed="false">
      <c r="B176" s="54" t="n">
        <v>43</v>
      </c>
      <c r="C176" s="54"/>
      <c r="D176" s="55"/>
      <c r="E176" s="55"/>
      <c r="F176" s="55"/>
      <c r="G176" s="55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  <c r="AT176" s="56"/>
      <c r="AU176" s="56"/>
      <c r="AV176" s="56"/>
      <c r="AW176" s="56"/>
      <c r="AX176" s="56"/>
      <c r="AY176" s="56"/>
      <c r="AZ176" s="56"/>
      <c r="BA176" s="56"/>
      <c r="BB176" s="56"/>
      <c r="BC176" s="56"/>
    </row>
    <row r="177" customFormat="false" ht="21.75" hidden="false" customHeight="true" outlineLevel="0" collapsed="false">
      <c r="B177" s="54" t="n">
        <v>44</v>
      </c>
      <c r="C177" s="54"/>
      <c r="D177" s="55"/>
      <c r="E177" s="55"/>
      <c r="F177" s="55"/>
      <c r="G177" s="55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  <c r="AT177" s="56"/>
      <c r="AU177" s="56"/>
      <c r="AV177" s="56"/>
      <c r="AW177" s="56"/>
      <c r="AX177" s="56"/>
      <c r="AY177" s="56"/>
      <c r="AZ177" s="56"/>
      <c r="BA177" s="56"/>
      <c r="BB177" s="56"/>
      <c r="BC177" s="56"/>
    </row>
    <row r="178" customFormat="false" ht="21.75" hidden="false" customHeight="true" outlineLevel="0" collapsed="false">
      <c r="B178" s="54" t="n">
        <v>45</v>
      </c>
      <c r="C178" s="54"/>
      <c r="D178" s="55"/>
      <c r="E178" s="55"/>
      <c r="F178" s="55"/>
      <c r="G178" s="55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  <c r="AT178" s="56"/>
      <c r="AU178" s="56"/>
      <c r="AV178" s="56"/>
      <c r="AW178" s="56"/>
      <c r="AX178" s="56"/>
      <c r="AY178" s="56"/>
      <c r="AZ178" s="56"/>
      <c r="BA178" s="56"/>
      <c r="BB178" s="56"/>
      <c r="BC178" s="56"/>
    </row>
    <row r="179" customFormat="false" ht="21.75" hidden="false" customHeight="true" outlineLevel="0" collapsed="false">
      <c r="B179" s="54" t="n">
        <v>46</v>
      </c>
      <c r="C179" s="54"/>
      <c r="D179" s="55"/>
      <c r="E179" s="55"/>
      <c r="F179" s="55"/>
      <c r="G179" s="55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56"/>
      <c r="AW179" s="56"/>
      <c r="AX179" s="56"/>
      <c r="AY179" s="56"/>
      <c r="AZ179" s="56"/>
      <c r="BA179" s="56"/>
      <c r="BB179" s="56"/>
      <c r="BC179" s="56"/>
    </row>
    <row r="180" customFormat="false" ht="21.75" hidden="false" customHeight="true" outlineLevel="0" collapsed="false">
      <c r="B180" s="54" t="n">
        <v>47</v>
      </c>
      <c r="C180" s="54"/>
      <c r="D180" s="55"/>
      <c r="E180" s="55"/>
      <c r="F180" s="55"/>
      <c r="G180" s="55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56"/>
      <c r="AV180" s="56"/>
      <c r="AW180" s="56"/>
      <c r="AX180" s="56"/>
      <c r="AY180" s="56"/>
      <c r="AZ180" s="56"/>
      <c r="BA180" s="56"/>
      <c r="BB180" s="56"/>
      <c r="BC180" s="56"/>
    </row>
    <row r="181" customFormat="false" ht="21.75" hidden="false" customHeight="true" outlineLevel="0" collapsed="false">
      <c r="B181" s="54" t="n">
        <v>48</v>
      </c>
      <c r="C181" s="54"/>
      <c r="D181" s="55"/>
      <c r="E181" s="55"/>
      <c r="F181" s="55"/>
      <c r="G181" s="55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6"/>
      <c r="AW181" s="56"/>
      <c r="AX181" s="56"/>
      <c r="AY181" s="56"/>
      <c r="AZ181" s="56"/>
      <c r="BA181" s="56"/>
      <c r="BB181" s="56"/>
      <c r="BC181" s="56"/>
    </row>
    <row r="182" customFormat="false" ht="21.75" hidden="false" customHeight="true" outlineLevel="0" collapsed="false">
      <c r="B182" s="54" t="n">
        <v>49</v>
      </c>
      <c r="C182" s="54"/>
      <c r="D182" s="55"/>
      <c r="E182" s="55"/>
      <c r="F182" s="55"/>
      <c r="G182" s="55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6"/>
      <c r="AW182" s="56"/>
      <c r="AX182" s="56"/>
      <c r="AY182" s="56"/>
      <c r="AZ182" s="56"/>
      <c r="BA182" s="56"/>
      <c r="BB182" s="56"/>
      <c r="BC182" s="56"/>
    </row>
    <row r="183" customFormat="false" ht="21.75" hidden="false" customHeight="true" outlineLevel="0" collapsed="false">
      <c r="B183" s="54" t="n">
        <v>50</v>
      </c>
      <c r="C183" s="54"/>
      <c r="D183" s="55"/>
      <c r="E183" s="55"/>
      <c r="F183" s="55"/>
      <c r="G183" s="55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56"/>
      <c r="AV183" s="56"/>
      <c r="AW183" s="56"/>
      <c r="AX183" s="56"/>
      <c r="AY183" s="56"/>
      <c r="AZ183" s="56"/>
      <c r="BA183" s="56"/>
      <c r="BB183" s="56"/>
      <c r="BC183" s="56"/>
    </row>
    <row r="184" customFormat="false" ht="21.75" hidden="false" customHeight="true" outlineLevel="0" collapsed="false">
      <c r="B184" s="54" t="n">
        <v>51</v>
      </c>
      <c r="C184" s="54"/>
      <c r="D184" s="55"/>
      <c r="E184" s="55"/>
      <c r="F184" s="55"/>
      <c r="G184" s="55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6"/>
      <c r="AQ184" s="56"/>
      <c r="AR184" s="56"/>
      <c r="AS184" s="56"/>
      <c r="AT184" s="56"/>
      <c r="AU184" s="56"/>
      <c r="AV184" s="56"/>
      <c r="AW184" s="56"/>
      <c r="AX184" s="56"/>
      <c r="AY184" s="56"/>
      <c r="AZ184" s="56"/>
      <c r="BA184" s="56"/>
      <c r="BB184" s="56"/>
      <c r="BC184" s="56"/>
    </row>
    <row r="185" customFormat="false" ht="21.75" hidden="false" customHeight="true" outlineLevel="0" collapsed="false">
      <c r="B185" s="54" t="n">
        <v>52</v>
      </c>
      <c r="C185" s="54"/>
      <c r="D185" s="55"/>
      <c r="E185" s="55"/>
      <c r="F185" s="55"/>
      <c r="G185" s="55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56"/>
      <c r="AS185" s="56"/>
      <c r="AT185" s="56"/>
      <c r="AU185" s="56"/>
      <c r="AV185" s="56"/>
      <c r="AW185" s="56"/>
      <c r="AX185" s="56"/>
      <c r="AY185" s="56"/>
      <c r="AZ185" s="56"/>
      <c r="BA185" s="56"/>
      <c r="BB185" s="56"/>
      <c r="BC185" s="56"/>
    </row>
    <row r="186" customFormat="false" ht="21.75" hidden="false" customHeight="true" outlineLevel="0" collapsed="false">
      <c r="B186" s="54" t="n">
        <v>53</v>
      </c>
      <c r="C186" s="54"/>
      <c r="D186" s="55"/>
      <c r="E186" s="55"/>
      <c r="F186" s="55"/>
      <c r="G186" s="55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56"/>
      <c r="AS186" s="56"/>
      <c r="AT186" s="56"/>
      <c r="AU186" s="56"/>
      <c r="AV186" s="56"/>
      <c r="AW186" s="56"/>
      <c r="AX186" s="56"/>
      <c r="AY186" s="56"/>
      <c r="AZ186" s="56"/>
      <c r="BA186" s="56"/>
      <c r="BB186" s="56"/>
      <c r="BC186" s="56"/>
    </row>
    <row r="187" customFormat="false" ht="21.75" hidden="false" customHeight="true" outlineLevel="0" collapsed="false">
      <c r="B187" s="54" t="n">
        <v>54</v>
      </c>
      <c r="C187" s="54"/>
      <c r="D187" s="55"/>
      <c r="E187" s="55"/>
      <c r="F187" s="55"/>
      <c r="G187" s="55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6"/>
      <c r="AR187" s="56"/>
      <c r="AS187" s="56"/>
      <c r="AT187" s="56"/>
      <c r="AU187" s="56"/>
      <c r="AV187" s="56"/>
      <c r="AW187" s="56"/>
      <c r="AX187" s="56"/>
      <c r="AY187" s="56"/>
      <c r="AZ187" s="56"/>
      <c r="BA187" s="56"/>
      <c r="BB187" s="56"/>
      <c r="BC187" s="56"/>
    </row>
    <row r="188" customFormat="false" ht="21.75" hidden="false" customHeight="true" outlineLevel="0" collapsed="false">
      <c r="B188" s="54" t="n">
        <v>55</v>
      </c>
      <c r="C188" s="54"/>
      <c r="D188" s="55"/>
      <c r="E188" s="55"/>
      <c r="F188" s="55"/>
      <c r="G188" s="55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6"/>
      <c r="AR188" s="56"/>
      <c r="AS188" s="56"/>
      <c r="AT188" s="56"/>
      <c r="AU188" s="56"/>
      <c r="AV188" s="56"/>
      <c r="AW188" s="56"/>
      <c r="AX188" s="56"/>
      <c r="AY188" s="56"/>
      <c r="AZ188" s="56"/>
      <c r="BA188" s="56"/>
      <c r="BB188" s="56"/>
      <c r="BC188" s="56"/>
    </row>
    <row r="189" customFormat="false" ht="21.75" hidden="false" customHeight="true" outlineLevel="0" collapsed="false">
      <c r="B189" s="54" t="n">
        <v>56</v>
      </c>
      <c r="C189" s="54"/>
      <c r="D189" s="55"/>
      <c r="E189" s="55"/>
      <c r="F189" s="55"/>
      <c r="G189" s="55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56"/>
      <c r="AV189" s="56"/>
      <c r="AW189" s="56"/>
      <c r="AX189" s="56"/>
      <c r="AY189" s="56"/>
      <c r="AZ189" s="56"/>
      <c r="BA189" s="56"/>
      <c r="BB189" s="56"/>
      <c r="BC189" s="56"/>
    </row>
    <row r="190" customFormat="false" ht="21.75" hidden="false" customHeight="true" outlineLevel="0" collapsed="false">
      <c r="B190" s="54" t="n">
        <v>57</v>
      </c>
      <c r="C190" s="54"/>
      <c r="D190" s="55"/>
      <c r="E190" s="55"/>
      <c r="F190" s="55"/>
      <c r="G190" s="55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/>
      <c r="BB190" s="56"/>
      <c r="BC190" s="56"/>
    </row>
    <row r="191" customFormat="false" ht="21.75" hidden="false" customHeight="true" outlineLevel="0" collapsed="false">
      <c r="B191" s="54" t="n">
        <v>58</v>
      </c>
      <c r="C191" s="54"/>
      <c r="D191" s="55"/>
      <c r="E191" s="55"/>
      <c r="F191" s="55"/>
      <c r="G191" s="55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56"/>
      <c r="AS191" s="56"/>
      <c r="AT191" s="56"/>
      <c r="AU191" s="56"/>
      <c r="AV191" s="56"/>
      <c r="AW191" s="56"/>
      <c r="AX191" s="56"/>
      <c r="AY191" s="56"/>
      <c r="AZ191" s="56"/>
      <c r="BA191" s="56"/>
      <c r="BB191" s="56"/>
      <c r="BC191" s="56"/>
    </row>
    <row r="192" customFormat="false" ht="21.75" hidden="false" customHeight="true" outlineLevel="0" collapsed="false">
      <c r="B192" s="54" t="n">
        <v>59</v>
      </c>
      <c r="C192" s="54"/>
      <c r="D192" s="55"/>
      <c r="E192" s="55"/>
      <c r="F192" s="55"/>
      <c r="G192" s="55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56"/>
      <c r="AS192" s="56"/>
      <c r="AT192" s="56"/>
      <c r="AU192" s="56"/>
      <c r="AV192" s="56"/>
      <c r="AW192" s="56"/>
      <c r="AX192" s="56"/>
      <c r="AY192" s="56"/>
      <c r="AZ192" s="56"/>
      <c r="BA192" s="56"/>
      <c r="BB192" s="56"/>
      <c r="BC192" s="56"/>
    </row>
    <row r="193" customFormat="false" ht="21.75" hidden="false" customHeight="true" outlineLevel="0" collapsed="false">
      <c r="B193" s="54" t="n">
        <v>60</v>
      </c>
      <c r="C193" s="54"/>
      <c r="D193" s="55"/>
      <c r="E193" s="55"/>
      <c r="F193" s="55"/>
      <c r="G193" s="55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6"/>
      <c r="AQ193" s="56"/>
      <c r="AR193" s="56"/>
      <c r="AS193" s="56"/>
      <c r="AT193" s="56"/>
      <c r="AU193" s="56"/>
      <c r="AV193" s="56"/>
      <c r="AW193" s="56"/>
      <c r="AX193" s="56"/>
      <c r="AY193" s="56"/>
      <c r="AZ193" s="56"/>
      <c r="BA193" s="56"/>
      <c r="BB193" s="56"/>
      <c r="BC193" s="56"/>
    </row>
    <row r="194" customFormat="false" ht="21.75" hidden="false" customHeight="true" outlineLevel="0" collapsed="false">
      <c r="B194" s="54" t="n">
        <v>61</v>
      </c>
      <c r="C194" s="54"/>
      <c r="D194" s="55"/>
      <c r="E194" s="55"/>
      <c r="F194" s="55"/>
      <c r="G194" s="55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56"/>
      <c r="AS194" s="56"/>
      <c r="AT194" s="56"/>
      <c r="AU194" s="56"/>
      <c r="AV194" s="56"/>
      <c r="AW194" s="56"/>
      <c r="AX194" s="56"/>
      <c r="AY194" s="56"/>
      <c r="AZ194" s="56"/>
      <c r="BA194" s="56"/>
      <c r="BB194" s="56"/>
      <c r="BC194" s="56"/>
    </row>
    <row r="195" customFormat="false" ht="21.75" hidden="false" customHeight="true" outlineLevel="0" collapsed="false">
      <c r="B195" s="54" t="n">
        <v>62</v>
      </c>
      <c r="C195" s="54"/>
      <c r="D195" s="55"/>
      <c r="E195" s="55"/>
      <c r="F195" s="55"/>
      <c r="G195" s="55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56"/>
      <c r="AS195" s="56"/>
      <c r="AT195" s="56"/>
      <c r="AU195" s="56"/>
      <c r="AV195" s="56"/>
      <c r="AW195" s="56"/>
      <c r="AX195" s="56"/>
      <c r="AY195" s="56"/>
      <c r="AZ195" s="56"/>
      <c r="BA195" s="56"/>
      <c r="BB195" s="56"/>
      <c r="BC195" s="56"/>
    </row>
    <row r="196" customFormat="false" ht="21.75" hidden="false" customHeight="true" outlineLevel="0" collapsed="false">
      <c r="B196" s="54" t="n">
        <v>63</v>
      </c>
      <c r="C196" s="54"/>
      <c r="D196" s="55"/>
      <c r="E196" s="55"/>
      <c r="F196" s="55"/>
      <c r="G196" s="55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6"/>
      <c r="AR196" s="56"/>
      <c r="AS196" s="56"/>
      <c r="AT196" s="56"/>
      <c r="AU196" s="56"/>
      <c r="AV196" s="56"/>
      <c r="AW196" s="56"/>
      <c r="AX196" s="56"/>
      <c r="AY196" s="56"/>
      <c r="AZ196" s="56"/>
      <c r="BA196" s="56"/>
      <c r="BB196" s="56"/>
      <c r="BC196" s="56"/>
    </row>
    <row r="197" customFormat="false" ht="21.75" hidden="false" customHeight="true" outlineLevel="0" collapsed="false">
      <c r="B197" s="54" t="n">
        <v>64</v>
      </c>
      <c r="C197" s="54"/>
      <c r="D197" s="55"/>
      <c r="E197" s="55"/>
      <c r="F197" s="55"/>
      <c r="G197" s="55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  <c r="AT197" s="56"/>
      <c r="AU197" s="56"/>
      <c r="AV197" s="56"/>
      <c r="AW197" s="56"/>
      <c r="AX197" s="56"/>
      <c r="AY197" s="56"/>
      <c r="AZ197" s="56"/>
      <c r="BA197" s="56"/>
      <c r="BB197" s="56"/>
      <c r="BC197" s="56"/>
    </row>
    <row r="198" customFormat="false" ht="21.75" hidden="false" customHeight="true" outlineLevel="0" collapsed="false">
      <c r="B198" s="54" t="n">
        <v>65</v>
      </c>
      <c r="C198" s="54"/>
      <c r="D198" s="55"/>
      <c r="E198" s="55"/>
      <c r="F198" s="55"/>
      <c r="G198" s="55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  <c r="AQ198" s="56"/>
      <c r="AR198" s="56"/>
      <c r="AS198" s="56"/>
      <c r="AT198" s="56"/>
      <c r="AU198" s="56"/>
      <c r="AV198" s="56"/>
      <c r="AW198" s="56"/>
      <c r="AX198" s="56"/>
      <c r="AY198" s="56"/>
      <c r="AZ198" s="56"/>
      <c r="BA198" s="56"/>
      <c r="BB198" s="56"/>
      <c r="BC198" s="56"/>
    </row>
    <row r="199" customFormat="false" ht="21.75" hidden="false" customHeight="true" outlineLevel="0" collapsed="false">
      <c r="B199" s="54" t="n">
        <v>66</v>
      </c>
      <c r="C199" s="54"/>
      <c r="D199" s="55"/>
      <c r="E199" s="55"/>
      <c r="F199" s="55"/>
      <c r="G199" s="55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56"/>
      <c r="AS199" s="56"/>
      <c r="AT199" s="56"/>
      <c r="AU199" s="56"/>
      <c r="AV199" s="56"/>
      <c r="AW199" s="56"/>
      <c r="AX199" s="56"/>
      <c r="AY199" s="56"/>
      <c r="AZ199" s="56"/>
      <c r="BA199" s="56"/>
      <c r="BB199" s="56"/>
      <c r="BC199" s="56"/>
    </row>
    <row r="200" customFormat="false" ht="21.75" hidden="false" customHeight="true" outlineLevel="0" collapsed="false">
      <c r="B200" s="54" t="n">
        <v>67</v>
      </c>
      <c r="C200" s="54"/>
      <c r="D200" s="55"/>
      <c r="E200" s="55"/>
      <c r="F200" s="55"/>
      <c r="G200" s="55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56"/>
      <c r="AS200" s="56"/>
      <c r="AT200" s="56"/>
      <c r="AU200" s="56"/>
      <c r="AV200" s="56"/>
      <c r="AW200" s="56"/>
      <c r="AX200" s="56"/>
      <c r="AY200" s="56"/>
      <c r="AZ200" s="56"/>
      <c r="BA200" s="56"/>
      <c r="BB200" s="56"/>
      <c r="BC200" s="56"/>
    </row>
    <row r="201" customFormat="false" ht="21.75" hidden="false" customHeight="true" outlineLevel="0" collapsed="false">
      <c r="B201" s="54" t="n">
        <v>68</v>
      </c>
      <c r="C201" s="54"/>
      <c r="D201" s="55"/>
      <c r="E201" s="55"/>
      <c r="F201" s="55"/>
      <c r="G201" s="55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  <c r="AQ201" s="56"/>
      <c r="AR201" s="56"/>
      <c r="AS201" s="56"/>
      <c r="AT201" s="56"/>
      <c r="AU201" s="56"/>
      <c r="AV201" s="56"/>
      <c r="AW201" s="56"/>
      <c r="AX201" s="56"/>
      <c r="AY201" s="56"/>
      <c r="AZ201" s="56"/>
      <c r="BA201" s="56"/>
      <c r="BB201" s="56"/>
      <c r="BC201" s="56"/>
    </row>
    <row r="202" customFormat="false" ht="21.75" hidden="false" customHeight="true" outlineLevel="0" collapsed="false">
      <c r="B202" s="54" t="n">
        <v>69</v>
      </c>
      <c r="C202" s="54"/>
      <c r="D202" s="55"/>
      <c r="E202" s="55"/>
      <c r="F202" s="55"/>
      <c r="G202" s="55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6"/>
      <c r="AR202" s="56"/>
      <c r="AS202" s="56"/>
      <c r="AT202" s="56"/>
      <c r="AU202" s="56"/>
      <c r="AV202" s="56"/>
      <c r="AW202" s="56"/>
      <c r="AX202" s="56"/>
      <c r="AY202" s="56"/>
      <c r="AZ202" s="56"/>
      <c r="BA202" s="56"/>
      <c r="BB202" s="56"/>
      <c r="BC202" s="56"/>
    </row>
    <row r="203" customFormat="false" ht="21.75" hidden="false" customHeight="true" outlineLevel="0" collapsed="false">
      <c r="B203" s="54" t="n">
        <v>70</v>
      </c>
      <c r="C203" s="54"/>
      <c r="D203" s="55"/>
      <c r="E203" s="55"/>
      <c r="F203" s="55"/>
      <c r="G203" s="55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56"/>
      <c r="AV203" s="56"/>
      <c r="AW203" s="56"/>
      <c r="AX203" s="56"/>
      <c r="AY203" s="56"/>
      <c r="AZ203" s="56"/>
      <c r="BA203" s="56"/>
      <c r="BB203" s="56"/>
      <c r="BC203" s="56"/>
    </row>
    <row r="204" customFormat="false" ht="21.75" hidden="false" customHeight="true" outlineLevel="0" collapsed="false">
      <c r="B204" s="54" t="n">
        <v>71</v>
      </c>
      <c r="C204" s="54"/>
      <c r="D204" s="55"/>
      <c r="E204" s="55"/>
      <c r="F204" s="55"/>
      <c r="G204" s="55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  <c r="AQ204" s="56"/>
      <c r="AR204" s="56"/>
      <c r="AS204" s="56"/>
      <c r="AT204" s="56"/>
      <c r="AU204" s="56"/>
      <c r="AV204" s="56"/>
      <c r="AW204" s="56"/>
      <c r="AX204" s="56"/>
      <c r="AY204" s="56"/>
      <c r="AZ204" s="56"/>
      <c r="BA204" s="56"/>
      <c r="BB204" s="56"/>
      <c r="BC204" s="56"/>
    </row>
    <row r="205" customFormat="false" ht="21.75" hidden="false" customHeight="true" outlineLevel="0" collapsed="false">
      <c r="B205" s="54" t="n">
        <v>72</v>
      </c>
      <c r="C205" s="54"/>
      <c r="D205" s="55"/>
      <c r="E205" s="55"/>
      <c r="F205" s="55"/>
      <c r="G205" s="55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56"/>
      <c r="AS205" s="56"/>
      <c r="AT205" s="56"/>
      <c r="AU205" s="56"/>
      <c r="AV205" s="56"/>
      <c r="AW205" s="56"/>
      <c r="AX205" s="56"/>
      <c r="AY205" s="56"/>
      <c r="AZ205" s="56"/>
      <c r="BA205" s="56"/>
      <c r="BB205" s="56"/>
      <c r="BC205" s="56"/>
    </row>
    <row r="206" customFormat="false" ht="21.75" hidden="false" customHeight="true" outlineLevel="0" collapsed="false">
      <c r="B206" s="54" t="n">
        <v>73</v>
      </c>
      <c r="C206" s="54"/>
      <c r="D206" s="55"/>
      <c r="E206" s="55"/>
      <c r="F206" s="55"/>
      <c r="G206" s="55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56"/>
      <c r="AR206" s="56"/>
      <c r="AS206" s="56"/>
      <c r="AT206" s="56"/>
      <c r="AU206" s="56"/>
      <c r="AV206" s="56"/>
      <c r="AW206" s="56"/>
      <c r="AX206" s="56"/>
      <c r="AY206" s="56"/>
      <c r="AZ206" s="56"/>
      <c r="BA206" s="56"/>
      <c r="BB206" s="56"/>
      <c r="BC206" s="56"/>
    </row>
    <row r="207" customFormat="false" ht="21.75" hidden="false" customHeight="true" outlineLevel="0" collapsed="false">
      <c r="B207" s="54" t="n">
        <v>74</v>
      </c>
      <c r="C207" s="54"/>
      <c r="D207" s="55"/>
      <c r="E207" s="55"/>
      <c r="F207" s="55"/>
      <c r="G207" s="55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  <c r="AQ207" s="56"/>
      <c r="AR207" s="56"/>
      <c r="AS207" s="56"/>
      <c r="AT207" s="56"/>
      <c r="AU207" s="56"/>
      <c r="AV207" s="56"/>
      <c r="AW207" s="56"/>
      <c r="AX207" s="56"/>
      <c r="AY207" s="56"/>
      <c r="AZ207" s="56"/>
      <c r="BA207" s="56"/>
      <c r="BB207" s="56"/>
      <c r="BC207" s="56"/>
    </row>
    <row r="208" customFormat="false" ht="21.75" hidden="false" customHeight="true" outlineLevel="0" collapsed="false">
      <c r="B208" s="54" t="n">
        <v>75</v>
      </c>
      <c r="C208" s="54"/>
      <c r="D208" s="55"/>
      <c r="E208" s="55"/>
      <c r="F208" s="55"/>
      <c r="G208" s="55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6"/>
      <c r="AQ208" s="56"/>
      <c r="AR208" s="56"/>
      <c r="AS208" s="56"/>
      <c r="AT208" s="56"/>
      <c r="AU208" s="56"/>
      <c r="AV208" s="56"/>
      <c r="AW208" s="56"/>
      <c r="AX208" s="56"/>
      <c r="AY208" s="56"/>
      <c r="AZ208" s="56"/>
      <c r="BA208" s="56"/>
      <c r="BB208" s="56"/>
      <c r="BC208" s="56"/>
    </row>
    <row r="209" customFormat="false" ht="21.75" hidden="false" customHeight="true" outlineLevel="0" collapsed="false">
      <c r="B209" s="54" t="n">
        <v>76</v>
      </c>
      <c r="C209" s="54"/>
      <c r="D209" s="55"/>
      <c r="E209" s="55"/>
      <c r="F209" s="55"/>
      <c r="G209" s="55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6"/>
      <c r="AQ209" s="56"/>
      <c r="AR209" s="56"/>
      <c r="AS209" s="56"/>
      <c r="AT209" s="56"/>
      <c r="AU209" s="56"/>
      <c r="AV209" s="56"/>
      <c r="AW209" s="56"/>
      <c r="AX209" s="56"/>
      <c r="AY209" s="56"/>
      <c r="AZ209" s="56"/>
      <c r="BA209" s="56"/>
      <c r="BB209" s="56"/>
      <c r="BC209" s="56"/>
    </row>
    <row r="210" customFormat="false" ht="21.75" hidden="false" customHeight="true" outlineLevel="0" collapsed="false">
      <c r="B210" s="54" t="n">
        <v>77</v>
      </c>
      <c r="C210" s="54"/>
      <c r="D210" s="55"/>
      <c r="E210" s="55"/>
      <c r="F210" s="55"/>
      <c r="G210" s="55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6"/>
      <c r="AQ210" s="56"/>
      <c r="AR210" s="56"/>
      <c r="AS210" s="56"/>
      <c r="AT210" s="56"/>
      <c r="AU210" s="56"/>
      <c r="AV210" s="56"/>
      <c r="AW210" s="56"/>
      <c r="AX210" s="56"/>
      <c r="AY210" s="56"/>
      <c r="AZ210" s="56"/>
      <c r="BA210" s="56"/>
      <c r="BB210" s="56"/>
      <c r="BC210" s="56"/>
    </row>
    <row r="211" customFormat="false" ht="21.75" hidden="false" customHeight="true" outlineLevel="0" collapsed="false">
      <c r="B211" s="54" t="n">
        <v>78</v>
      </c>
      <c r="C211" s="54"/>
      <c r="D211" s="55"/>
      <c r="E211" s="55"/>
      <c r="F211" s="55"/>
      <c r="G211" s="55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  <c r="AQ211" s="56"/>
      <c r="AR211" s="56"/>
      <c r="AS211" s="56"/>
      <c r="AT211" s="56"/>
      <c r="AU211" s="56"/>
      <c r="AV211" s="56"/>
      <c r="AW211" s="56"/>
      <c r="AX211" s="56"/>
      <c r="AY211" s="56"/>
      <c r="AZ211" s="56"/>
      <c r="BA211" s="56"/>
      <c r="BB211" s="56"/>
      <c r="BC211" s="56"/>
    </row>
    <row r="212" customFormat="false" ht="21.75" hidden="false" customHeight="true" outlineLevel="0" collapsed="false">
      <c r="B212" s="54" t="n">
        <v>79</v>
      </c>
      <c r="C212" s="54"/>
      <c r="D212" s="55"/>
      <c r="E212" s="55"/>
      <c r="F212" s="55"/>
      <c r="G212" s="55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56"/>
      <c r="AS212" s="56"/>
      <c r="AT212" s="56"/>
      <c r="AU212" s="56"/>
      <c r="AV212" s="56"/>
      <c r="AW212" s="56"/>
      <c r="AX212" s="56"/>
      <c r="AY212" s="56"/>
      <c r="AZ212" s="56"/>
      <c r="BA212" s="56"/>
      <c r="BB212" s="56"/>
      <c r="BC212" s="56"/>
    </row>
    <row r="213" customFormat="false" ht="21.75" hidden="false" customHeight="true" outlineLevel="0" collapsed="false">
      <c r="B213" s="54" t="n">
        <v>80</v>
      </c>
      <c r="C213" s="54"/>
      <c r="D213" s="55"/>
      <c r="E213" s="55"/>
      <c r="F213" s="55"/>
      <c r="G213" s="55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  <c r="AQ213" s="56"/>
      <c r="AR213" s="56"/>
      <c r="AS213" s="56"/>
      <c r="AT213" s="56"/>
      <c r="AU213" s="56"/>
      <c r="AV213" s="56"/>
      <c r="AW213" s="56"/>
      <c r="AX213" s="56"/>
      <c r="AY213" s="56"/>
      <c r="AZ213" s="56"/>
      <c r="BA213" s="56"/>
      <c r="BB213" s="56"/>
      <c r="BC213" s="56"/>
    </row>
    <row r="214" customFormat="false" ht="24" hidden="false" customHeight="true" outlineLevel="0" collapsed="false">
      <c r="B214" s="57" t="s">
        <v>78</v>
      </c>
      <c r="C214" s="57"/>
      <c r="E214" s="58" t="s">
        <v>88</v>
      </c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  <c r="AF214" s="58"/>
      <c r="AG214" s="58"/>
      <c r="AH214" s="58"/>
      <c r="AI214" s="58"/>
      <c r="AJ214" s="58"/>
      <c r="AK214" s="58"/>
      <c r="AL214" s="58"/>
      <c r="AM214" s="58"/>
      <c r="AN214" s="58"/>
      <c r="AO214" s="58"/>
      <c r="AP214" s="58"/>
      <c r="AQ214" s="58"/>
      <c r="AR214" s="58"/>
      <c r="AS214" s="58"/>
      <c r="AT214" s="58"/>
      <c r="AU214" s="58"/>
      <c r="AV214" s="58"/>
      <c r="AW214" s="58"/>
      <c r="AX214" s="58"/>
      <c r="AY214" s="58"/>
      <c r="AZ214" s="58"/>
      <c r="BA214" s="58"/>
      <c r="BB214" s="58"/>
      <c r="BC214" s="58"/>
    </row>
    <row r="215" customFormat="false" ht="12" hidden="false" customHeight="true" outlineLevel="0" collapsed="false"/>
    <row r="216" customFormat="false" ht="21.75" hidden="false" customHeight="true" outlineLevel="0" collapsed="false">
      <c r="B216" s="6"/>
      <c r="C216" s="37" t="s">
        <v>89</v>
      </c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8" t="s">
        <v>90</v>
      </c>
      <c r="AM216" s="38"/>
      <c r="AN216" s="38"/>
      <c r="AO216" s="38"/>
      <c r="AP216" s="38"/>
      <c r="AQ216" s="38"/>
      <c r="AR216" s="38"/>
      <c r="AS216" s="38"/>
      <c r="AT216" s="38"/>
      <c r="AU216" s="38"/>
      <c r="AV216" s="38"/>
      <c r="AW216" s="38"/>
      <c r="AX216" s="38"/>
      <c r="AY216" s="38"/>
      <c r="AZ216" s="38"/>
      <c r="BA216" s="38"/>
      <c r="BB216" s="38"/>
      <c r="BC216" s="38"/>
    </row>
    <row r="217" customFormat="false" ht="27.75" hidden="false" customHeight="true" outlineLevel="0" collapsed="false">
      <c r="B217" s="52" t="s">
        <v>71</v>
      </c>
      <c r="C217" s="52"/>
      <c r="D217" s="53" t="s">
        <v>4</v>
      </c>
      <c r="E217" s="53"/>
      <c r="F217" s="53"/>
      <c r="G217" s="53"/>
      <c r="H217" s="53" t="s">
        <v>74</v>
      </c>
      <c r="I217" s="53"/>
      <c r="J217" s="53"/>
      <c r="K217" s="53"/>
      <c r="L217" s="53"/>
      <c r="M217" s="53"/>
      <c r="N217" s="53"/>
      <c r="O217" s="53"/>
      <c r="P217" s="53" t="s">
        <v>73</v>
      </c>
      <c r="Q217" s="53"/>
      <c r="R217" s="53"/>
      <c r="S217" s="53"/>
      <c r="T217" s="53"/>
      <c r="U217" s="53"/>
      <c r="V217" s="53"/>
      <c r="W217" s="53" t="s">
        <v>91</v>
      </c>
      <c r="X217" s="53"/>
      <c r="Y217" s="53"/>
      <c r="Z217" s="53"/>
      <c r="AA217" s="53"/>
      <c r="AB217" s="53"/>
      <c r="AC217" s="53" t="s">
        <v>92</v>
      </c>
      <c r="AD217" s="53"/>
      <c r="AE217" s="53"/>
      <c r="AF217" s="53"/>
      <c r="AG217" s="53" t="s">
        <v>93</v>
      </c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</row>
    <row r="218" customFormat="false" ht="21.75" hidden="false" customHeight="true" outlineLevel="0" collapsed="false">
      <c r="B218" s="54" t="n">
        <v>1</v>
      </c>
      <c r="C218" s="54"/>
      <c r="D218" s="55" t="n">
        <v>46298</v>
      </c>
      <c r="E218" s="55"/>
      <c r="F218" s="55"/>
      <c r="G218" s="55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9"/>
      <c r="X218" s="59"/>
      <c r="Y218" s="59"/>
      <c r="Z218" s="59"/>
      <c r="AA218" s="59"/>
      <c r="AB218" s="59"/>
      <c r="AC218" s="56"/>
      <c r="AD218" s="56"/>
      <c r="AE218" s="56"/>
      <c r="AF218" s="56"/>
      <c r="AG218" s="56" t="s">
        <v>94</v>
      </c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56"/>
      <c r="AS218" s="56"/>
      <c r="AT218" s="56"/>
      <c r="AU218" s="56"/>
      <c r="AV218" s="56"/>
      <c r="AW218" s="56"/>
      <c r="AX218" s="56"/>
      <c r="AY218" s="56"/>
      <c r="AZ218" s="56"/>
      <c r="BA218" s="56"/>
      <c r="BB218" s="56"/>
      <c r="BC218" s="56"/>
    </row>
    <row r="219" customFormat="false" ht="21.75" hidden="false" customHeight="true" outlineLevel="0" collapsed="false">
      <c r="B219" s="54" t="n">
        <v>2</v>
      </c>
      <c r="C219" s="54"/>
      <c r="D219" s="55"/>
      <c r="E219" s="55"/>
      <c r="F219" s="55"/>
      <c r="G219" s="55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9"/>
      <c r="X219" s="59"/>
      <c r="Y219" s="59"/>
      <c r="Z219" s="59"/>
      <c r="AA219" s="59"/>
      <c r="AB219" s="59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56"/>
      <c r="AS219" s="56"/>
      <c r="AT219" s="56"/>
      <c r="AU219" s="56"/>
      <c r="AV219" s="56"/>
      <c r="AW219" s="56"/>
      <c r="AX219" s="56"/>
      <c r="AY219" s="56"/>
      <c r="AZ219" s="56"/>
      <c r="BA219" s="56"/>
      <c r="BB219" s="56"/>
      <c r="BC219" s="56"/>
    </row>
    <row r="220" customFormat="false" ht="21.75" hidden="false" customHeight="true" outlineLevel="0" collapsed="false">
      <c r="B220" s="54" t="n">
        <v>3</v>
      </c>
      <c r="C220" s="54"/>
      <c r="D220" s="55"/>
      <c r="E220" s="55"/>
      <c r="F220" s="55"/>
      <c r="G220" s="55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9"/>
      <c r="X220" s="59"/>
      <c r="Y220" s="59"/>
      <c r="Z220" s="59"/>
      <c r="AA220" s="59"/>
      <c r="AB220" s="59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56"/>
      <c r="AV220" s="56"/>
      <c r="AW220" s="56"/>
      <c r="AX220" s="56"/>
      <c r="AY220" s="56"/>
      <c r="AZ220" s="56"/>
      <c r="BA220" s="56"/>
      <c r="BB220" s="56"/>
      <c r="BC220" s="56"/>
    </row>
    <row r="221" customFormat="false" ht="21.75" hidden="false" customHeight="true" outlineLevel="0" collapsed="false">
      <c r="B221" s="54" t="n">
        <v>4</v>
      </c>
      <c r="C221" s="54"/>
      <c r="D221" s="55"/>
      <c r="E221" s="55"/>
      <c r="F221" s="55"/>
      <c r="G221" s="55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9"/>
      <c r="X221" s="59"/>
      <c r="Y221" s="59"/>
      <c r="Z221" s="59"/>
      <c r="AA221" s="59"/>
      <c r="AB221" s="59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  <c r="AV221" s="56"/>
      <c r="AW221" s="56"/>
      <c r="AX221" s="56"/>
      <c r="AY221" s="56"/>
      <c r="AZ221" s="56"/>
      <c r="BA221" s="56"/>
      <c r="BB221" s="56"/>
      <c r="BC221" s="56"/>
    </row>
    <row r="222" customFormat="false" ht="21.75" hidden="false" customHeight="true" outlineLevel="0" collapsed="false">
      <c r="B222" s="54" t="n">
        <v>5</v>
      </c>
      <c r="C222" s="54"/>
      <c r="D222" s="55"/>
      <c r="E222" s="55"/>
      <c r="F222" s="55"/>
      <c r="G222" s="55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9"/>
      <c r="X222" s="59"/>
      <c r="Y222" s="59"/>
      <c r="Z222" s="59"/>
      <c r="AA222" s="59"/>
      <c r="AB222" s="59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</row>
    <row r="223" customFormat="false" ht="21.75" hidden="false" customHeight="true" outlineLevel="0" collapsed="false">
      <c r="B223" s="54" t="n">
        <v>6</v>
      </c>
      <c r="C223" s="54"/>
      <c r="D223" s="55"/>
      <c r="E223" s="55"/>
      <c r="F223" s="55"/>
      <c r="G223" s="55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9"/>
      <c r="X223" s="59"/>
      <c r="Y223" s="59"/>
      <c r="Z223" s="59"/>
      <c r="AA223" s="59"/>
      <c r="AB223" s="59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6"/>
    </row>
    <row r="224" customFormat="false" ht="21.75" hidden="false" customHeight="true" outlineLevel="0" collapsed="false">
      <c r="B224" s="54" t="n">
        <v>7</v>
      </c>
      <c r="C224" s="54"/>
      <c r="D224" s="55"/>
      <c r="E224" s="55"/>
      <c r="F224" s="55"/>
      <c r="G224" s="55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9"/>
      <c r="X224" s="59"/>
      <c r="Y224" s="59"/>
      <c r="Z224" s="59"/>
      <c r="AA224" s="59"/>
      <c r="AB224" s="59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</row>
    <row r="225" customFormat="false" ht="21.75" hidden="false" customHeight="true" outlineLevel="0" collapsed="false">
      <c r="B225" s="54" t="n">
        <v>8</v>
      </c>
      <c r="C225" s="54"/>
      <c r="D225" s="55"/>
      <c r="E225" s="55"/>
      <c r="F225" s="55"/>
      <c r="G225" s="55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9"/>
      <c r="X225" s="59"/>
      <c r="Y225" s="59"/>
      <c r="Z225" s="59"/>
      <c r="AA225" s="59"/>
      <c r="AB225" s="59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56"/>
      <c r="AV225" s="56"/>
      <c r="AW225" s="56"/>
      <c r="AX225" s="56"/>
      <c r="AY225" s="56"/>
      <c r="AZ225" s="56"/>
      <c r="BA225" s="56"/>
      <c r="BB225" s="56"/>
      <c r="BC225" s="56"/>
    </row>
    <row r="226" customFormat="false" ht="21.75" hidden="false" customHeight="true" outlineLevel="0" collapsed="false">
      <c r="B226" s="54" t="n">
        <v>9</v>
      </c>
      <c r="C226" s="54"/>
      <c r="D226" s="55"/>
      <c r="E226" s="55"/>
      <c r="F226" s="55"/>
      <c r="G226" s="55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9"/>
      <c r="X226" s="59"/>
      <c r="Y226" s="59"/>
      <c r="Z226" s="59"/>
      <c r="AA226" s="59"/>
      <c r="AB226" s="59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/>
      <c r="BC226" s="56"/>
    </row>
    <row r="227" customFormat="false" ht="21.75" hidden="false" customHeight="true" outlineLevel="0" collapsed="false">
      <c r="B227" s="54" t="n">
        <v>10</v>
      </c>
      <c r="C227" s="54"/>
      <c r="D227" s="55"/>
      <c r="E227" s="55"/>
      <c r="F227" s="55"/>
      <c r="G227" s="55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9"/>
      <c r="X227" s="59"/>
      <c r="Y227" s="59"/>
      <c r="Z227" s="59"/>
      <c r="AA227" s="59"/>
      <c r="AB227" s="59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  <c r="AW227" s="56"/>
      <c r="AX227" s="56"/>
      <c r="AY227" s="56"/>
      <c r="AZ227" s="56"/>
      <c r="BA227" s="56"/>
      <c r="BB227" s="56"/>
      <c r="BC227" s="56"/>
    </row>
    <row r="228" customFormat="false" ht="21.75" hidden="false" customHeight="true" outlineLevel="0" collapsed="false">
      <c r="B228" s="54" t="n">
        <v>11</v>
      </c>
      <c r="C228" s="54"/>
      <c r="D228" s="55"/>
      <c r="E228" s="55"/>
      <c r="F228" s="55"/>
      <c r="G228" s="55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9"/>
      <c r="X228" s="59"/>
      <c r="Y228" s="59"/>
      <c r="Z228" s="59"/>
      <c r="AA228" s="59"/>
      <c r="AB228" s="59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</row>
    <row r="229" customFormat="false" ht="21.75" hidden="false" customHeight="true" outlineLevel="0" collapsed="false">
      <c r="B229" s="54" t="n">
        <v>12</v>
      </c>
      <c r="C229" s="54"/>
      <c r="D229" s="55"/>
      <c r="E229" s="55"/>
      <c r="F229" s="55"/>
      <c r="G229" s="55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9"/>
      <c r="X229" s="59"/>
      <c r="Y229" s="59"/>
      <c r="Z229" s="59"/>
      <c r="AA229" s="59"/>
      <c r="AB229" s="59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</row>
    <row r="230" customFormat="false" ht="21.75" hidden="false" customHeight="true" outlineLevel="0" collapsed="false">
      <c r="B230" s="54" t="n">
        <v>13</v>
      </c>
      <c r="C230" s="54"/>
      <c r="D230" s="55"/>
      <c r="E230" s="55"/>
      <c r="F230" s="55"/>
      <c r="G230" s="55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9"/>
      <c r="X230" s="59"/>
      <c r="Y230" s="59"/>
      <c r="Z230" s="59"/>
      <c r="AA230" s="59"/>
      <c r="AB230" s="59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/>
      <c r="BB230" s="56"/>
      <c r="BC230" s="56"/>
    </row>
    <row r="231" customFormat="false" ht="21.75" hidden="false" customHeight="true" outlineLevel="0" collapsed="false">
      <c r="B231" s="54" t="n">
        <v>14</v>
      </c>
      <c r="C231" s="54"/>
      <c r="D231" s="55"/>
      <c r="E231" s="55"/>
      <c r="F231" s="55"/>
      <c r="G231" s="55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9"/>
      <c r="X231" s="59"/>
      <c r="Y231" s="59"/>
      <c r="Z231" s="59"/>
      <c r="AA231" s="59"/>
      <c r="AB231" s="59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6"/>
    </row>
    <row r="232" customFormat="false" ht="21.75" hidden="false" customHeight="true" outlineLevel="0" collapsed="false">
      <c r="B232" s="54" t="n">
        <v>15</v>
      </c>
      <c r="C232" s="54"/>
      <c r="D232" s="55"/>
      <c r="E232" s="55"/>
      <c r="F232" s="55"/>
      <c r="G232" s="55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9"/>
      <c r="X232" s="59"/>
      <c r="Y232" s="59"/>
      <c r="Z232" s="59"/>
      <c r="AA232" s="59"/>
      <c r="AB232" s="59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  <c r="AW232" s="56"/>
      <c r="AX232" s="56"/>
      <c r="AY232" s="56"/>
      <c r="AZ232" s="56"/>
      <c r="BA232" s="56"/>
      <c r="BB232" s="56"/>
      <c r="BC232" s="56"/>
    </row>
    <row r="233" customFormat="false" ht="21.75" hidden="false" customHeight="true" outlineLevel="0" collapsed="false">
      <c r="B233" s="54" t="n">
        <v>16</v>
      </c>
      <c r="C233" s="54"/>
      <c r="D233" s="55"/>
      <c r="E233" s="55"/>
      <c r="F233" s="55"/>
      <c r="G233" s="55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9"/>
      <c r="X233" s="59"/>
      <c r="Y233" s="59"/>
      <c r="Z233" s="59"/>
      <c r="AA233" s="59"/>
      <c r="AB233" s="59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  <c r="AW233" s="56"/>
      <c r="AX233" s="56"/>
      <c r="AY233" s="56"/>
      <c r="AZ233" s="56"/>
      <c r="BA233" s="56"/>
      <c r="BB233" s="56"/>
      <c r="BC233" s="56"/>
    </row>
    <row r="234" customFormat="false" ht="21.75" hidden="false" customHeight="true" outlineLevel="0" collapsed="false">
      <c r="B234" s="54" t="n">
        <v>17</v>
      </c>
      <c r="C234" s="54"/>
      <c r="D234" s="55"/>
      <c r="E234" s="55"/>
      <c r="F234" s="55"/>
      <c r="G234" s="55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9"/>
      <c r="X234" s="59"/>
      <c r="Y234" s="59"/>
      <c r="Z234" s="59"/>
      <c r="AA234" s="59"/>
      <c r="AB234" s="59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  <c r="AW234" s="56"/>
      <c r="AX234" s="56"/>
      <c r="AY234" s="56"/>
      <c r="AZ234" s="56"/>
      <c r="BA234" s="56"/>
      <c r="BB234" s="56"/>
      <c r="BC234" s="56"/>
    </row>
    <row r="235" customFormat="false" ht="21.75" hidden="false" customHeight="true" outlineLevel="0" collapsed="false">
      <c r="B235" s="54" t="n">
        <v>18</v>
      </c>
      <c r="C235" s="54"/>
      <c r="D235" s="55"/>
      <c r="E235" s="55"/>
      <c r="F235" s="55"/>
      <c r="G235" s="55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9"/>
      <c r="X235" s="59"/>
      <c r="Y235" s="59"/>
      <c r="Z235" s="59"/>
      <c r="AA235" s="59"/>
      <c r="AB235" s="59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  <c r="AW235" s="56"/>
      <c r="AX235" s="56"/>
      <c r="AY235" s="56"/>
      <c r="AZ235" s="56"/>
      <c r="BA235" s="56"/>
      <c r="BB235" s="56"/>
      <c r="BC235" s="56"/>
    </row>
    <row r="236" customFormat="false" ht="21.75" hidden="false" customHeight="true" outlineLevel="0" collapsed="false">
      <c r="B236" s="54" t="n">
        <v>19</v>
      </c>
      <c r="C236" s="54"/>
      <c r="D236" s="55"/>
      <c r="E236" s="55"/>
      <c r="F236" s="55"/>
      <c r="G236" s="55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9"/>
      <c r="X236" s="59"/>
      <c r="Y236" s="59"/>
      <c r="Z236" s="59"/>
      <c r="AA236" s="59"/>
      <c r="AB236" s="59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  <c r="AW236" s="56"/>
      <c r="AX236" s="56"/>
      <c r="AY236" s="56"/>
      <c r="AZ236" s="56"/>
      <c r="BA236" s="56"/>
      <c r="BB236" s="56"/>
      <c r="BC236" s="56"/>
    </row>
    <row r="237" customFormat="false" ht="21.75" hidden="false" customHeight="true" outlineLevel="0" collapsed="false">
      <c r="B237" s="54" t="n">
        <v>20</v>
      </c>
      <c r="C237" s="54"/>
      <c r="D237" s="55"/>
      <c r="E237" s="55"/>
      <c r="F237" s="55"/>
      <c r="G237" s="55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9"/>
      <c r="X237" s="59"/>
      <c r="Y237" s="59"/>
      <c r="Z237" s="59"/>
      <c r="AA237" s="59"/>
      <c r="AB237" s="59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  <c r="AW237" s="56"/>
      <c r="AX237" s="56"/>
      <c r="AY237" s="56"/>
      <c r="AZ237" s="56"/>
      <c r="BA237" s="56"/>
      <c r="BB237" s="56"/>
      <c r="BC237" s="56"/>
    </row>
    <row r="238" customFormat="false" ht="21.75" hidden="false" customHeight="true" outlineLevel="0" collapsed="false">
      <c r="B238" s="54" t="n">
        <v>21</v>
      </c>
      <c r="C238" s="54"/>
      <c r="D238" s="55"/>
      <c r="E238" s="55"/>
      <c r="F238" s="55"/>
      <c r="G238" s="55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9"/>
      <c r="X238" s="59"/>
      <c r="Y238" s="59"/>
      <c r="Z238" s="59"/>
      <c r="AA238" s="59"/>
      <c r="AB238" s="59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</row>
    <row r="239" customFormat="false" ht="21.75" hidden="false" customHeight="true" outlineLevel="0" collapsed="false">
      <c r="B239" s="54" t="n">
        <v>22</v>
      </c>
      <c r="C239" s="54"/>
      <c r="D239" s="55"/>
      <c r="E239" s="55"/>
      <c r="F239" s="55"/>
      <c r="G239" s="55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9"/>
      <c r="X239" s="59"/>
      <c r="Y239" s="59"/>
      <c r="Z239" s="59"/>
      <c r="AA239" s="59"/>
      <c r="AB239" s="59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  <c r="AW239" s="56"/>
      <c r="AX239" s="56"/>
      <c r="AY239" s="56"/>
      <c r="AZ239" s="56"/>
      <c r="BA239" s="56"/>
      <c r="BB239" s="56"/>
      <c r="BC239" s="56"/>
    </row>
    <row r="240" customFormat="false" ht="21.75" hidden="false" customHeight="true" outlineLevel="0" collapsed="false">
      <c r="B240" s="54" t="n">
        <v>23</v>
      </c>
      <c r="C240" s="54"/>
      <c r="D240" s="55"/>
      <c r="E240" s="55"/>
      <c r="F240" s="55"/>
      <c r="G240" s="55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9"/>
      <c r="X240" s="59"/>
      <c r="Y240" s="59"/>
      <c r="Z240" s="59"/>
      <c r="AA240" s="59"/>
      <c r="AB240" s="59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/>
    </row>
    <row r="241" customFormat="false" ht="21.75" hidden="false" customHeight="true" outlineLevel="0" collapsed="false">
      <c r="B241" s="54" t="n">
        <v>24</v>
      </c>
      <c r="C241" s="54"/>
      <c r="D241" s="55"/>
      <c r="E241" s="55"/>
      <c r="F241" s="55"/>
      <c r="G241" s="55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9"/>
      <c r="X241" s="59"/>
      <c r="Y241" s="59"/>
      <c r="Z241" s="59"/>
      <c r="AA241" s="59"/>
      <c r="AB241" s="59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  <c r="AW241" s="56"/>
      <c r="AX241" s="56"/>
      <c r="AY241" s="56"/>
      <c r="AZ241" s="56"/>
      <c r="BA241" s="56"/>
      <c r="BB241" s="56"/>
      <c r="BC241" s="56"/>
    </row>
    <row r="242" customFormat="false" ht="21.75" hidden="false" customHeight="true" outlineLevel="0" collapsed="false">
      <c r="B242" s="54" t="n">
        <v>25</v>
      </c>
      <c r="C242" s="54"/>
      <c r="D242" s="55"/>
      <c r="E242" s="55"/>
      <c r="F242" s="55"/>
      <c r="G242" s="55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9"/>
      <c r="X242" s="59"/>
      <c r="Y242" s="59"/>
      <c r="Z242" s="59"/>
      <c r="AA242" s="59"/>
      <c r="AB242" s="59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  <c r="AW242" s="56"/>
      <c r="AX242" s="56"/>
      <c r="AY242" s="56"/>
      <c r="AZ242" s="56"/>
      <c r="BA242" s="56"/>
      <c r="BB242" s="56"/>
      <c r="BC242" s="56"/>
    </row>
    <row r="243" customFormat="false" ht="21.75" hidden="false" customHeight="true" outlineLevel="0" collapsed="false">
      <c r="B243" s="54" t="n">
        <v>26</v>
      </c>
      <c r="C243" s="54"/>
      <c r="D243" s="55"/>
      <c r="E243" s="55"/>
      <c r="F243" s="55"/>
      <c r="G243" s="55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9"/>
      <c r="X243" s="59"/>
      <c r="Y243" s="59"/>
      <c r="Z243" s="59"/>
      <c r="AA243" s="59"/>
      <c r="AB243" s="59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  <c r="AW243" s="56"/>
      <c r="AX243" s="56"/>
      <c r="AY243" s="56"/>
      <c r="AZ243" s="56"/>
      <c r="BA243" s="56"/>
      <c r="BB243" s="56"/>
      <c r="BC243" s="56"/>
    </row>
    <row r="244" customFormat="false" ht="21.75" hidden="false" customHeight="true" outlineLevel="0" collapsed="false">
      <c r="B244" s="54" t="n">
        <v>27</v>
      </c>
      <c r="C244" s="54"/>
      <c r="D244" s="55"/>
      <c r="E244" s="55"/>
      <c r="F244" s="55"/>
      <c r="G244" s="55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9"/>
      <c r="X244" s="59"/>
      <c r="Y244" s="59"/>
      <c r="Z244" s="59"/>
      <c r="AA244" s="59"/>
      <c r="AB244" s="59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  <c r="AW244" s="56"/>
      <c r="AX244" s="56"/>
      <c r="AY244" s="56"/>
      <c r="AZ244" s="56"/>
      <c r="BA244" s="56"/>
      <c r="BB244" s="56"/>
      <c r="BC244" s="56"/>
    </row>
    <row r="245" customFormat="false" ht="21.75" hidden="false" customHeight="true" outlineLevel="0" collapsed="false">
      <c r="B245" s="54" t="n">
        <v>28</v>
      </c>
      <c r="C245" s="54"/>
      <c r="D245" s="55"/>
      <c r="E245" s="55"/>
      <c r="F245" s="55"/>
      <c r="G245" s="55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9"/>
      <c r="X245" s="59"/>
      <c r="Y245" s="59"/>
      <c r="Z245" s="59"/>
      <c r="AA245" s="59"/>
      <c r="AB245" s="59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  <c r="AW245" s="56"/>
      <c r="AX245" s="56"/>
      <c r="AY245" s="56"/>
      <c r="AZ245" s="56"/>
      <c r="BA245" s="56"/>
      <c r="BB245" s="56"/>
      <c r="BC245" s="56"/>
    </row>
    <row r="246" customFormat="false" ht="21.75" hidden="false" customHeight="true" outlineLevel="0" collapsed="false">
      <c r="B246" s="54" t="n">
        <v>29</v>
      </c>
      <c r="C246" s="54"/>
      <c r="D246" s="55"/>
      <c r="E246" s="55"/>
      <c r="F246" s="55"/>
      <c r="G246" s="55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9"/>
      <c r="X246" s="59"/>
      <c r="Y246" s="59"/>
      <c r="Z246" s="59"/>
      <c r="AA246" s="59"/>
      <c r="AB246" s="59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  <c r="AW246" s="56"/>
      <c r="AX246" s="56"/>
      <c r="AY246" s="56"/>
      <c r="AZ246" s="56"/>
      <c r="BA246" s="56"/>
      <c r="BB246" s="56"/>
      <c r="BC246" s="56"/>
    </row>
    <row r="247" customFormat="false" ht="21.75" hidden="false" customHeight="true" outlineLevel="0" collapsed="false">
      <c r="B247" s="54" t="n">
        <v>30</v>
      </c>
      <c r="C247" s="54"/>
      <c r="D247" s="55"/>
      <c r="E247" s="55"/>
      <c r="F247" s="55"/>
      <c r="G247" s="55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9"/>
      <c r="X247" s="59"/>
      <c r="Y247" s="59"/>
      <c r="Z247" s="59"/>
      <c r="AA247" s="59"/>
      <c r="AB247" s="59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6"/>
      <c r="AQ247" s="56"/>
      <c r="AR247" s="56"/>
      <c r="AS247" s="56"/>
      <c r="AT247" s="56"/>
      <c r="AU247" s="56"/>
      <c r="AV247" s="56"/>
      <c r="AW247" s="56"/>
      <c r="AX247" s="56"/>
      <c r="AY247" s="56"/>
      <c r="AZ247" s="56"/>
      <c r="BA247" s="56"/>
      <c r="BB247" s="56"/>
      <c r="BC247" s="56"/>
    </row>
    <row r="248" customFormat="false" ht="21.75" hidden="false" customHeight="true" outlineLevel="0" collapsed="false">
      <c r="B248" s="54" t="n">
        <v>31</v>
      </c>
      <c r="C248" s="54"/>
      <c r="D248" s="55"/>
      <c r="E248" s="55"/>
      <c r="F248" s="55"/>
      <c r="G248" s="55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9"/>
      <c r="X248" s="59"/>
      <c r="Y248" s="59"/>
      <c r="Z248" s="59"/>
      <c r="AA248" s="59"/>
      <c r="AB248" s="59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56"/>
      <c r="AS248" s="56"/>
      <c r="AT248" s="56"/>
      <c r="AU248" s="56"/>
      <c r="AV248" s="56"/>
      <c r="AW248" s="56"/>
      <c r="AX248" s="56"/>
      <c r="AY248" s="56"/>
      <c r="AZ248" s="56"/>
      <c r="BA248" s="56"/>
      <c r="BB248" s="56"/>
      <c r="BC248" s="56"/>
    </row>
    <row r="249" customFormat="false" ht="21.75" hidden="false" customHeight="true" outlineLevel="0" collapsed="false">
      <c r="B249" s="54" t="n">
        <v>32</v>
      </c>
      <c r="C249" s="54"/>
      <c r="D249" s="55"/>
      <c r="E249" s="55"/>
      <c r="F249" s="55"/>
      <c r="G249" s="55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9"/>
      <c r="X249" s="59"/>
      <c r="Y249" s="59"/>
      <c r="Z249" s="59"/>
      <c r="AA249" s="59"/>
      <c r="AB249" s="59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56"/>
      <c r="AS249" s="56"/>
      <c r="AT249" s="56"/>
      <c r="AU249" s="56"/>
      <c r="AV249" s="56"/>
      <c r="AW249" s="56"/>
      <c r="AX249" s="56"/>
      <c r="AY249" s="56"/>
      <c r="AZ249" s="56"/>
      <c r="BA249" s="56"/>
      <c r="BB249" s="56"/>
      <c r="BC249" s="56"/>
    </row>
    <row r="250" customFormat="false" ht="21.75" hidden="false" customHeight="true" outlineLevel="0" collapsed="false">
      <c r="B250" s="54" t="n">
        <v>33</v>
      </c>
      <c r="C250" s="54"/>
      <c r="D250" s="55"/>
      <c r="E250" s="55"/>
      <c r="F250" s="55"/>
      <c r="G250" s="55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9"/>
      <c r="X250" s="59"/>
      <c r="Y250" s="59"/>
      <c r="Z250" s="59"/>
      <c r="AA250" s="59"/>
      <c r="AB250" s="59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  <c r="AQ250" s="56"/>
      <c r="AR250" s="56"/>
      <c r="AS250" s="56"/>
      <c r="AT250" s="56"/>
      <c r="AU250" s="56"/>
      <c r="AV250" s="56"/>
      <c r="AW250" s="56"/>
      <c r="AX250" s="56"/>
      <c r="AY250" s="56"/>
      <c r="AZ250" s="56"/>
      <c r="BA250" s="56"/>
      <c r="BB250" s="56"/>
      <c r="BC250" s="56"/>
    </row>
    <row r="251" customFormat="false" ht="21.75" hidden="false" customHeight="true" outlineLevel="0" collapsed="false">
      <c r="B251" s="54" t="n">
        <v>34</v>
      </c>
      <c r="C251" s="54"/>
      <c r="D251" s="55"/>
      <c r="E251" s="55"/>
      <c r="F251" s="55"/>
      <c r="G251" s="55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9"/>
      <c r="X251" s="59"/>
      <c r="Y251" s="59"/>
      <c r="Z251" s="59"/>
      <c r="AA251" s="59"/>
      <c r="AB251" s="59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6"/>
      <c r="AR251" s="56"/>
      <c r="AS251" s="56"/>
      <c r="AT251" s="56"/>
      <c r="AU251" s="56"/>
      <c r="AV251" s="56"/>
      <c r="AW251" s="56"/>
      <c r="AX251" s="56"/>
      <c r="AY251" s="56"/>
      <c r="AZ251" s="56"/>
      <c r="BA251" s="56"/>
      <c r="BB251" s="56"/>
      <c r="BC251" s="56"/>
    </row>
    <row r="252" customFormat="false" ht="21.75" hidden="false" customHeight="true" outlineLevel="0" collapsed="false">
      <c r="B252" s="54" t="n">
        <v>35</v>
      </c>
      <c r="C252" s="54"/>
      <c r="D252" s="55"/>
      <c r="E252" s="55"/>
      <c r="F252" s="55"/>
      <c r="G252" s="55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9"/>
      <c r="X252" s="59"/>
      <c r="Y252" s="59"/>
      <c r="Z252" s="59"/>
      <c r="AA252" s="59"/>
      <c r="AB252" s="59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56"/>
      <c r="AS252" s="56"/>
      <c r="AT252" s="56"/>
      <c r="AU252" s="56"/>
      <c r="AV252" s="56"/>
      <c r="AW252" s="56"/>
      <c r="AX252" s="56"/>
      <c r="AY252" s="56"/>
      <c r="AZ252" s="56"/>
      <c r="BA252" s="56"/>
      <c r="BB252" s="56"/>
      <c r="BC252" s="56"/>
    </row>
    <row r="253" customFormat="false" ht="21.75" hidden="false" customHeight="true" outlineLevel="0" collapsed="false">
      <c r="B253" s="54" t="n">
        <v>36</v>
      </c>
      <c r="C253" s="54"/>
      <c r="D253" s="55"/>
      <c r="E253" s="55"/>
      <c r="F253" s="55"/>
      <c r="G253" s="55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9"/>
      <c r="X253" s="59"/>
      <c r="Y253" s="59"/>
      <c r="Z253" s="59"/>
      <c r="AA253" s="59"/>
      <c r="AB253" s="59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6"/>
      <c r="AR253" s="56"/>
      <c r="AS253" s="56"/>
      <c r="AT253" s="56"/>
      <c r="AU253" s="56"/>
      <c r="AV253" s="56"/>
      <c r="AW253" s="56"/>
      <c r="AX253" s="56"/>
      <c r="AY253" s="56"/>
      <c r="AZ253" s="56"/>
      <c r="BA253" s="56"/>
      <c r="BB253" s="56"/>
      <c r="BC253" s="56"/>
    </row>
    <row r="254" customFormat="false" ht="21.75" hidden="false" customHeight="true" outlineLevel="0" collapsed="false">
      <c r="B254" s="54" t="n">
        <v>37</v>
      </c>
      <c r="C254" s="54"/>
      <c r="D254" s="55"/>
      <c r="E254" s="55"/>
      <c r="F254" s="55"/>
      <c r="G254" s="55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9"/>
      <c r="X254" s="59"/>
      <c r="Y254" s="59"/>
      <c r="Z254" s="59"/>
      <c r="AA254" s="59"/>
      <c r="AB254" s="59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56"/>
      <c r="AS254" s="56"/>
      <c r="AT254" s="56"/>
      <c r="AU254" s="56"/>
      <c r="AV254" s="56"/>
      <c r="AW254" s="56"/>
      <c r="AX254" s="56"/>
      <c r="AY254" s="56"/>
      <c r="AZ254" s="56"/>
      <c r="BA254" s="56"/>
      <c r="BB254" s="56"/>
      <c r="BC254" s="56"/>
    </row>
    <row r="255" customFormat="false" ht="21.75" hidden="false" customHeight="true" outlineLevel="0" collapsed="false">
      <c r="B255" s="54" t="n">
        <v>38</v>
      </c>
      <c r="C255" s="54"/>
      <c r="D255" s="55"/>
      <c r="E255" s="55"/>
      <c r="F255" s="55"/>
      <c r="G255" s="55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9"/>
      <c r="X255" s="59"/>
      <c r="Y255" s="59"/>
      <c r="Z255" s="59"/>
      <c r="AA255" s="59"/>
      <c r="AB255" s="59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6"/>
      <c r="AQ255" s="56"/>
      <c r="AR255" s="56"/>
      <c r="AS255" s="56"/>
      <c r="AT255" s="56"/>
      <c r="AU255" s="56"/>
      <c r="AV255" s="56"/>
      <c r="AW255" s="56"/>
      <c r="AX255" s="56"/>
      <c r="AY255" s="56"/>
      <c r="AZ255" s="56"/>
      <c r="BA255" s="56"/>
      <c r="BB255" s="56"/>
      <c r="BC255" s="56"/>
    </row>
    <row r="256" customFormat="false" ht="21.75" hidden="false" customHeight="true" outlineLevel="0" collapsed="false">
      <c r="B256" s="54" t="n">
        <v>39</v>
      </c>
      <c r="C256" s="54"/>
      <c r="D256" s="55"/>
      <c r="E256" s="55"/>
      <c r="F256" s="55"/>
      <c r="G256" s="55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9"/>
      <c r="X256" s="59"/>
      <c r="Y256" s="59"/>
      <c r="Z256" s="59"/>
      <c r="AA256" s="59"/>
      <c r="AB256" s="59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6"/>
      <c r="AQ256" s="56"/>
      <c r="AR256" s="56"/>
      <c r="AS256" s="56"/>
      <c r="AT256" s="56"/>
      <c r="AU256" s="56"/>
      <c r="AV256" s="56"/>
      <c r="AW256" s="56"/>
      <c r="AX256" s="56"/>
      <c r="AY256" s="56"/>
      <c r="AZ256" s="56"/>
      <c r="BA256" s="56"/>
      <c r="BB256" s="56"/>
      <c r="BC256" s="56"/>
    </row>
    <row r="257" customFormat="false" ht="21.75" hidden="false" customHeight="true" outlineLevel="0" collapsed="false">
      <c r="B257" s="54" t="n">
        <v>40</v>
      </c>
      <c r="C257" s="54"/>
      <c r="D257" s="55"/>
      <c r="E257" s="55"/>
      <c r="F257" s="55"/>
      <c r="G257" s="55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9"/>
      <c r="X257" s="59"/>
      <c r="Y257" s="59"/>
      <c r="Z257" s="59"/>
      <c r="AA257" s="59"/>
      <c r="AB257" s="59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6"/>
      <c r="AQ257" s="56"/>
      <c r="AR257" s="56"/>
      <c r="AS257" s="56"/>
      <c r="AT257" s="56"/>
      <c r="AU257" s="56"/>
      <c r="AV257" s="56"/>
      <c r="AW257" s="56"/>
      <c r="AX257" s="56"/>
      <c r="AY257" s="56"/>
      <c r="AZ257" s="56"/>
      <c r="BA257" s="56"/>
      <c r="BB257" s="56"/>
      <c r="BC257" s="56"/>
    </row>
    <row r="258" customFormat="false" ht="21.75" hidden="false" customHeight="true" outlineLevel="0" collapsed="false">
      <c r="B258" s="54" t="n">
        <v>41</v>
      </c>
      <c r="C258" s="54"/>
      <c r="D258" s="55"/>
      <c r="E258" s="55"/>
      <c r="F258" s="55"/>
      <c r="G258" s="55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9"/>
      <c r="X258" s="59"/>
      <c r="Y258" s="59"/>
      <c r="Z258" s="59"/>
      <c r="AA258" s="59"/>
      <c r="AB258" s="59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6"/>
      <c r="AQ258" s="56"/>
      <c r="AR258" s="56"/>
      <c r="AS258" s="56"/>
      <c r="AT258" s="56"/>
      <c r="AU258" s="56"/>
      <c r="AV258" s="56"/>
      <c r="AW258" s="56"/>
      <c r="AX258" s="56"/>
      <c r="AY258" s="56"/>
      <c r="AZ258" s="56"/>
      <c r="BA258" s="56"/>
      <c r="BB258" s="56"/>
      <c r="BC258" s="56"/>
    </row>
    <row r="259" customFormat="false" ht="21.75" hidden="false" customHeight="true" outlineLevel="0" collapsed="false">
      <c r="B259" s="54" t="n">
        <v>42</v>
      </c>
      <c r="C259" s="54"/>
      <c r="D259" s="55"/>
      <c r="E259" s="55"/>
      <c r="F259" s="55"/>
      <c r="G259" s="55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9"/>
      <c r="X259" s="59"/>
      <c r="Y259" s="59"/>
      <c r="Z259" s="59"/>
      <c r="AA259" s="59"/>
      <c r="AB259" s="59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6"/>
      <c r="AQ259" s="56"/>
      <c r="AR259" s="56"/>
      <c r="AS259" s="56"/>
      <c r="AT259" s="56"/>
      <c r="AU259" s="56"/>
      <c r="AV259" s="56"/>
      <c r="AW259" s="56"/>
      <c r="AX259" s="56"/>
      <c r="AY259" s="56"/>
      <c r="AZ259" s="56"/>
      <c r="BA259" s="56"/>
      <c r="BB259" s="56"/>
      <c r="BC259" s="56"/>
    </row>
    <row r="260" customFormat="false" ht="21.75" hidden="false" customHeight="true" outlineLevel="0" collapsed="false">
      <c r="B260" s="54" t="n">
        <v>43</v>
      </c>
      <c r="C260" s="54"/>
      <c r="D260" s="55"/>
      <c r="E260" s="55"/>
      <c r="F260" s="55"/>
      <c r="G260" s="55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9"/>
      <c r="X260" s="59"/>
      <c r="Y260" s="59"/>
      <c r="Z260" s="59"/>
      <c r="AA260" s="59"/>
      <c r="AB260" s="59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6"/>
      <c r="AQ260" s="56"/>
      <c r="AR260" s="56"/>
      <c r="AS260" s="56"/>
      <c r="AT260" s="56"/>
      <c r="AU260" s="56"/>
      <c r="AV260" s="56"/>
      <c r="AW260" s="56"/>
      <c r="AX260" s="56"/>
      <c r="AY260" s="56"/>
      <c r="AZ260" s="56"/>
      <c r="BA260" s="56"/>
      <c r="BB260" s="56"/>
      <c r="BC260" s="56"/>
    </row>
    <row r="261" customFormat="false" ht="21.75" hidden="false" customHeight="true" outlineLevel="0" collapsed="false">
      <c r="B261" s="54" t="n">
        <v>44</v>
      </c>
      <c r="C261" s="54"/>
      <c r="D261" s="55"/>
      <c r="E261" s="55"/>
      <c r="F261" s="55"/>
      <c r="G261" s="55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9"/>
      <c r="X261" s="59"/>
      <c r="Y261" s="59"/>
      <c r="Z261" s="59"/>
      <c r="AA261" s="59"/>
      <c r="AB261" s="59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6"/>
      <c r="AQ261" s="56"/>
      <c r="AR261" s="56"/>
      <c r="AS261" s="56"/>
      <c r="AT261" s="56"/>
      <c r="AU261" s="56"/>
      <c r="AV261" s="56"/>
      <c r="AW261" s="56"/>
      <c r="AX261" s="56"/>
      <c r="AY261" s="56"/>
      <c r="AZ261" s="56"/>
      <c r="BA261" s="56"/>
      <c r="BB261" s="56"/>
      <c r="BC261" s="56"/>
    </row>
    <row r="262" customFormat="false" ht="21.75" hidden="false" customHeight="true" outlineLevel="0" collapsed="false">
      <c r="B262" s="54" t="n">
        <v>45</v>
      </c>
      <c r="C262" s="54"/>
      <c r="D262" s="55"/>
      <c r="E262" s="55"/>
      <c r="F262" s="55"/>
      <c r="G262" s="55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9"/>
      <c r="X262" s="59"/>
      <c r="Y262" s="59"/>
      <c r="Z262" s="59"/>
      <c r="AA262" s="59"/>
      <c r="AB262" s="59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  <c r="AQ262" s="56"/>
      <c r="AR262" s="56"/>
      <c r="AS262" s="56"/>
      <c r="AT262" s="56"/>
      <c r="AU262" s="56"/>
      <c r="AV262" s="56"/>
      <c r="AW262" s="56"/>
      <c r="AX262" s="56"/>
      <c r="AY262" s="56"/>
      <c r="AZ262" s="56"/>
      <c r="BA262" s="56"/>
      <c r="BB262" s="56"/>
      <c r="BC262" s="56"/>
    </row>
    <row r="263" customFormat="false" ht="21.75" hidden="false" customHeight="true" outlineLevel="0" collapsed="false">
      <c r="B263" s="54" t="n">
        <v>46</v>
      </c>
      <c r="C263" s="54"/>
      <c r="D263" s="55"/>
      <c r="E263" s="55"/>
      <c r="F263" s="55"/>
      <c r="G263" s="55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9"/>
      <c r="X263" s="59"/>
      <c r="Y263" s="59"/>
      <c r="Z263" s="59"/>
      <c r="AA263" s="59"/>
      <c r="AB263" s="59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  <c r="AQ263" s="56"/>
      <c r="AR263" s="56"/>
      <c r="AS263" s="56"/>
      <c r="AT263" s="56"/>
      <c r="AU263" s="56"/>
      <c r="AV263" s="56"/>
      <c r="AW263" s="56"/>
      <c r="AX263" s="56"/>
      <c r="AY263" s="56"/>
      <c r="AZ263" s="56"/>
      <c r="BA263" s="56"/>
      <c r="BB263" s="56"/>
      <c r="BC263" s="56"/>
    </row>
    <row r="264" customFormat="false" ht="21.75" hidden="false" customHeight="true" outlineLevel="0" collapsed="false">
      <c r="B264" s="54" t="n">
        <v>47</v>
      </c>
      <c r="C264" s="54"/>
      <c r="D264" s="55"/>
      <c r="E264" s="55"/>
      <c r="F264" s="55"/>
      <c r="G264" s="55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9"/>
      <c r="X264" s="59"/>
      <c r="Y264" s="59"/>
      <c r="Z264" s="59"/>
      <c r="AA264" s="59"/>
      <c r="AB264" s="59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56"/>
      <c r="AR264" s="56"/>
      <c r="AS264" s="56"/>
      <c r="AT264" s="56"/>
      <c r="AU264" s="56"/>
      <c r="AV264" s="56"/>
      <c r="AW264" s="56"/>
      <c r="AX264" s="56"/>
      <c r="AY264" s="56"/>
      <c r="AZ264" s="56"/>
      <c r="BA264" s="56"/>
      <c r="BB264" s="56"/>
      <c r="BC264" s="56"/>
    </row>
    <row r="265" customFormat="false" ht="21.75" hidden="false" customHeight="true" outlineLevel="0" collapsed="false">
      <c r="B265" s="54" t="n">
        <v>48</v>
      </c>
      <c r="C265" s="54"/>
      <c r="D265" s="55"/>
      <c r="E265" s="55"/>
      <c r="F265" s="55"/>
      <c r="G265" s="55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9"/>
      <c r="X265" s="59"/>
      <c r="Y265" s="59"/>
      <c r="Z265" s="59"/>
      <c r="AA265" s="59"/>
      <c r="AB265" s="59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  <c r="AQ265" s="56"/>
      <c r="AR265" s="56"/>
      <c r="AS265" s="56"/>
      <c r="AT265" s="56"/>
      <c r="AU265" s="56"/>
      <c r="AV265" s="56"/>
      <c r="AW265" s="56"/>
      <c r="AX265" s="56"/>
      <c r="AY265" s="56"/>
      <c r="AZ265" s="56"/>
      <c r="BA265" s="56"/>
      <c r="BB265" s="56"/>
      <c r="BC265" s="56"/>
    </row>
    <row r="266" customFormat="false" ht="21.75" hidden="false" customHeight="true" outlineLevel="0" collapsed="false">
      <c r="B266" s="54" t="n">
        <v>49</v>
      </c>
      <c r="C266" s="54"/>
      <c r="D266" s="55"/>
      <c r="E266" s="55"/>
      <c r="F266" s="55"/>
      <c r="G266" s="55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9"/>
      <c r="X266" s="59"/>
      <c r="Y266" s="59"/>
      <c r="Z266" s="59"/>
      <c r="AA266" s="59"/>
      <c r="AB266" s="59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6"/>
      <c r="AQ266" s="56"/>
      <c r="AR266" s="56"/>
      <c r="AS266" s="56"/>
      <c r="AT266" s="56"/>
      <c r="AU266" s="56"/>
      <c r="AV266" s="56"/>
      <c r="AW266" s="56"/>
      <c r="AX266" s="56"/>
      <c r="AY266" s="56"/>
      <c r="AZ266" s="56"/>
      <c r="BA266" s="56"/>
      <c r="BB266" s="56"/>
      <c r="BC266" s="56"/>
    </row>
    <row r="267" customFormat="false" ht="21.75" hidden="false" customHeight="true" outlineLevel="0" collapsed="false">
      <c r="B267" s="54" t="n">
        <v>50</v>
      </c>
      <c r="C267" s="54"/>
      <c r="D267" s="55"/>
      <c r="E267" s="55"/>
      <c r="F267" s="55"/>
      <c r="G267" s="55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9"/>
      <c r="X267" s="59"/>
      <c r="Y267" s="59"/>
      <c r="Z267" s="59"/>
      <c r="AA267" s="59"/>
      <c r="AB267" s="59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6"/>
      <c r="AQ267" s="56"/>
      <c r="AR267" s="56"/>
      <c r="AS267" s="56"/>
      <c r="AT267" s="56"/>
      <c r="AU267" s="56"/>
      <c r="AV267" s="56"/>
      <c r="AW267" s="56"/>
      <c r="AX267" s="56"/>
      <c r="AY267" s="56"/>
      <c r="AZ267" s="56"/>
      <c r="BA267" s="56"/>
      <c r="BB267" s="56"/>
      <c r="BC267" s="56"/>
    </row>
    <row r="268" customFormat="false" ht="21.75" hidden="false" customHeight="true" outlineLevel="0" collapsed="false">
      <c r="B268" s="54" t="n">
        <v>51</v>
      </c>
      <c r="C268" s="54"/>
      <c r="D268" s="55"/>
      <c r="E268" s="55"/>
      <c r="F268" s="55"/>
      <c r="G268" s="55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9"/>
      <c r="X268" s="59"/>
      <c r="Y268" s="59"/>
      <c r="Z268" s="59"/>
      <c r="AA268" s="59"/>
      <c r="AB268" s="59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6"/>
      <c r="AQ268" s="56"/>
      <c r="AR268" s="56"/>
      <c r="AS268" s="56"/>
      <c r="AT268" s="56"/>
      <c r="AU268" s="56"/>
      <c r="AV268" s="56"/>
      <c r="AW268" s="56"/>
      <c r="AX268" s="56"/>
      <c r="AY268" s="56"/>
      <c r="AZ268" s="56"/>
      <c r="BA268" s="56"/>
      <c r="BB268" s="56"/>
      <c r="BC268" s="56"/>
    </row>
    <row r="269" customFormat="false" ht="21.75" hidden="false" customHeight="true" outlineLevel="0" collapsed="false">
      <c r="B269" s="54" t="n">
        <v>52</v>
      </c>
      <c r="C269" s="54"/>
      <c r="D269" s="55"/>
      <c r="E269" s="55"/>
      <c r="F269" s="55"/>
      <c r="G269" s="55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9"/>
      <c r="X269" s="59"/>
      <c r="Y269" s="59"/>
      <c r="Z269" s="59"/>
      <c r="AA269" s="59"/>
      <c r="AB269" s="59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  <c r="AR269" s="56"/>
      <c r="AS269" s="56"/>
      <c r="AT269" s="56"/>
      <c r="AU269" s="56"/>
      <c r="AV269" s="56"/>
      <c r="AW269" s="56"/>
      <c r="AX269" s="56"/>
      <c r="AY269" s="56"/>
      <c r="AZ269" s="56"/>
      <c r="BA269" s="56"/>
      <c r="BB269" s="56"/>
      <c r="BC269" s="56"/>
    </row>
    <row r="270" customFormat="false" ht="21.75" hidden="false" customHeight="true" outlineLevel="0" collapsed="false">
      <c r="B270" s="54" t="n">
        <v>53</v>
      </c>
      <c r="C270" s="54"/>
      <c r="D270" s="55"/>
      <c r="E270" s="55"/>
      <c r="F270" s="55"/>
      <c r="G270" s="55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9"/>
      <c r="X270" s="59"/>
      <c r="Y270" s="59"/>
      <c r="Z270" s="59"/>
      <c r="AA270" s="59"/>
      <c r="AB270" s="59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/>
      <c r="BB270" s="56"/>
      <c r="BC270" s="56"/>
    </row>
    <row r="271" customFormat="false" ht="21.75" hidden="false" customHeight="true" outlineLevel="0" collapsed="false">
      <c r="B271" s="54" t="n">
        <v>54</v>
      </c>
      <c r="C271" s="54"/>
      <c r="D271" s="55"/>
      <c r="E271" s="55"/>
      <c r="F271" s="55"/>
      <c r="G271" s="55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9"/>
      <c r="X271" s="59"/>
      <c r="Y271" s="59"/>
      <c r="Z271" s="59"/>
      <c r="AA271" s="59"/>
      <c r="AB271" s="59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6"/>
      <c r="AQ271" s="56"/>
      <c r="AR271" s="56"/>
      <c r="AS271" s="56"/>
      <c r="AT271" s="56"/>
      <c r="AU271" s="56"/>
      <c r="AV271" s="56"/>
      <c r="AW271" s="56"/>
      <c r="AX271" s="56"/>
      <c r="AY271" s="56"/>
      <c r="AZ271" s="56"/>
      <c r="BA271" s="56"/>
      <c r="BB271" s="56"/>
      <c r="BC271" s="56"/>
    </row>
    <row r="272" customFormat="false" ht="21.75" hidden="false" customHeight="true" outlineLevel="0" collapsed="false">
      <c r="B272" s="54" t="n">
        <v>55</v>
      </c>
      <c r="C272" s="54"/>
      <c r="D272" s="55"/>
      <c r="E272" s="55"/>
      <c r="F272" s="55"/>
      <c r="G272" s="55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9"/>
      <c r="X272" s="59"/>
      <c r="Y272" s="59"/>
      <c r="Z272" s="59"/>
      <c r="AA272" s="59"/>
      <c r="AB272" s="59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56"/>
      <c r="AS272" s="56"/>
      <c r="AT272" s="56"/>
      <c r="AU272" s="56"/>
      <c r="AV272" s="56"/>
      <c r="AW272" s="56"/>
      <c r="AX272" s="56"/>
      <c r="AY272" s="56"/>
      <c r="AZ272" s="56"/>
      <c r="BA272" s="56"/>
      <c r="BB272" s="56"/>
      <c r="BC272" s="56"/>
    </row>
    <row r="273" customFormat="false" ht="21.75" hidden="false" customHeight="true" outlineLevel="0" collapsed="false">
      <c r="B273" s="54" t="n">
        <v>56</v>
      </c>
      <c r="C273" s="54"/>
      <c r="D273" s="55"/>
      <c r="E273" s="55"/>
      <c r="F273" s="55"/>
      <c r="G273" s="55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9"/>
      <c r="X273" s="59"/>
      <c r="Y273" s="59"/>
      <c r="Z273" s="59"/>
      <c r="AA273" s="59"/>
      <c r="AB273" s="59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  <c r="AQ273" s="56"/>
      <c r="AR273" s="56"/>
      <c r="AS273" s="56"/>
      <c r="AT273" s="56"/>
      <c r="AU273" s="56"/>
      <c r="AV273" s="56"/>
      <c r="AW273" s="56"/>
      <c r="AX273" s="56"/>
      <c r="AY273" s="56"/>
      <c r="AZ273" s="56"/>
      <c r="BA273" s="56"/>
      <c r="BB273" s="56"/>
      <c r="BC273" s="56"/>
    </row>
    <row r="274" customFormat="false" ht="21.75" hidden="false" customHeight="true" outlineLevel="0" collapsed="false">
      <c r="B274" s="54" t="n">
        <v>57</v>
      </c>
      <c r="C274" s="54"/>
      <c r="D274" s="55"/>
      <c r="E274" s="55"/>
      <c r="F274" s="55"/>
      <c r="G274" s="55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9"/>
      <c r="X274" s="59"/>
      <c r="Y274" s="59"/>
      <c r="Z274" s="59"/>
      <c r="AA274" s="59"/>
      <c r="AB274" s="59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56"/>
      <c r="AS274" s="56"/>
      <c r="AT274" s="56"/>
      <c r="AU274" s="56"/>
      <c r="AV274" s="56"/>
      <c r="AW274" s="56"/>
      <c r="AX274" s="56"/>
      <c r="AY274" s="56"/>
      <c r="AZ274" s="56"/>
      <c r="BA274" s="56"/>
      <c r="BB274" s="56"/>
      <c r="BC274" s="56"/>
    </row>
    <row r="275" customFormat="false" ht="21.75" hidden="false" customHeight="true" outlineLevel="0" collapsed="false">
      <c r="B275" s="54" t="n">
        <v>58</v>
      </c>
      <c r="C275" s="54"/>
      <c r="D275" s="55"/>
      <c r="E275" s="55"/>
      <c r="F275" s="55"/>
      <c r="G275" s="55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9"/>
      <c r="X275" s="59"/>
      <c r="Y275" s="59"/>
      <c r="Z275" s="59"/>
      <c r="AA275" s="59"/>
      <c r="AB275" s="59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6"/>
      <c r="AQ275" s="56"/>
      <c r="AR275" s="56"/>
      <c r="AS275" s="56"/>
      <c r="AT275" s="56"/>
      <c r="AU275" s="56"/>
      <c r="AV275" s="56"/>
      <c r="AW275" s="56"/>
      <c r="AX275" s="56"/>
      <c r="AY275" s="56"/>
      <c r="AZ275" s="56"/>
      <c r="BA275" s="56"/>
      <c r="BB275" s="56"/>
      <c r="BC275" s="56"/>
    </row>
    <row r="276" customFormat="false" ht="21.75" hidden="false" customHeight="true" outlineLevel="0" collapsed="false">
      <c r="B276" s="54" t="n">
        <v>59</v>
      </c>
      <c r="C276" s="54"/>
      <c r="D276" s="55"/>
      <c r="E276" s="55"/>
      <c r="F276" s="55"/>
      <c r="G276" s="55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9"/>
      <c r="X276" s="59"/>
      <c r="Y276" s="59"/>
      <c r="Z276" s="59"/>
      <c r="AA276" s="59"/>
      <c r="AB276" s="59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  <c r="AQ276" s="56"/>
      <c r="AR276" s="56"/>
      <c r="AS276" s="56"/>
      <c r="AT276" s="56"/>
      <c r="AU276" s="56"/>
      <c r="AV276" s="56"/>
      <c r="AW276" s="56"/>
      <c r="AX276" s="56"/>
      <c r="AY276" s="56"/>
      <c r="AZ276" s="56"/>
      <c r="BA276" s="56"/>
      <c r="BB276" s="56"/>
      <c r="BC276" s="56"/>
    </row>
    <row r="277" customFormat="false" ht="21.75" hidden="false" customHeight="true" outlineLevel="0" collapsed="false">
      <c r="B277" s="54" t="n">
        <v>60</v>
      </c>
      <c r="C277" s="54"/>
      <c r="D277" s="55"/>
      <c r="E277" s="55"/>
      <c r="F277" s="55"/>
      <c r="G277" s="55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9"/>
      <c r="X277" s="59"/>
      <c r="Y277" s="59"/>
      <c r="Z277" s="59"/>
      <c r="AA277" s="59"/>
      <c r="AB277" s="59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6"/>
      <c r="AQ277" s="56"/>
      <c r="AR277" s="56"/>
      <c r="AS277" s="56"/>
      <c r="AT277" s="56"/>
      <c r="AU277" s="56"/>
      <c r="AV277" s="56"/>
      <c r="AW277" s="56"/>
      <c r="AX277" s="56"/>
      <c r="AY277" s="56"/>
      <c r="AZ277" s="56"/>
      <c r="BA277" s="56"/>
      <c r="BB277" s="56"/>
      <c r="BC277" s="56"/>
    </row>
    <row r="278" customFormat="false" ht="21.75" hidden="false" customHeight="true" outlineLevel="0" collapsed="false">
      <c r="B278" s="54" t="n">
        <v>61</v>
      </c>
      <c r="C278" s="54"/>
      <c r="D278" s="55"/>
      <c r="E278" s="55"/>
      <c r="F278" s="55"/>
      <c r="G278" s="55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9"/>
      <c r="X278" s="59"/>
      <c r="Y278" s="59"/>
      <c r="Z278" s="59"/>
      <c r="AA278" s="59"/>
      <c r="AB278" s="59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6"/>
      <c r="AQ278" s="56"/>
      <c r="AR278" s="56"/>
      <c r="AS278" s="56"/>
      <c r="AT278" s="56"/>
      <c r="AU278" s="56"/>
      <c r="AV278" s="56"/>
      <c r="AW278" s="56"/>
      <c r="AX278" s="56"/>
      <c r="AY278" s="56"/>
      <c r="AZ278" s="56"/>
      <c r="BA278" s="56"/>
      <c r="BB278" s="56"/>
      <c r="BC278" s="56"/>
    </row>
    <row r="279" customFormat="false" ht="21.75" hidden="false" customHeight="true" outlineLevel="0" collapsed="false">
      <c r="B279" s="54" t="n">
        <v>62</v>
      </c>
      <c r="C279" s="54"/>
      <c r="D279" s="55"/>
      <c r="E279" s="55"/>
      <c r="F279" s="55"/>
      <c r="G279" s="55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9"/>
      <c r="X279" s="59"/>
      <c r="Y279" s="59"/>
      <c r="Z279" s="59"/>
      <c r="AA279" s="59"/>
      <c r="AB279" s="59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  <c r="AS279" s="56"/>
      <c r="AT279" s="56"/>
      <c r="AU279" s="56"/>
      <c r="AV279" s="56"/>
      <c r="AW279" s="56"/>
      <c r="AX279" s="56"/>
      <c r="AY279" s="56"/>
      <c r="AZ279" s="56"/>
      <c r="BA279" s="56"/>
      <c r="BB279" s="56"/>
      <c r="BC279" s="56"/>
    </row>
    <row r="280" customFormat="false" ht="21.75" hidden="false" customHeight="true" outlineLevel="0" collapsed="false">
      <c r="B280" s="54" t="n">
        <v>63</v>
      </c>
      <c r="C280" s="54"/>
      <c r="D280" s="55"/>
      <c r="E280" s="55"/>
      <c r="F280" s="55"/>
      <c r="G280" s="55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9"/>
      <c r="X280" s="59"/>
      <c r="Y280" s="59"/>
      <c r="Z280" s="59"/>
      <c r="AA280" s="59"/>
      <c r="AB280" s="59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  <c r="AQ280" s="56"/>
      <c r="AR280" s="56"/>
      <c r="AS280" s="56"/>
      <c r="AT280" s="56"/>
      <c r="AU280" s="56"/>
      <c r="AV280" s="56"/>
      <c r="AW280" s="56"/>
      <c r="AX280" s="56"/>
      <c r="AY280" s="56"/>
      <c r="AZ280" s="56"/>
      <c r="BA280" s="56"/>
      <c r="BB280" s="56"/>
      <c r="BC280" s="56"/>
    </row>
    <row r="281" customFormat="false" ht="21.75" hidden="false" customHeight="true" outlineLevel="0" collapsed="false">
      <c r="B281" s="54" t="n">
        <v>64</v>
      </c>
      <c r="C281" s="54"/>
      <c r="D281" s="55"/>
      <c r="E281" s="55"/>
      <c r="F281" s="55"/>
      <c r="G281" s="55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9"/>
      <c r="X281" s="59"/>
      <c r="Y281" s="59"/>
      <c r="Z281" s="59"/>
      <c r="AA281" s="59"/>
      <c r="AB281" s="59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56"/>
      <c r="AQ281" s="56"/>
      <c r="AR281" s="56"/>
      <c r="AS281" s="56"/>
      <c r="AT281" s="56"/>
      <c r="AU281" s="56"/>
      <c r="AV281" s="56"/>
      <c r="AW281" s="56"/>
      <c r="AX281" s="56"/>
      <c r="AY281" s="56"/>
      <c r="AZ281" s="56"/>
      <c r="BA281" s="56"/>
      <c r="BB281" s="56"/>
      <c r="BC281" s="56"/>
    </row>
    <row r="282" customFormat="false" ht="21.75" hidden="false" customHeight="true" outlineLevel="0" collapsed="false">
      <c r="B282" s="54" t="n">
        <v>65</v>
      </c>
      <c r="C282" s="54"/>
      <c r="D282" s="55"/>
      <c r="E282" s="55"/>
      <c r="F282" s="55"/>
      <c r="G282" s="55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9"/>
      <c r="X282" s="59"/>
      <c r="Y282" s="59"/>
      <c r="Z282" s="59"/>
      <c r="AA282" s="59"/>
      <c r="AB282" s="59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  <c r="AR282" s="56"/>
      <c r="AS282" s="56"/>
      <c r="AT282" s="56"/>
      <c r="AU282" s="56"/>
      <c r="AV282" s="56"/>
      <c r="AW282" s="56"/>
      <c r="AX282" s="56"/>
      <c r="AY282" s="56"/>
      <c r="AZ282" s="56"/>
      <c r="BA282" s="56"/>
      <c r="BB282" s="56"/>
      <c r="BC282" s="56"/>
    </row>
    <row r="283" customFormat="false" ht="21.75" hidden="false" customHeight="true" outlineLevel="0" collapsed="false">
      <c r="B283" s="54" t="n">
        <v>66</v>
      </c>
      <c r="C283" s="54"/>
      <c r="D283" s="55"/>
      <c r="E283" s="55"/>
      <c r="F283" s="55"/>
      <c r="G283" s="55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9"/>
      <c r="X283" s="59"/>
      <c r="Y283" s="59"/>
      <c r="Z283" s="59"/>
      <c r="AA283" s="59"/>
      <c r="AB283" s="59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56"/>
      <c r="AR283" s="56"/>
      <c r="AS283" s="56"/>
      <c r="AT283" s="56"/>
      <c r="AU283" s="56"/>
      <c r="AV283" s="56"/>
      <c r="AW283" s="56"/>
      <c r="AX283" s="56"/>
      <c r="AY283" s="56"/>
      <c r="AZ283" s="56"/>
      <c r="BA283" s="56"/>
      <c r="BB283" s="56"/>
      <c r="BC283" s="56"/>
    </row>
    <row r="284" customFormat="false" ht="21.75" hidden="false" customHeight="true" outlineLevel="0" collapsed="false">
      <c r="B284" s="54" t="n">
        <v>67</v>
      </c>
      <c r="C284" s="54"/>
      <c r="D284" s="55"/>
      <c r="E284" s="55"/>
      <c r="F284" s="55"/>
      <c r="G284" s="55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9"/>
      <c r="X284" s="59"/>
      <c r="Y284" s="59"/>
      <c r="Z284" s="59"/>
      <c r="AA284" s="59"/>
      <c r="AB284" s="59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56"/>
      <c r="AS284" s="56"/>
      <c r="AT284" s="56"/>
      <c r="AU284" s="56"/>
      <c r="AV284" s="56"/>
      <c r="AW284" s="56"/>
      <c r="AX284" s="56"/>
      <c r="AY284" s="56"/>
      <c r="AZ284" s="56"/>
      <c r="BA284" s="56"/>
      <c r="BB284" s="56"/>
      <c r="BC284" s="56"/>
    </row>
    <row r="285" customFormat="false" ht="21.75" hidden="false" customHeight="true" outlineLevel="0" collapsed="false">
      <c r="B285" s="54" t="n">
        <v>68</v>
      </c>
      <c r="C285" s="54"/>
      <c r="D285" s="55"/>
      <c r="E285" s="55"/>
      <c r="F285" s="55"/>
      <c r="G285" s="55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9"/>
      <c r="X285" s="59"/>
      <c r="Y285" s="59"/>
      <c r="Z285" s="59"/>
      <c r="AA285" s="59"/>
      <c r="AB285" s="59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6"/>
      <c r="AQ285" s="56"/>
      <c r="AR285" s="56"/>
      <c r="AS285" s="56"/>
      <c r="AT285" s="56"/>
      <c r="AU285" s="56"/>
      <c r="AV285" s="56"/>
      <c r="AW285" s="56"/>
      <c r="AX285" s="56"/>
      <c r="AY285" s="56"/>
      <c r="AZ285" s="56"/>
      <c r="BA285" s="56"/>
      <c r="BB285" s="56"/>
      <c r="BC285" s="56"/>
    </row>
    <row r="286" customFormat="false" ht="21.75" hidden="false" customHeight="true" outlineLevel="0" collapsed="false">
      <c r="B286" s="54" t="n">
        <v>69</v>
      </c>
      <c r="C286" s="54"/>
      <c r="D286" s="55"/>
      <c r="E286" s="55"/>
      <c r="F286" s="55"/>
      <c r="G286" s="55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9"/>
      <c r="X286" s="59"/>
      <c r="Y286" s="59"/>
      <c r="Z286" s="59"/>
      <c r="AA286" s="59"/>
      <c r="AB286" s="59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  <c r="AR286" s="56"/>
      <c r="AS286" s="56"/>
      <c r="AT286" s="56"/>
      <c r="AU286" s="56"/>
      <c r="AV286" s="56"/>
      <c r="AW286" s="56"/>
      <c r="AX286" s="56"/>
      <c r="AY286" s="56"/>
      <c r="AZ286" s="56"/>
      <c r="BA286" s="56"/>
      <c r="BB286" s="56"/>
      <c r="BC286" s="56"/>
    </row>
    <row r="287" customFormat="false" ht="21.75" hidden="false" customHeight="true" outlineLevel="0" collapsed="false">
      <c r="B287" s="54" t="n">
        <v>70</v>
      </c>
      <c r="C287" s="54"/>
      <c r="D287" s="55"/>
      <c r="E287" s="55"/>
      <c r="F287" s="55"/>
      <c r="G287" s="55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9"/>
      <c r="X287" s="59"/>
      <c r="Y287" s="59"/>
      <c r="Z287" s="59"/>
      <c r="AA287" s="59"/>
      <c r="AB287" s="59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  <c r="AR287" s="56"/>
      <c r="AS287" s="56"/>
      <c r="AT287" s="56"/>
      <c r="AU287" s="56"/>
      <c r="AV287" s="56"/>
      <c r="AW287" s="56"/>
      <c r="AX287" s="56"/>
      <c r="AY287" s="56"/>
      <c r="AZ287" s="56"/>
      <c r="BA287" s="56"/>
      <c r="BB287" s="56"/>
      <c r="BC287" s="56"/>
    </row>
    <row r="288" customFormat="false" ht="21.75" hidden="false" customHeight="true" outlineLevel="0" collapsed="false">
      <c r="B288" s="54" t="n">
        <v>71</v>
      </c>
      <c r="C288" s="54"/>
      <c r="D288" s="55"/>
      <c r="E288" s="55"/>
      <c r="F288" s="55"/>
      <c r="G288" s="55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9"/>
      <c r="X288" s="59"/>
      <c r="Y288" s="59"/>
      <c r="Z288" s="59"/>
      <c r="AA288" s="59"/>
      <c r="AB288" s="59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6"/>
      <c r="AQ288" s="56"/>
      <c r="AR288" s="56"/>
      <c r="AS288" s="56"/>
      <c r="AT288" s="56"/>
      <c r="AU288" s="56"/>
      <c r="AV288" s="56"/>
      <c r="AW288" s="56"/>
      <c r="AX288" s="56"/>
      <c r="AY288" s="56"/>
      <c r="AZ288" s="56"/>
      <c r="BA288" s="56"/>
      <c r="BB288" s="56"/>
      <c r="BC288" s="56"/>
    </row>
    <row r="289" customFormat="false" ht="21.75" hidden="false" customHeight="true" outlineLevel="0" collapsed="false">
      <c r="B289" s="54" t="n">
        <v>72</v>
      </c>
      <c r="C289" s="54"/>
      <c r="D289" s="55"/>
      <c r="E289" s="55"/>
      <c r="F289" s="55"/>
      <c r="G289" s="55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9"/>
      <c r="X289" s="59"/>
      <c r="Y289" s="59"/>
      <c r="Z289" s="59"/>
      <c r="AA289" s="59"/>
      <c r="AB289" s="59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56"/>
      <c r="AS289" s="56"/>
      <c r="AT289" s="56"/>
      <c r="AU289" s="56"/>
      <c r="AV289" s="56"/>
      <c r="AW289" s="56"/>
      <c r="AX289" s="56"/>
      <c r="AY289" s="56"/>
      <c r="AZ289" s="56"/>
      <c r="BA289" s="56"/>
      <c r="BB289" s="56"/>
      <c r="BC289" s="56"/>
    </row>
    <row r="290" customFormat="false" ht="21.75" hidden="false" customHeight="true" outlineLevel="0" collapsed="false">
      <c r="B290" s="54" t="n">
        <v>73</v>
      </c>
      <c r="C290" s="54"/>
      <c r="D290" s="55"/>
      <c r="E290" s="55"/>
      <c r="F290" s="55"/>
      <c r="G290" s="55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9"/>
      <c r="X290" s="59"/>
      <c r="Y290" s="59"/>
      <c r="Z290" s="59"/>
      <c r="AA290" s="59"/>
      <c r="AB290" s="59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6"/>
      <c r="AQ290" s="56"/>
      <c r="AR290" s="56"/>
      <c r="AS290" s="56"/>
      <c r="AT290" s="56"/>
      <c r="AU290" s="56"/>
      <c r="AV290" s="56"/>
      <c r="AW290" s="56"/>
      <c r="AX290" s="56"/>
      <c r="AY290" s="56"/>
      <c r="AZ290" s="56"/>
      <c r="BA290" s="56"/>
      <c r="BB290" s="56"/>
      <c r="BC290" s="56"/>
    </row>
    <row r="291" customFormat="false" ht="21.75" hidden="false" customHeight="true" outlineLevel="0" collapsed="false">
      <c r="B291" s="54" t="n">
        <v>74</v>
      </c>
      <c r="C291" s="54"/>
      <c r="D291" s="55"/>
      <c r="E291" s="55"/>
      <c r="F291" s="55"/>
      <c r="G291" s="55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9"/>
      <c r="X291" s="59"/>
      <c r="Y291" s="59"/>
      <c r="Z291" s="59"/>
      <c r="AA291" s="59"/>
      <c r="AB291" s="59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  <c r="AQ291" s="56"/>
      <c r="AR291" s="56"/>
      <c r="AS291" s="56"/>
      <c r="AT291" s="56"/>
      <c r="AU291" s="56"/>
      <c r="AV291" s="56"/>
      <c r="AW291" s="56"/>
      <c r="AX291" s="56"/>
      <c r="AY291" s="56"/>
      <c r="AZ291" s="56"/>
      <c r="BA291" s="56"/>
      <c r="BB291" s="56"/>
      <c r="BC291" s="56"/>
    </row>
    <row r="292" customFormat="false" ht="21.75" hidden="false" customHeight="true" outlineLevel="0" collapsed="false">
      <c r="B292" s="54" t="n">
        <v>75</v>
      </c>
      <c r="C292" s="54"/>
      <c r="D292" s="55"/>
      <c r="E292" s="55"/>
      <c r="F292" s="55"/>
      <c r="G292" s="55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9"/>
      <c r="X292" s="59"/>
      <c r="Y292" s="59"/>
      <c r="Z292" s="59"/>
      <c r="AA292" s="59"/>
      <c r="AB292" s="59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6"/>
      <c r="AQ292" s="56"/>
      <c r="AR292" s="56"/>
      <c r="AS292" s="56"/>
      <c r="AT292" s="56"/>
      <c r="AU292" s="56"/>
      <c r="AV292" s="56"/>
      <c r="AW292" s="56"/>
      <c r="AX292" s="56"/>
      <c r="AY292" s="56"/>
      <c r="AZ292" s="56"/>
      <c r="BA292" s="56"/>
      <c r="BB292" s="56"/>
      <c r="BC292" s="56"/>
    </row>
    <row r="293" customFormat="false" ht="21.75" hidden="false" customHeight="true" outlineLevel="0" collapsed="false">
      <c r="B293" s="54" t="n">
        <v>76</v>
      </c>
      <c r="C293" s="54"/>
      <c r="D293" s="55"/>
      <c r="E293" s="55"/>
      <c r="F293" s="55"/>
      <c r="G293" s="55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9"/>
      <c r="X293" s="59"/>
      <c r="Y293" s="59"/>
      <c r="Z293" s="59"/>
      <c r="AA293" s="59"/>
      <c r="AB293" s="59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6"/>
      <c r="AQ293" s="56"/>
      <c r="AR293" s="56"/>
      <c r="AS293" s="56"/>
      <c r="AT293" s="56"/>
      <c r="AU293" s="56"/>
      <c r="AV293" s="56"/>
      <c r="AW293" s="56"/>
      <c r="AX293" s="56"/>
      <c r="AY293" s="56"/>
      <c r="AZ293" s="56"/>
      <c r="BA293" s="56"/>
      <c r="BB293" s="56"/>
      <c r="BC293" s="56"/>
    </row>
    <row r="294" customFormat="false" ht="21.75" hidden="false" customHeight="true" outlineLevel="0" collapsed="false">
      <c r="B294" s="54" t="n">
        <v>77</v>
      </c>
      <c r="C294" s="54"/>
      <c r="D294" s="55"/>
      <c r="E294" s="55"/>
      <c r="F294" s="55"/>
      <c r="G294" s="55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9"/>
      <c r="X294" s="59"/>
      <c r="Y294" s="59"/>
      <c r="Z294" s="59"/>
      <c r="AA294" s="59"/>
      <c r="AB294" s="59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  <c r="AQ294" s="56"/>
      <c r="AR294" s="56"/>
      <c r="AS294" s="56"/>
      <c r="AT294" s="56"/>
      <c r="AU294" s="56"/>
      <c r="AV294" s="56"/>
      <c r="AW294" s="56"/>
      <c r="AX294" s="56"/>
      <c r="AY294" s="56"/>
      <c r="AZ294" s="56"/>
      <c r="BA294" s="56"/>
      <c r="BB294" s="56"/>
      <c r="BC294" s="56"/>
    </row>
    <row r="295" customFormat="false" ht="21.75" hidden="false" customHeight="true" outlineLevel="0" collapsed="false">
      <c r="B295" s="54" t="n">
        <v>78</v>
      </c>
      <c r="C295" s="54"/>
      <c r="D295" s="55"/>
      <c r="E295" s="55"/>
      <c r="F295" s="55"/>
      <c r="G295" s="55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9"/>
      <c r="X295" s="59"/>
      <c r="Y295" s="59"/>
      <c r="Z295" s="59"/>
      <c r="AA295" s="59"/>
      <c r="AB295" s="59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  <c r="AQ295" s="56"/>
      <c r="AR295" s="56"/>
      <c r="AS295" s="56"/>
      <c r="AT295" s="56"/>
      <c r="AU295" s="56"/>
      <c r="AV295" s="56"/>
      <c r="AW295" s="56"/>
      <c r="AX295" s="56"/>
      <c r="AY295" s="56"/>
      <c r="AZ295" s="56"/>
      <c r="BA295" s="56"/>
      <c r="BB295" s="56"/>
      <c r="BC295" s="56"/>
    </row>
    <row r="296" customFormat="false" ht="21.75" hidden="false" customHeight="true" outlineLevel="0" collapsed="false">
      <c r="B296" s="54" t="n">
        <v>79</v>
      </c>
      <c r="C296" s="54"/>
      <c r="D296" s="55"/>
      <c r="E296" s="55"/>
      <c r="F296" s="55"/>
      <c r="G296" s="55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9"/>
      <c r="X296" s="59"/>
      <c r="Y296" s="59"/>
      <c r="Z296" s="59"/>
      <c r="AA296" s="59"/>
      <c r="AB296" s="59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6"/>
      <c r="AQ296" s="56"/>
      <c r="AR296" s="56"/>
      <c r="AS296" s="56"/>
      <c r="AT296" s="56"/>
      <c r="AU296" s="56"/>
      <c r="AV296" s="56"/>
      <c r="AW296" s="56"/>
      <c r="AX296" s="56"/>
      <c r="AY296" s="56"/>
      <c r="AZ296" s="56"/>
      <c r="BA296" s="56"/>
      <c r="BB296" s="56"/>
      <c r="BC296" s="56"/>
    </row>
    <row r="297" customFormat="false" ht="21.75" hidden="false" customHeight="true" outlineLevel="0" collapsed="false">
      <c r="B297" s="54" t="n">
        <v>80</v>
      </c>
      <c r="C297" s="54"/>
      <c r="D297" s="55"/>
      <c r="E297" s="55"/>
      <c r="F297" s="55"/>
      <c r="G297" s="55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9"/>
      <c r="X297" s="59"/>
      <c r="Y297" s="59"/>
      <c r="Z297" s="59"/>
      <c r="AA297" s="59"/>
      <c r="AB297" s="59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6"/>
      <c r="AQ297" s="56"/>
      <c r="AR297" s="56"/>
      <c r="AS297" s="56"/>
      <c r="AT297" s="56"/>
      <c r="AU297" s="56"/>
      <c r="AV297" s="56"/>
      <c r="AW297" s="56"/>
      <c r="AX297" s="56"/>
      <c r="AY297" s="56"/>
      <c r="AZ297" s="56"/>
      <c r="BA297" s="56"/>
      <c r="BB297" s="56"/>
      <c r="BC297" s="56"/>
    </row>
    <row r="298" customFormat="false" ht="21.75" hidden="false" customHeight="true" outlineLevel="0" collapsed="false">
      <c r="B298" s="54" t="n">
        <v>81</v>
      </c>
      <c r="C298" s="54"/>
      <c r="D298" s="55"/>
      <c r="E298" s="55"/>
      <c r="F298" s="55"/>
      <c r="G298" s="55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9"/>
      <c r="X298" s="59"/>
      <c r="Y298" s="59"/>
      <c r="Z298" s="59"/>
      <c r="AA298" s="59"/>
      <c r="AB298" s="59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6"/>
      <c r="AQ298" s="56"/>
      <c r="AR298" s="56"/>
      <c r="AS298" s="56"/>
      <c r="AT298" s="56"/>
      <c r="AU298" s="56"/>
      <c r="AV298" s="56"/>
      <c r="AW298" s="56"/>
      <c r="AX298" s="56"/>
      <c r="AY298" s="56"/>
      <c r="AZ298" s="56"/>
      <c r="BA298" s="56"/>
      <c r="BB298" s="56"/>
      <c r="BC298" s="56"/>
    </row>
    <row r="299" customFormat="false" ht="21.75" hidden="false" customHeight="true" outlineLevel="0" collapsed="false">
      <c r="B299" s="54" t="n">
        <v>82</v>
      </c>
      <c r="C299" s="54"/>
      <c r="D299" s="55"/>
      <c r="E299" s="55"/>
      <c r="F299" s="55"/>
      <c r="G299" s="55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9"/>
      <c r="X299" s="59"/>
      <c r="Y299" s="59"/>
      <c r="Z299" s="59"/>
      <c r="AA299" s="59"/>
      <c r="AB299" s="59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  <c r="AQ299" s="56"/>
      <c r="AR299" s="56"/>
      <c r="AS299" s="56"/>
      <c r="AT299" s="56"/>
      <c r="AU299" s="56"/>
      <c r="AV299" s="56"/>
      <c r="AW299" s="56"/>
      <c r="AX299" s="56"/>
      <c r="AY299" s="56"/>
      <c r="AZ299" s="56"/>
      <c r="BA299" s="56"/>
      <c r="BB299" s="56"/>
      <c r="BC299" s="56"/>
    </row>
    <row r="300" customFormat="false" ht="21.75" hidden="false" customHeight="true" outlineLevel="0" collapsed="false">
      <c r="B300" s="54" t="n">
        <v>83</v>
      </c>
      <c r="C300" s="54"/>
      <c r="D300" s="55"/>
      <c r="E300" s="55"/>
      <c r="F300" s="55"/>
      <c r="G300" s="55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9"/>
      <c r="X300" s="59"/>
      <c r="Y300" s="59"/>
      <c r="Z300" s="59"/>
      <c r="AA300" s="59"/>
      <c r="AB300" s="59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56"/>
      <c r="AR300" s="56"/>
      <c r="AS300" s="56"/>
      <c r="AT300" s="56"/>
      <c r="AU300" s="56"/>
      <c r="AV300" s="56"/>
      <c r="AW300" s="56"/>
      <c r="AX300" s="56"/>
      <c r="AY300" s="56"/>
      <c r="AZ300" s="56"/>
      <c r="BA300" s="56"/>
      <c r="BB300" s="56"/>
      <c r="BC300" s="56"/>
    </row>
    <row r="301" customFormat="false" ht="21.75" hidden="false" customHeight="true" outlineLevel="0" collapsed="false">
      <c r="B301" s="54" t="n">
        <v>84</v>
      </c>
      <c r="C301" s="54"/>
      <c r="D301" s="55"/>
      <c r="E301" s="55"/>
      <c r="F301" s="55"/>
      <c r="G301" s="55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9"/>
      <c r="X301" s="59"/>
      <c r="Y301" s="59"/>
      <c r="Z301" s="59"/>
      <c r="AA301" s="59"/>
      <c r="AB301" s="59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6"/>
      <c r="AQ301" s="56"/>
      <c r="AR301" s="56"/>
      <c r="AS301" s="56"/>
      <c r="AT301" s="56"/>
      <c r="AU301" s="56"/>
      <c r="AV301" s="56"/>
      <c r="AW301" s="56"/>
      <c r="AX301" s="56"/>
      <c r="AY301" s="56"/>
      <c r="AZ301" s="56"/>
      <c r="BA301" s="56"/>
      <c r="BB301" s="56"/>
      <c r="BC301" s="56"/>
    </row>
    <row r="302" customFormat="false" ht="21.75" hidden="false" customHeight="true" outlineLevel="0" collapsed="false">
      <c r="B302" s="54" t="n">
        <v>85</v>
      </c>
      <c r="C302" s="54"/>
      <c r="D302" s="55"/>
      <c r="E302" s="55"/>
      <c r="F302" s="55"/>
      <c r="G302" s="55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9"/>
      <c r="X302" s="59"/>
      <c r="Y302" s="59"/>
      <c r="Z302" s="59"/>
      <c r="AA302" s="59"/>
      <c r="AB302" s="59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6"/>
      <c r="AQ302" s="56"/>
      <c r="AR302" s="56"/>
      <c r="AS302" s="56"/>
      <c r="AT302" s="56"/>
      <c r="AU302" s="56"/>
      <c r="AV302" s="56"/>
      <c r="AW302" s="56"/>
      <c r="AX302" s="56"/>
      <c r="AY302" s="56"/>
      <c r="AZ302" s="56"/>
      <c r="BA302" s="56"/>
      <c r="BB302" s="56"/>
      <c r="BC302" s="56"/>
    </row>
    <row r="303" customFormat="false" ht="21.75" hidden="false" customHeight="true" outlineLevel="0" collapsed="false">
      <c r="B303" s="54" t="n">
        <v>86</v>
      </c>
      <c r="C303" s="54"/>
      <c r="D303" s="55"/>
      <c r="E303" s="55"/>
      <c r="F303" s="55"/>
      <c r="G303" s="55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9"/>
      <c r="X303" s="59"/>
      <c r="Y303" s="59"/>
      <c r="Z303" s="59"/>
      <c r="AA303" s="59"/>
      <c r="AB303" s="59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  <c r="AQ303" s="56"/>
      <c r="AR303" s="56"/>
      <c r="AS303" s="56"/>
      <c r="AT303" s="56"/>
      <c r="AU303" s="56"/>
      <c r="AV303" s="56"/>
      <c r="AW303" s="56"/>
      <c r="AX303" s="56"/>
      <c r="AY303" s="56"/>
      <c r="AZ303" s="56"/>
      <c r="BA303" s="56"/>
      <c r="BB303" s="56"/>
      <c r="BC303" s="56"/>
    </row>
    <row r="304" customFormat="false" ht="21.75" hidden="false" customHeight="true" outlineLevel="0" collapsed="false">
      <c r="B304" s="54" t="n">
        <v>87</v>
      </c>
      <c r="C304" s="54"/>
      <c r="D304" s="55"/>
      <c r="E304" s="55"/>
      <c r="F304" s="55"/>
      <c r="G304" s="55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9"/>
      <c r="X304" s="59"/>
      <c r="Y304" s="59"/>
      <c r="Z304" s="59"/>
      <c r="AA304" s="59"/>
      <c r="AB304" s="59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56"/>
      <c r="AQ304" s="56"/>
      <c r="AR304" s="56"/>
      <c r="AS304" s="56"/>
      <c r="AT304" s="56"/>
      <c r="AU304" s="56"/>
      <c r="AV304" s="56"/>
      <c r="AW304" s="56"/>
      <c r="AX304" s="56"/>
      <c r="AY304" s="56"/>
      <c r="AZ304" s="56"/>
      <c r="BA304" s="56"/>
      <c r="BB304" s="56"/>
      <c r="BC304" s="56"/>
    </row>
    <row r="305" customFormat="false" ht="21.75" hidden="false" customHeight="true" outlineLevel="0" collapsed="false">
      <c r="B305" s="54" t="n">
        <v>88</v>
      </c>
      <c r="C305" s="54"/>
      <c r="D305" s="55"/>
      <c r="E305" s="55"/>
      <c r="F305" s="55"/>
      <c r="G305" s="55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9"/>
      <c r="X305" s="59"/>
      <c r="Y305" s="59"/>
      <c r="Z305" s="59"/>
      <c r="AA305" s="59"/>
      <c r="AB305" s="59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6"/>
      <c r="AQ305" s="56"/>
      <c r="AR305" s="56"/>
      <c r="AS305" s="56"/>
      <c r="AT305" s="56"/>
      <c r="AU305" s="56"/>
      <c r="AV305" s="56"/>
      <c r="AW305" s="56"/>
      <c r="AX305" s="56"/>
      <c r="AY305" s="56"/>
      <c r="AZ305" s="56"/>
      <c r="BA305" s="56"/>
      <c r="BB305" s="56"/>
      <c r="BC305" s="56"/>
    </row>
    <row r="306" customFormat="false" ht="21.75" hidden="false" customHeight="true" outlineLevel="0" collapsed="false">
      <c r="B306" s="54" t="n">
        <v>89</v>
      </c>
      <c r="C306" s="54"/>
      <c r="D306" s="55"/>
      <c r="E306" s="55"/>
      <c r="F306" s="55"/>
      <c r="G306" s="55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9"/>
      <c r="X306" s="59"/>
      <c r="Y306" s="59"/>
      <c r="Z306" s="59"/>
      <c r="AA306" s="59"/>
      <c r="AB306" s="59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6"/>
      <c r="AQ306" s="56"/>
      <c r="AR306" s="56"/>
      <c r="AS306" s="56"/>
      <c r="AT306" s="56"/>
      <c r="AU306" s="56"/>
      <c r="AV306" s="56"/>
      <c r="AW306" s="56"/>
      <c r="AX306" s="56"/>
      <c r="AY306" s="56"/>
      <c r="AZ306" s="56"/>
      <c r="BA306" s="56"/>
      <c r="BB306" s="56"/>
      <c r="BC306" s="56"/>
    </row>
    <row r="307" customFormat="false" ht="21.75" hidden="false" customHeight="true" outlineLevel="0" collapsed="false">
      <c r="B307" s="54" t="n">
        <v>90</v>
      </c>
      <c r="C307" s="54"/>
      <c r="D307" s="55"/>
      <c r="E307" s="55"/>
      <c r="F307" s="55"/>
      <c r="G307" s="55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9"/>
      <c r="X307" s="59"/>
      <c r="Y307" s="59"/>
      <c r="Z307" s="59"/>
      <c r="AA307" s="59"/>
      <c r="AB307" s="59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  <c r="AQ307" s="56"/>
      <c r="AR307" s="56"/>
      <c r="AS307" s="56"/>
      <c r="AT307" s="56"/>
      <c r="AU307" s="56"/>
      <c r="AV307" s="56"/>
      <c r="AW307" s="56"/>
      <c r="AX307" s="56"/>
      <c r="AY307" s="56"/>
      <c r="AZ307" s="56"/>
      <c r="BA307" s="56"/>
      <c r="BB307" s="56"/>
      <c r="BC307" s="56"/>
    </row>
    <row r="308" customFormat="false" ht="21.75" hidden="false" customHeight="true" outlineLevel="0" collapsed="false">
      <c r="B308" s="54" t="n">
        <v>91</v>
      </c>
      <c r="C308" s="54"/>
      <c r="D308" s="55"/>
      <c r="E308" s="55"/>
      <c r="F308" s="55"/>
      <c r="G308" s="55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9"/>
      <c r="X308" s="59"/>
      <c r="Y308" s="59"/>
      <c r="Z308" s="59"/>
      <c r="AA308" s="59"/>
      <c r="AB308" s="59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  <c r="AQ308" s="56"/>
      <c r="AR308" s="56"/>
      <c r="AS308" s="56"/>
      <c r="AT308" s="56"/>
      <c r="AU308" s="56"/>
      <c r="AV308" s="56"/>
      <c r="AW308" s="56"/>
      <c r="AX308" s="56"/>
      <c r="AY308" s="56"/>
      <c r="AZ308" s="56"/>
      <c r="BA308" s="56"/>
      <c r="BB308" s="56"/>
      <c r="BC308" s="56"/>
    </row>
    <row r="309" customFormat="false" ht="21.75" hidden="false" customHeight="true" outlineLevel="0" collapsed="false">
      <c r="B309" s="54" t="n">
        <v>92</v>
      </c>
      <c r="C309" s="54"/>
      <c r="D309" s="55"/>
      <c r="E309" s="55"/>
      <c r="F309" s="55"/>
      <c r="G309" s="55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9"/>
      <c r="X309" s="59"/>
      <c r="Y309" s="59"/>
      <c r="Z309" s="59"/>
      <c r="AA309" s="59"/>
      <c r="AB309" s="59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56"/>
      <c r="AR309" s="56"/>
      <c r="AS309" s="56"/>
      <c r="AT309" s="56"/>
      <c r="AU309" s="56"/>
      <c r="AV309" s="56"/>
      <c r="AW309" s="56"/>
      <c r="AX309" s="56"/>
      <c r="AY309" s="56"/>
      <c r="AZ309" s="56"/>
      <c r="BA309" s="56"/>
      <c r="BB309" s="56"/>
      <c r="BC309" s="56"/>
    </row>
    <row r="310" customFormat="false" ht="21.75" hidden="false" customHeight="true" outlineLevel="0" collapsed="false">
      <c r="B310" s="54" t="n">
        <v>93</v>
      </c>
      <c r="C310" s="54"/>
      <c r="D310" s="55"/>
      <c r="E310" s="55"/>
      <c r="F310" s="55"/>
      <c r="G310" s="55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9"/>
      <c r="X310" s="59"/>
      <c r="Y310" s="59"/>
      <c r="Z310" s="59"/>
      <c r="AA310" s="59"/>
      <c r="AB310" s="59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/>
      <c r="BB310" s="56"/>
      <c r="BC310" s="56"/>
    </row>
    <row r="311" customFormat="false" ht="21.75" hidden="false" customHeight="true" outlineLevel="0" collapsed="false">
      <c r="B311" s="54" t="n">
        <v>94</v>
      </c>
      <c r="C311" s="54"/>
      <c r="D311" s="55"/>
      <c r="E311" s="55"/>
      <c r="F311" s="55"/>
      <c r="G311" s="55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9"/>
      <c r="X311" s="59"/>
      <c r="Y311" s="59"/>
      <c r="Z311" s="59"/>
      <c r="AA311" s="59"/>
      <c r="AB311" s="59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6"/>
      <c r="AQ311" s="56"/>
      <c r="AR311" s="56"/>
      <c r="AS311" s="56"/>
      <c r="AT311" s="56"/>
      <c r="AU311" s="56"/>
      <c r="AV311" s="56"/>
      <c r="AW311" s="56"/>
      <c r="AX311" s="56"/>
      <c r="AY311" s="56"/>
      <c r="AZ311" s="56"/>
      <c r="BA311" s="56"/>
      <c r="BB311" s="56"/>
      <c r="BC311" s="56"/>
    </row>
    <row r="312" customFormat="false" ht="21.75" hidden="false" customHeight="true" outlineLevel="0" collapsed="false">
      <c r="B312" s="54" t="n">
        <v>95</v>
      </c>
      <c r="C312" s="54"/>
      <c r="D312" s="55"/>
      <c r="E312" s="55"/>
      <c r="F312" s="55"/>
      <c r="G312" s="55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9"/>
      <c r="X312" s="59"/>
      <c r="Y312" s="59"/>
      <c r="Z312" s="59"/>
      <c r="AA312" s="59"/>
      <c r="AB312" s="59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6"/>
      <c r="AQ312" s="56"/>
      <c r="AR312" s="56"/>
      <c r="AS312" s="56"/>
      <c r="AT312" s="56"/>
      <c r="AU312" s="56"/>
      <c r="AV312" s="56"/>
      <c r="AW312" s="56"/>
      <c r="AX312" s="56"/>
      <c r="AY312" s="56"/>
      <c r="AZ312" s="56"/>
      <c r="BA312" s="56"/>
      <c r="BB312" s="56"/>
      <c r="BC312" s="56"/>
    </row>
    <row r="313" customFormat="false" ht="21.75" hidden="false" customHeight="true" outlineLevel="0" collapsed="false">
      <c r="B313" s="54" t="n">
        <v>96</v>
      </c>
      <c r="C313" s="54"/>
      <c r="D313" s="55"/>
      <c r="E313" s="55"/>
      <c r="F313" s="55"/>
      <c r="G313" s="55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9"/>
      <c r="X313" s="59"/>
      <c r="Y313" s="59"/>
      <c r="Z313" s="59"/>
      <c r="AA313" s="59"/>
      <c r="AB313" s="59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6"/>
      <c r="AQ313" s="56"/>
      <c r="AR313" s="56"/>
      <c r="AS313" s="56"/>
      <c r="AT313" s="56"/>
      <c r="AU313" s="56"/>
      <c r="AV313" s="56"/>
      <c r="AW313" s="56"/>
      <c r="AX313" s="56"/>
      <c r="AY313" s="56"/>
      <c r="AZ313" s="56"/>
      <c r="BA313" s="56"/>
      <c r="BB313" s="56"/>
      <c r="BC313" s="56"/>
    </row>
    <row r="314" customFormat="false" ht="21.75" hidden="false" customHeight="true" outlineLevel="0" collapsed="false">
      <c r="B314" s="54" t="n">
        <v>97</v>
      </c>
      <c r="C314" s="54"/>
      <c r="D314" s="55"/>
      <c r="E314" s="55"/>
      <c r="F314" s="55"/>
      <c r="G314" s="55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9"/>
      <c r="X314" s="59"/>
      <c r="Y314" s="59"/>
      <c r="Z314" s="59"/>
      <c r="AA314" s="59"/>
      <c r="AB314" s="59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6"/>
      <c r="AQ314" s="56"/>
      <c r="AR314" s="56"/>
      <c r="AS314" s="56"/>
      <c r="AT314" s="56"/>
      <c r="AU314" s="56"/>
      <c r="AV314" s="56"/>
      <c r="AW314" s="56"/>
      <c r="AX314" s="56"/>
      <c r="AY314" s="56"/>
      <c r="AZ314" s="56"/>
      <c r="BA314" s="56"/>
      <c r="BB314" s="56"/>
      <c r="BC314" s="56"/>
    </row>
    <row r="315" customFormat="false" ht="21.75" hidden="false" customHeight="true" outlineLevel="0" collapsed="false">
      <c r="B315" s="54" t="n">
        <v>98</v>
      </c>
      <c r="C315" s="54"/>
      <c r="D315" s="55"/>
      <c r="E315" s="55"/>
      <c r="F315" s="55"/>
      <c r="G315" s="55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9"/>
      <c r="X315" s="59"/>
      <c r="Y315" s="59"/>
      <c r="Z315" s="59"/>
      <c r="AA315" s="59"/>
      <c r="AB315" s="59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  <c r="AQ315" s="56"/>
      <c r="AR315" s="56"/>
      <c r="AS315" s="56"/>
      <c r="AT315" s="56"/>
      <c r="AU315" s="56"/>
      <c r="AV315" s="56"/>
      <c r="AW315" s="56"/>
      <c r="AX315" s="56"/>
      <c r="AY315" s="56"/>
      <c r="AZ315" s="56"/>
      <c r="BA315" s="56"/>
      <c r="BB315" s="56"/>
      <c r="BC315" s="56"/>
    </row>
    <row r="316" customFormat="false" ht="21.75" hidden="false" customHeight="true" outlineLevel="0" collapsed="false">
      <c r="B316" s="54" t="n">
        <v>99</v>
      </c>
      <c r="C316" s="54"/>
      <c r="D316" s="55"/>
      <c r="E316" s="55"/>
      <c r="F316" s="55"/>
      <c r="G316" s="55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9"/>
      <c r="X316" s="59"/>
      <c r="Y316" s="59"/>
      <c r="Z316" s="59"/>
      <c r="AA316" s="59"/>
      <c r="AB316" s="59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  <c r="AQ316" s="56"/>
      <c r="AR316" s="56"/>
      <c r="AS316" s="56"/>
      <c r="AT316" s="56"/>
      <c r="AU316" s="56"/>
      <c r="AV316" s="56"/>
      <c r="AW316" s="56"/>
      <c r="AX316" s="56"/>
      <c r="AY316" s="56"/>
      <c r="AZ316" s="56"/>
      <c r="BA316" s="56"/>
      <c r="BB316" s="56"/>
      <c r="BC316" s="56"/>
    </row>
    <row r="317" customFormat="false" ht="21.75" hidden="false" customHeight="true" outlineLevel="0" collapsed="false">
      <c r="B317" s="54" t="n">
        <v>100</v>
      </c>
      <c r="C317" s="54"/>
      <c r="D317" s="55"/>
      <c r="E317" s="55"/>
      <c r="F317" s="55"/>
      <c r="G317" s="55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9"/>
      <c r="X317" s="59"/>
      <c r="Y317" s="59"/>
      <c r="Z317" s="59"/>
      <c r="AA317" s="59"/>
      <c r="AB317" s="59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6"/>
      <c r="AQ317" s="56"/>
      <c r="AR317" s="56"/>
      <c r="AS317" s="56"/>
      <c r="AT317" s="56"/>
      <c r="AU317" s="56"/>
      <c r="AV317" s="56"/>
      <c r="AW317" s="56"/>
      <c r="AX317" s="56"/>
      <c r="AY317" s="56"/>
      <c r="AZ317" s="56"/>
      <c r="BA317" s="56"/>
      <c r="BB317" s="56"/>
      <c r="BC317" s="56"/>
    </row>
    <row r="318" customFormat="false" ht="21.75" hidden="false" customHeight="true" outlineLevel="0" collapsed="false">
      <c r="B318" s="54" t="n">
        <v>101</v>
      </c>
      <c r="C318" s="54"/>
      <c r="D318" s="55"/>
      <c r="E318" s="55"/>
      <c r="F318" s="55"/>
      <c r="G318" s="55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9"/>
      <c r="X318" s="59"/>
      <c r="Y318" s="59"/>
      <c r="Z318" s="59"/>
      <c r="AA318" s="59"/>
      <c r="AB318" s="59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  <c r="AQ318" s="56"/>
      <c r="AR318" s="56"/>
      <c r="AS318" s="56"/>
      <c r="AT318" s="56"/>
      <c r="AU318" s="56"/>
      <c r="AV318" s="56"/>
      <c r="AW318" s="56"/>
      <c r="AX318" s="56"/>
      <c r="AY318" s="56"/>
      <c r="AZ318" s="56"/>
      <c r="BA318" s="56"/>
      <c r="BB318" s="56"/>
      <c r="BC318" s="56"/>
    </row>
    <row r="319" customFormat="false" ht="21.75" hidden="false" customHeight="true" outlineLevel="0" collapsed="false">
      <c r="B319" s="54" t="n">
        <v>102</v>
      </c>
      <c r="C319" s="54"/>
      <c r="D319" s="55"/>
      <c r="E319" s="55"/>
      <c r="F319" s="55"/>
      <c r="G319" s="55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9"/>
      <c r="X319" s="59"/>
      <c r="Y319" s="59"/>
      <c r="Z319" s="59"/>
      <c r="AA319" s="59"/>
      <c r="AB319" s="59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56"/>
      <c r="AR319" s="56"/>
      <c r="AS319" s="56"/>
      <c r="AT319" s="56"/>
      <c r="AU319" s="56"/>
      <c r="AV319" s="56"/>
      <c r="AW319" s="56"/>
      <c r="AX319" s="56"/>
      <c r="AY319" s="56"/>
      <c r="AZ319" s="56"/>
      <c r="BA319" s="56"/>
      <c r="BB319" s="56"/>
      <c r="BC319" s="56"/>
    </row>
    <row r="320" customFormat="false" ht="21.75" hidden="false" customHeight="true" outlineLevel="0" collapsed="false">
      <c r="B320" s="54" t="n">
        <v>103</v>
      </c>
      <c r="C320" s="54"/>
      <c r="D320" s="55"/>
      <c r="E320" s="55"/>
      <c r="F320" s="55"/>
      <c r="G320" s="55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9"/>
      <c r="X320" s="59"/>
      <c r="Y320" s="59"/>
      <c r="Z320" s="59"/>
      <c r="AA320" s="59"/>
      <c r="AB320" s="59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  <c r="AQ320" s="56"/>
      <c r="AR320" s="56"/>
      <c r="AS320" s="56"/>
      <c r="AT320" s="56"/>
      <c r="AU320" s="56"/>
      <c r="AV320" s="56"/>
      <c r="AW320" s="56"/>
      <c r="AX320" s="56"/>
      <c r="AY320" s="56"/>
      <c r="AZ320" s="56"/>
      <c r="BA320" s="56"/>
      <c r="BB320" s="56"/>
      <c r="BC320" s="56"/>
    </row>
    <row r="321" customFormat="false" ht="21.75" hidden="false" customHeight="true" outlineLevel="0" collapsed="false">
      <c r="B321" s="54" t="n">
        <v>104</v>
      </c>
      <c r="C321" s="54"/>
      <c r="D321" s="55"/>
      <c r="E321" s="55"/>
      <c r="F321" s="55"/>
      <c r="G321" s="55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9"/>
      <c r="X321" s="59"/>
      <c r="Y321" s="59"/>
      <c r="Z321" s="59"/>
      <c r="AA321" s="59"/>
      <c r="AB321" s="59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  <c r="AQ321" s="56"/>
      <c r="AR321" s="56"/>
      <c r="AS321" s="56"/>
      <c r="AT321" s="56"/>
      <c r="AU321" s="56"/>
      <c r="AV321" s="56"/>
      <c r="AW321" s="56"/>
      <c r="AX321" s="56"/>
      <c r="AY321" s="56"/>
      <c r="AZ321" s="56"/>
      <c r="BA321" s="56"/>
      <c r="BB321" s="56"/>
      <c r="BC321" s="56"/>
    </row>
    <row r="322" customFormat="false" ht="21.75" hidden="false" customHeight="true" outlineLevel="0" collapsed="false">
      <c r="B322" s="54" t="n">
        <v>105</v>
      </c>
      <c r="C322" s="54"/>
      <c r="D322" s="55"/>
      <c r="E322" s="55"/>
      <c r="F322" s="55"/>
      <c r="G322" s="55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9"/>
      <c r="X322" s="59"/>
      <c r="Y322" s="59"/>
      <c r="Z322" s="59"/>
      <c r="AA322" s="59"/>
      <c r="AB322" s="59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  <c r="AQ322" s="56"/>
      <c r="AR322" s="56"/>
      <c r="AS322" s="56"/>
      <c r="AT322" s="56"/>
      <c r="AU322" s="56"/>
      <c r="AV322" s="56"/>
      <c r="AW322" s="56"/>
      <c r="AX322" s="56"/>
      <c r="AY322" s="56"/>
      <c r="AZ322" s="56"/>
      <c r="BA322" s="56"/>
      <c r="BB322" s="56"/>
      <c r="BC322" s="56"/>
    </row>
    <row r="323" customFormat="false" ht="21.75" hidden="false" customHeight="true" outlineLevel="0" collapsed="false">
      <c r="B323" s="54" t="n">
        <v>106</v>
      </c>
      <c r="C323" s="54"/>
      <c r="D323" s="55"/>
      <c r="E323" s="55"/>
      <c r="F323" s="55"/>
      <c r="G323" s="55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9"/>
      <c r="X323" s="59"/>
      <c r="Y323" s="59"/>
      <c r="Z323" s="59"/>
      <c r="AA323" s="59"/>
      <c r="AB323" s="59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6"/>
      <c r="AQ323" s="56"/>
      <c r="AR323" s="56"/>
      <c r="AS323" s="56"/>
      <c r="AT323" s="56"/>
      <c r="AU323" s="56"/>
      <c r="AV323" s="56"/>
      <c r="AW323" s="56"/>
      <c r="AX323" s="56"/>
      <c r="AY323" s="56"/>
      <c r="AZ323" s="56"/>
      <c r="BA323" s="56"/>
      <c r="BB323" s="56"/>
      <c r="BC323" s="56"/>
    </row>
    <row r="324" customFormat="false" ht="21.75" hidden="false" customHeight="true" outlineLevel="0" collapsed="false">
      <c r="B324" s="54" t="n">
        <v>107</v>
      </c>
      <c r="C324" s="54"/>
      <c r="D324" s="55"/>
      <c r="E324" s="55"/>
      <c r="F324" s="55"/>
      <c r="G324" s="55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9"/>
      <c r="X324" s="59"/>
      <c r="Y324" s="59"/>
      <c r="Z324" s="59"/>
      <c r="AA324" s="59"/>
      <c r="AB324" s="59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56"/>
      <c r="AR324" s="56"/>
      <c r="AS324" s="56"/>
      <c r="AT324" s="56"/>
      <c r="AU324" s="56"/>
      <c r="AV324" s="56"/>
      <c r="AW324" s="56"/>
      <c r="AX324" s="56"/>
      <c r="AY324" s="56"/>
      <c r="AZ324" s="56"/>
      <c r="BA324" s="56"/>
      <c r="BB324" s="56"/>
      <c r="BC324" s="56"/>
    </row>
    <row r="325" customFormat="false" ht="21.75" hidden="false" customHeight="true" outlineLevel="0" collapsed="false">
      <c r="B325" s="54" t="n">
        <v>108</v>
      </c>
      <c r="C325" s="54"/>
      <c r="D325" s="55"/>
      <c r="E325" s="55"/>
      <c r="F325" s="55"/>
      <c r="G325" s="55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9"/>
      <c r="X325" s="59"/>
      <c r="Y325" s="59"/>
      <c r="Z325" s="59"/>
      <c r="AA325" s="59"/>
      <c r="AB325" s="59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56"/>
      <c r="AR325" s="56"/>
      <c r="AS325" s="56"/>
      <c r="AT325" s="56"/>
      <c r="AU325" s="56"/>
      <c r="AV325" s="56"/>
      <c r="AW325" s="56"/>
      <c r="AX325" s="56"/>
      <c r="AY325" s="56"/>
      <c r="AZ325" s="56"/>
      <c r="BA325" s="56"/>
      <c r="BB325" s="56"/>
      <c r="BC325" s="56"/>
    </row>
    <row r="326" customFormat="false" ht="21.75" hidden="false" customHeight="true" outlineLevel="0" collapsed="false">
      <c r="B326" s="54" t="n">
        <v>109</v>
      </c>
      <c r="C326" s="54"/>
      <c r="D326" s="55"/>
      <c r="E326" s="55"/>
      <c r="F326" s="55"/>
      <c r="G326" s="55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9"/>
      <c r="X326" s="59"/>
      <c r="Y326" s="59"/>
      <c r="Z326" s="59"/>
      <c r="AA326" s="59"/>
      <c r="AB326" s="59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56"/>
      <c r="AR326" s="56"/>
      <c r="AS326" s="56"/>
      <c r="AT326" s="56"/>
      <c r="AU326" s="56"/>
      <c r="AV326" s="56"/>
      <c r="AW326" s="56"/>
      <c r="AX326" s="56"/>
      <c r="AY326" s="56"/>
      <c r="AZ326" s="56"/>
      <c r="BA326" s="56"/>
      <c r="BB326" s="56"/>
      <c r="BC326" s="56"/>
    </row>
    <row r="327" customFormat="false" ht="21.75" hidden="false" customHeight="true" outlineLevel="0" collapsed="false">
      <c r="B327" s="54" t="n">
        <v>110</v>
      </c>
      <c r="C327" s="54"/>
      <c r="D327" s="55"/>
      <c r="E327" s="55"/>
      <c r="F327" s="55"/>
      <c r="G327" s="55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9"/>
      <c r="X327" s="59"/>
      <c r="Y327" s="59"/>
      <c r="Z327" s="59"/>
      <c r="AA327" s="59"/>
      <c r="AB327" s="59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  <c r="AQ327" s="56"/>
      <c r="AR327" s="56"/>
      <c r="AS327" s="56"/>
      <c r="AT327" s="56"/>
      <c r="AU327" s="56"/>
      <c r="AV327" s="56"/>
      <c r="AW327" s="56"/>
      <c r="AX327" s="56"/>
      <c r="AY327" s="56"/>
      <c r="AZ327" s="56"/>
      <c r="BA327" s="56"/>
      <c r="BB327" s="56"/>
      <c r="BC327" s="56"/>
    </row>
    <row r="328" customFormat="false" ht="21.75" hidden="false" customHeight="true" outlineLevel="0" collapsed="false">
      <c r="B328" s="54" t="n">
        <v>111</v>
      </c>
      <c r="C328" s="54"/>
      <c r="D328" s="55"/>
      <c r="E328" s="55"/>
      <c r="F328" s="55"/>
      <c r="G328" s="55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9"/>
      <c r="X328" s="59"/>
      <c r="Y328" s="59"/>
      <c r="Z328" s="59"/>
      <c r="AA328" s="59"/>
      <c r="AB328" s="59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6"/>
      <c r="AR328" s="56"/>
      <c r="AS328" s="56"/>
      <c r="AT328" s="56"/>
      <c r="AU328" s="56"/>
      <c r="AV328" s="56"/>
      <c r="AW328" s="56"/>
      <c r="AX328" s="56"/>
      <c r="AY328" s="56"/>
      <c r="AZ328" s="56"/>
      <c r="BA328" s="56"/>
      <c r="BB328" s="56"/>
      <c r="BC328" s="56"/>
    </row>
    <row r="329" customFormat="false" ht="21.75" hidden="false" customHeight="true" outlineLevel="0" collapsed="false">
      <c r="B329" s="54" t="n">
        <v>112</v>
      </c>
      <c r="C329" s="54"/>
      <c r="D329" s="55"/>
      <c r="E329" s="55"/>
      <c r="F329" s="55"/>
      <c r="G329" s="55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9"/>
      <c r="X329" s="59"/>
      <c r="Y329" s="59"/>
      <c r="Z329" s="59"/>
      <c r="AA329" s="59"/>
      <c r="AB329" s="59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6"/>
      <c r="AR329" s="56"/>
      <c r="AS329" s="56"/>
      <c r="AT329" s="56"/>
      <c r="AU329" s="56"/>
      <c r="AV329" s="56"/>
      <c r="AW329" s="56"/>
      <c r="AX329" s="56"/>
      <c r="AY329" s="56"/>
      <c r="AZ329" s="56"/>
      <c r="BA329" s="56"/>
      <c r="BB329" s="56"/>
      <c r="BC329" s="56"/>
    </row>
    <row r="330" customFormat="false" ht="21.75" hidden="false" customHeight="true" outlineLevel="0" collapsed="false">
      <c r="B330" s="54" t="n">
        <v>113</v>
      </c>
      <c r="C330" s="54"/>
      <c r="D330" s="55"/>
      <c r="E330" s="55"/>
      <c r="F330" s="55"/>
      <c r="G330" s="55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9"/>
      <c r="X330" s="59"/>
      <c r="Y330" s="59"/>
      <c r="Z330" s="59"/>
      <c r="AA330" s="59"/>
      <c r="AB330" s="59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6"/>
      <c r="AQ330" s="56"/>
      <c r="AR330" s="56"/>
      <c r="AS330" s="56"/>
      <c r="AT330" s="56"/>
      <c r="AU330" s="56"/>
      <c r="AV330" s="56"/>
      <c r="AW330" s="56"/>
      <c r="AX330" s="56"/>
      <c r="AY330" s="56"/>
      <c r="AZ330" s="56"/>
      <c r="BA330" s="56"/>
      <c r="BB330" s="56"/>
      <c r="BC330" s="56"/>
    </row>
    <row r="331" customFormat="false" ht="21.75" hidden="false" customHeight="true" outlineLevel="0" collapsed="false">
      <c r="B331" s="54" t="n">
        <v>114</v>
      </c>
      <c r="C331" s="54"/>
      <c r="D331" s="55"/>
      <c r="E331" s="55"/>
      <c r="F331" s="55"/>
      <c r="G331" s="55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9"/>
      <c r="X331" s="59"/>
      <c r="Y331" s="59"/>
      <c r="Z331" s="59"/>
      <c r="AA331" s="59"/>
      <c r="AB331" s="59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6"/>
      <c r="AQ331" s="56"/>
      <c r="AR331" s="56"/>
      <c r="AS331" s="56"/>
      <c r="AT331" s="56"/>
      <c r="AU331" s="56"/>
      <c r="AV331" s="56"/>
      <c r="AW331" s="56"/>
      <c r="AX331" s="56"/>
      <c r="AY331" s="56"/>
      <c r="AZ331" s="56"/>
      <c r="BA331" s="56"/>
      <c r="BB331" s="56"/>
      <c r="BC331" s="56"/>
    </row>
    <row r="332" customFormat="false" ht="21.75" hidden="false" customHeight="true" outlineLevel="0" collapsed="false">
      <c r="B332" s="54" t="n">
        <v>115</v>
      </c>
      <c r="C332" s="54"/>
      <c r="D332" s="55"/>
      <c r="E332" s="55"/>
      <c r="F332" s="55"/>
      <c r="G332" s="55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9"/>
      <c r="X332" s="59"/>
      <c r="Y332" s="59"/>
      <c r="Z332" s="59"/>
      <c r="AA332" s="59"/>
      <c r="AB332" s="59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6"/>
      <c r="AQ332" s="56"/>
      <c r="AR332" s="56"/>
      <c r="AS332" s="56"/>
      <c r="AT332" s="56"/>
      <c r="AU332" s="56"/>
      <c r="AV332" s="56"/>
      <c r="AW332" s="56"/>
      <c r="AX332" s="56"/>
      <c r="AY332" s="56"/>
      <c r="AZ332" s="56"/>
      <c r="BA332" s="56"/>
      <c r="BB332" s="56"/>
      <c r="BC332" s="56"/>
    </row>
    <row r="333" customFormat="false" ht="21.75" hidden="false" customHeight="true" outlineLevel="0" collapsed="false">
      <c r="B333" s="54" t="n">
        <v>116</v>
      </c>
      <c r="C333" s="54"/>
      <c r="D333" s="55"/>
      <c r="E333" s="55"/>
      <c r="F333" s="55"/>
      <c r="G333" s="55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9"/>
      <c r="X333" s="59"/>
      <c r="Y333" s="59"/>
      <c r="Z333" s="59"/>
      <c r="AA333" s="59"/>
      <c r="AB333" s="59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56"/>
      <c r="AR333" s="56"/>
      <c r="AS333" s="56"/>
      <c r="AT333" s="56"/>
      <c r="AU333" s="56"/>
      <c r="AV333" s="56"/>
      <c r="AW333" s="56"/>
      <c r="AX333" s="56"/>
      <c r="AY333" s="56"/>
      <c r="AZ333" s="56"/>
      <c r="BA333" s="56"/>
      <c r="BB333" s="56"/>
      <c r="BC333" s="56"/>
    </row>
    <row r="334" customFormat="false" ht="21.75" hidden="false" customHeight="true" outlineLevel="0" collapsed="false">
      <c r="B334" s="54" t="n">
        <v>117</v>
      </c>
      <c r="C334" s="54"/>
      <c r="D334" s="55"/>
      <c r="E334" s="55"/>
      <c r="F334" s="55"/>
      <c r="G334" s="55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9"/>
      <c r="X334" s="59"/>
      <c r="Y334" s="59"/>
      <c r="Z334" s="59"/>
      <c r="AA334" s="59"/>
      <c r="AB334" s="59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6"/>
      <c r="AR334" s="56"/>
      <c r="AS334" s="56"/>
      <c r="AT334" s="56"/>
      <c r="AU334" s="56"/>
      <c r="AV334" s="56"/>
      <c r="AW334" s="56"/>
      <c r="AX334" s="56"/>
      <c r="AY334" s="56"/>
      <c r="AZ334" s="56"/>
      <c r="BA334" s="56"/>
      <c r="BB334" s="56"/>
      <c r="BC334" s="56"/>
    </row>
    <row r="335" customFormat="false" ht="21.75" hidden="false" customHeight="true" outlineLevel="0" collapsed="false">
      <c r="B335" s="54" t="n">
        <v>118</v>
      </c>
      <c r="C335" s="54"/>
      <c r="D335" s="55"/>
      <c r="E335" s="55"/>
      <c r="F335" s="55"/>
      <c r="G335" s="55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9"/>
      <c r="X335" s="59"/>
      <c r="Y335" s="59"/>
      <c r="Z335" s="59"/>
      <c r="AA335" s="59"/>
      <c r="AB335" s="59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56"/>
      <c r="AS335" s="56"/>
      <c r="AT335" s="56"/>
      <c r="AU335" s="56"/>
      <c r="AV335" s="56"/>
      <c r="AW335" s="56"/>
      <c r="AX335" s="56"/>
      <c r="AY335" s="56"/>
      <c r="AZ335" s="56"/>
      <c r="BA335" s="56"/>
      <c r="BB335" s="56"/>
      <c r="BC335" s="56"/>
    </row>
    <row r="336" customFormat="false" ht="21.75" hidden="false" customHeight="true" outlineLevel="0" collapsed="false">
      <c r="B336" s="54" t="n">
        <v>119</v>
      </c>
      <c r="C336" s="54"/>
      <c r="D336" s="55"/>
      <c r="E336" s="55"/>
      <c r="F336" s="55"/>
      <c r="G336" s="55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9"/>
      <c r="X336" s="59"/>
      <c r="Y336" s="59"/>
      <c r="Z336" s="59"/>
      <c r="AA336" s="59"/>
      <c r="AB336" s="59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56"/>
      <c r="AR336" s="56"/>
      <c r="AS336" s="56"/>
      <c r="AT336" s="56"/>
      <c r="AU336" s="56"/>
      <c r="AV336" s="56"/>
      <c r="AW336" s="56"/>
      <c r="AX336" s="56"/>
      <c r="AY336" s="56"/>
      <c r="AZ336" s="56"/>
      <c r="BA336" s="56"/>
      <c r="BB336" s="56"/>
      <c r="BC336" s="56"/>
    </row>
    <row r="337" customFormat="false" ht="21.75" hidden="false" customHeight="true" outlineLevel="0" collapsed="false">
      <c r="B337" s="54" t="n">
        <v>120</v>
      </c>
      <c r="C337" s="54"/>
      <c r="D337" s="55"/>
      <c r="E337" s="55"/>
      <c r="F337" s="55"/>
      <c r="G337" s="55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9"/>
      <c r="X337" s="59"/>
      <c r="Y337" s="59"/>
      <c r="Z337" s="59"/>
      <c r="AA337" s="59"/>
      <c r="AB337" s="59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6"/>
      <c r="AQ337" s="56"/>
      <c r="AR337" s="56"/>
      <c r="AS337" s="56"/>
      <c r="AT337" s="56"/>
      <c r="AU337" s="56"/>
      <c r="AV337" s="56"/>
      <c r="AW337" s="56"/>
      <c r="AX337" s="56"/>
      <c r="AY337" s="56"/>
      <c r="AZ337" s="56"/>
      <c r="BA337" s="56"/>
      <c r="BB337" s="56"/>
      <c r="BC337" s="56"/>
    </row>
    <row r="338" customFormat="false" ht="21.75" hidden="false" customHeight="true" outlineLevel="0" collapsed="false">
      <c r="B338" s="54" t="n">
        <v>121</v>
      </c>
      <c r="C338" s="54"/>
      <c r="D338" s="55"/>
      <c r="E338" s="55"/>
      <c r="F338" s="55"/>
      <c r="G338" s="55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9"/>
      <c r="X338" s="59"/>
      <c r="Y338" s="59"/>
      <c r="Z338" s="59"/>
      <c r="AA338" s="59"/>
      <c r="AB338" s="59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6"/>
      <c r="AQ338" s="56"/>
      <c r="AR338" s="56"/>
      <c r="AS338" s="56"/>
      <c r="AT338" s="56"/>
      <c r="AU338" s="56"/>
      <c r="AV338" s="56"/>
      <c r="AW338" s="56"/>
      <c r="AX338" s="56"/>
      <c r="AY338" s="56"/>
      <c r="AZ338" s="56"/>
      <c r="BA338" s="56"/>
      <c r="BB338" s="56"/>
      <c r="BC338" s="56"/>
    </row>
    <row r="339" customFormat="false" ht="21.75" hidden="false" customHeight="true" outlineLevel="0" collapsed="false">
      <c r="B339" s="54" t="n">
        <v>122</v>
      </c>
      <c r="C339" s="54"/>
      <c r="D339" s="55"/>
      <c r="E339" s="55"/>
      <c r="F339" s="55"/>
      <c r="G339" s="55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9"/>
      <c r="X339" s="59"/>
      <c r="Y339" s="59"/>
      <c r="Z339" s="59"/>
      <c r="AA339" s="59"/>
      <c r="AB339" s="59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6"/>
      <c r="AR339" s="56"/>
      <c r="AS339" s="56"/>
      <c r="AT339" s="56"/>
      <c r="AU339" s="56"/>
      <c r="AV339" s="56"/>
      <c r="AW339" s="56"/>
      <c r="AX339" s="56"/>
      <c r="AY339" s="56"/>
      <c r="AZ339" s="56"/>
      <c r="BA339" s="56"/>
      <c r="BB339" s="56"/>
      <c r="BC339" s="56"/>
    </row>
    <row r="340" customFormat="false" ht="21.75" hidden="false" customHeight="true" outlineLevel="0" collapsed="false">
      <c r="B340" s="54" t="n">
        <v>123</v>
      </c>
      <c r="C340" s="54"/>
      <c r="D340" s="55"/>
      <c r="E340" s="55"/>
      <c r="F340" s="55"/>
      <c r="G340" s="55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9"/>
      <c r="X340" s="59"/>
      <c r="Y340" s="59"/>
      <c r="Z340" s="59"/>
      <c r="AA340" s="59"/>
      <c r="AB340" s="59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6"/>
      <c r="AQ340" s="56"/>
      <c r="AR340" s="56"/>
      <c r="AS340" s="56"/>
      <c r="AT340" s="56"/>
      <c r="AU340" s="56"/>
      <c r="AV340" s="56"/>
      <c r="AW340" s="56"/>
      <c r="AX340" s="56"/>
      <c r="AY340" s="56"/>
      <c r="AZ340" s="56"/>
      <c r="BA340" s="56"/>
      <c r="BB340" s="56"/>
      <c r="BC340" s="56"/>
    </row>
    <row r="341" customFormat="false" ht="21.75" hidden="false" customHeight="true" outlineLevel="0" collapsed="false">
      <c r="B341" s="54" t="n">
        <v>124</v>
      </c>
      <c r="C341" s="54"/>
      <c r="D341" s="55"/>
      <c r="E341" s="55"/>
      <c r="F341" s="55"/>
      <c r="G341" s="55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9"/>
      <c r="X341" s="59"/>
      <c r="Y341" s="59"/>
      <c r="Z341" s="59"/>
      <c r="AA341" s="59"/>
      <c r="AB341" s="59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56"/>
      <c r="AR341" s="56"/>
      <c r="AS341" s="56"/>
      <c r="AT341" s="56"/>
      <c r="AU341" s="56"/>
      <c r="AV341" s="56"/>
      <c r="AW341" s="56"/>
      <c r="AX341" s="56"/>
      <c r="AY341" s="56"/>
      <c r="AZ341" s="56"/>
      <c r="BA341" s="56"/>
      <c r="BB341" s="56"/>
      <c r="BC341" s="56"/>
    </row>
    <row r="342" customFormat="false" ht="21.75" hidden="false" customHeight="true" outlineLevel="0" collapsed="false">
      <c r="B342" s="54" t="n">
        <v>125</v>
      </c>
      <c r="C342" s="54"/>
      <c r="D342" s="55"/>
      <c r="E342" s="55"/>
      <c r="F342" s="55"/>
      <c r="G342" s="55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9"/>
      <c r="X342" s="59"/>
      <c r="Y342" s="59"/>
      <c r="Z342" s="59"/>
      <c r="AA342" s="59"/>
      <c r="AB342" s="59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6"/>
      <c r="AQ342" s="56"/>
      <c r="AR342" s="56"/>
      <c r="AS342" s="56"/>
      <c r="AT342" s="56"/>
      <c r="AU342" s="56"/>
      <c r="AV342" s="56"/>
      <c r="AW342" s="56"/>
      <c r="AX342" s="56"/>
      <c r="AY342" s="56"/>
      <c r="AZ342" s="56"/>
      <c r="BA342" s="56"/>
      <c r="BB342" s="56"/>
      <c r="BC342" s="56"/>
    </row>
    <row r="343" customFormat="false" ht="21.75" hidden="false" customHeight="true" outlineLevel="0" collapsed="false">
      <c r="B343" s="54" t="n">
        <v>126</v>
      </c>
      <c r="C343" s="54"/>
      <c r="D343" s="55"/>
      <c r="E343" s="55"/>
      <c r="F343" s="55"/>
      <c r="G343" s="55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9"/>
      <c r="X343" s="59"/>
      <c r="Y343" s="59"/>
      <c r="Z343" s="59"/>
      <c r="AA343" s="59"/>
      <c r="AB343" s="59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6"/>
      <c r="AQ343" s="56"/>
      <c r="AR343" s="56"/>
      <c r="AS343" s="56"/>
      <c r="AT343" s="56"/>
      <c r="AU343" s="56"/>
      <c r="AV343" s="56"/>
      <c r="AW343" s="56"/>
      <c r="AX343" s="56"/>
      <c r="AY343" s="56"/>
      <c r="AZ343" s="56"/>
      <c r="BA343" s="56"/>
      <c r="BB343" s="56"/>
      <c r="BC343" s="56"/>
    </row>
    <row r="344" customFormat="false" ht="21.75" hidden="false" customHeight="true" outlineLevel="0" collapsed="false">
      <c r="B344" s="54" t="n">
        <v>127</v>
      </c>
      <c r="C344" s="54"/>
      <c r="D344" s="55"/>
      <c r="E344" s="55"/>
      <c r="F344" s="55"/>
      <c r="G344" s="55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9"/>
      <c r="X344" s="59"/>
      <c r="Y344" s="59"/>
      <c r="Z344" s="59"/>
      <c r="AA344" s="59"/>
      <c r="AB344" s="59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6"/>
      <c r="AQ344" s="56"/>
      <c r="AR344" s="56"/>
      <c r="AS344" s="56"/>
      <c r="AT344" s="56"/>
      <c r="AU344" s="56"/>
      <c r="AV344" s="56"/>
      <c r="AW344" s="56"/>
      <c r="AX344" s="56"/>
      <c r="AY344" s="56"/>
      <c r="AZ344" s="56"/>
      <c r="BA344" s="56"/>
      <c r="BB344" s="56"/>
      <c r="BC344" s="56"/>
    </row>
    <row r="345" customFormat="false" ht="21.75" hidden="false" customHeight="true" outlineLevel="0" collapsed="false">
      <c r="B345" s="54" t="n">
        <v>128</v>
      </c>
      <c r="C345" s="54"/>
      <c r="D345" s="55"/>
      <c r="E345" s="55"/>
      <c r="F345" s="55"/>
      <c r="G345" s="55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9"/>
      <c r="X345" s="59"/>
      <c r="Y345" s="59"/>
      <c r="Z345" s="59"/>
      <c r="AA345" s="59"/>
      <c r="AB345" s="59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6"/>
      <c r="AQ345" s="56"/>
      <c r="AR345" s="56"/>
      <c r="AS345" s="56"/>
      <c r="AT345" s="56"/>
      <c r="AU345" s="56"/>
      <c r="AV345" s="56"/>
      <c r="AW345" s="56"/>
      <c r="AX345" s="56"/>
      <c r="AY345" s="56"/>
      <c r="AZ345" s="56"/>
      <c r="BA345" s="56"/>
      <c r="BB345" s="56"/>
      <c r="BC345" s="56"/>
    </row>
    <row r="346" customFormat="false" ht="21.75" hidden="false" customHeight="true" outlineLevel="0" collapsed="false">
      <c r="B346" s="54" t="n">
        <v>129</v>
      </c>
      <c r="C346" s="54"/>
      <c r="D346" s="55"/>
      <c r="E346" s="55"/>
      <c r="F346" s="55"/>
      <c r="G346" s="55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9"/>
      <c r="X346" s="59"/>
      <c r="Y346" s="59"/>
      <c r="Z346" s="59"/>
      <c r="AA346" s="59"/>
      <c r="AB346" s="59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6"/>
      <c r="AQ346" s="56"/>
      <c r="AR346" s="56"/>
      <c r="AS346" s="56"/>
      <c r="AT346" s="56"/>
      <c r="AU346" s="56"/>
      <c r="AV346" s="56"/>
      <c r="AW346" s="56"/>
      <c r="AX346" s="56"/>
      <c r="AY346" s="56"/>
      <c r="AZ346" s="56"/>
      <c r="BA346" s="56"/>
      <c r="BB346" s="56"/>
      <c r="BC346" s="56"/>
    </row>
    <row r="347" customFormat="false" ht="21.75" hidden="false" customHeight="true" outlineLevel="0" collapsed="false">
      <c r="B347" s="54" t="n">
        <v>130</v>
      </c>
      <c r="C347" s="54"/>
      <c r="D347" s="55"/>
      <c r="E347" s="55"/>
      <c r="F347" s="55"/>
      <c r="G347" s="55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9"/>
      <c r="X347" s="59"/>
      <c r="Y347" s="59"/>
      <c r="Z347" s="59"/>
      <c r="AA347" s="59"/>
      <c r="AB347" s="59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6"/>
      <c r="AQ347" s="56"/>
      <c r="AR347" s="56"/>
      <c r="AS347" s="56"/>
      <c r="AT347" s="56"/>
      <c r="AU347" s="56"/>
      <c r="AV347" s="56"/>
      <c r="AW347" s="56"/>
      <c r="AX347" s="56"/>
      <c r="AY347" s="56"/>
      <c r="AZ347" s="56"/>
      <c r="BA347" s="56"/>
      <c r="BB347" s="56"/>
      <c r="BC347" s="56"/>
    </row>
    <row r="348" customFormat="false" ht="21.75" hidden="false" customHeight="true" outlineLevel="0" collapsed="false">
      <c r="B348" s="54" t="n">
        <v>131</v>
      </c>
      <c r="C348" s="54"/>
      <c r="D348" s="55"/>
      <c r="E348" s="55"/>
      <c r="F348" s="55"/>
      <c r="G348" s="55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9"/>
      <c r="X348" s="59"/>
      <c r="Y348" s="59"/>
      <c r="Z348" s="59"/>
      <c r="AA348" s="59"/>
      <c r="AB348" s="59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56"/>
      <c r="AR348" s="56"/>
      <c r="AS348" s="56"/>
      <c r="AT348" s="56"/>
      <c r="AU348" s="56"/>
      <c r="AV348" s="56"/>
      <c r="AW348" s="56"/>
      <c r="AX348" s="56"/>
      <c r="AY348" s="56"/>
      <c r="AZ348" s="56"/>
      <c r="BA348" s="56"/>
      <c r="BB348" s="56"/>
      <c r="BC348" s="56"/>
    </row>
    <row r="349" customFormat="false" ht="21.75" hidden="false" customHeight="true" outlineLevel="0" collapsed="false">
      <c r="B349" s="54" t="n">
        <v>132</v>
      </c>
      <c r="C349" s="54"/>
      <c r="D349" s="55"/>
      <c r="E349" s="55"/>
      <c r="F349" s="55"/>
      <c r="G349" s="55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9"/>
      <c r="X349" s="59"/>
      <c r="Y349" s="59"/>
      <c r="Z349" s="59"/>
      <c r="AA349" s="59"/>
      <c r="AB349" s="59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6"/>
      <c r="AQ349" s="56"/>
      <c r="AR349" s="56"/>
      <c r="AS349" s="56"/>
      <c r="AT349" s="56"/>
      <c r="AU349" s="56"/>
      <c r="AV349" s="56"/>
      <c r="AW349" s="56"/>
      <c r="AX349" s="56"/>
      <c r="AY349" s="56"/>
      <c r="AZ349" s="56"/>
      <c r="BA349" s="56"/>
      <c r="BB349" s="56"/>
      <c r="BC349" s="56"/>
    </row>
    <row r="350" customFormat="false" ht="21.75" hidden="false" customHeight="true" outlineLevel="0" collapsed="false">
      <c r="B350" s="54" t="n">
        <v>133</v>
      </c>
      <c r="C350" s="54"/>
      <c r="D350" s="55"/>
      <c r="E350" s="55"/>
      <c r="F350" s="55"/>
      <c r="G350" s="55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9"/>
      <c r="X350" s="59"/>
      <c r="Y350" s="59"/>
      <c r="Z350" s="59"/>
      <c r="AA350" s="59"/>
      <c r="AB350" s="59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  <c r="AX350" s="56"/>
      <c r="AY350" s="56"/>
      <c r="AZ350" s="56"/>
      <c r="BA350" s="56"/>
      <c r="BB350" s="56"/>
      <c r="BC350" s="56"/>
    </row>
    <row r="351" customFormat="false" ht="21.75" hidden="false" customHeight="true" outlineLevel="0" collapsed="false">
      <c r="B351" s="54" t="n">
        <v>134</v>
      </c>
      <c r="C351" s="54"/>
      <c r="D351" s="55"/>
      <c r="E351" s="55"/>
      <c r="F351" s="55"/>
      <c r="G351" s="55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9"/>
      <c r="X351" s="59"/>
      <c r="Y351" s="59"/>
      <c r="Z351" s="59"/>
      <c r="AA351" s="59"/>
      <c r="AB351" s="59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6"/>
      <c r="AQ351" s="56"/>
      <c r="AR351" s="56"/>
      <c r="AS351" s="56"/>
      <c r="AT351" s="56"/>
      <c r="AU351" s="56"/>
      <c r="AV351" s="56"/>
      <c r="AW351" s="56"/>
      <c r="AX351" s="56"/>
      <c r="AY351" s="56"/>
      <c r="AZ351" s="56"/>
      <c r="BA351" s="56"/>
      <c r="BB351" s="56"/>
      <c r="BC351" s="56"/>
    </row>
    <row r="352" customFormat="false" ht="21.75" hidden="false" customHeight="true" outlineLevel="0" collapsed="false">
      <c r="B352" s="54" t="n">
        <v>135</v>
      </c>
      <c r="C352" s="54"/>
      <c r="D352" s="55"/>
      <c r="E352" s="55"/>
      <c r="F352" s="55"/>
      <c r="G352" s="55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9"/>
      <c r="X352" s="59"/>
      <c r="Y352" s="59"/>
      <c r="Z352" s="59"/>
      <c r="AA352" s="59"/>
      <c r="AB352" s="59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6"/>
      <c r="AQ352" s="56"/>
      <c r="AR352" s="56"/>
      <c r="AS352" s="56"/>
      <c r="AT352" s="56"/>
      <c r="AU352" s="56"/>
      <c r="AV352" s="56"/>
      <c r="AW352" s="56"/>
      <c r="AX352" s="56"/>
      <c r="AY352" s="56"/>
      <c r="AZ352" s="56"/>
      <c r="BA352" s="56"/>
      <c r="BB352" s="56"/>
      <c r="BC352" s="56"/>
    </row>
    <row r="353" customFormat="false" ht="21.75" hidden="false" customHeight="true" outlineLevel="0" collapsed="false">
      <c r="B353" s="54" t="n">
        <v>136</v>
      </c>
      <c r="C353" s="54"/>
      <c r="D353" s="55"/>
      <c r="E353" s="55"/>
      <c r="F353" s="55"/>
      <c r="G353" s="55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9"/>
      <c r="X353" s="59"/>
      <c r="Y353" s="59"/>
      <c r="Z353" s="59"/>
      <c r="AA353" s="59"/>
      <c r="AB353" s="59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6"/>
      <c r="AQ353" s="56"/>
      <c r="AR353" s="56"/>
      <c r="AS353" s="56"/>
      <c r="AT353" s="56"/>
      <c r="AU353" s="56"/>
      <c r="AV353" s="56"/>
      <c r="AW353" s="56"/>
      <c r="AX353" s="56"/>
      <c r="AY353" s="56"/>
      <c r="AZ353" s="56"/>
      <c r="BA353" s="56"/>
      <c r="BB353" s="56"/>
      <c r="BC353" s="56"/>
    </row>
    <row r="354" customFormat="false" ht="21.75" hidden="false" customHeight="true" outlineLevel="0" collapsed="false">
      <c r="B354" s="54" t="n">
        <v>137</v>
      </c>
      <c r="C354" s="54"/>
      <c r="D354" s="55"/>
      <c r="E354" s="55"/>
      <c r="F354" s="55"/>
      <c r="G354" s="55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9"/>
      <c r="X354" s="59"/>
      <c r="Y354" s="59"/>
      <c r="Z354" s="59"/>
      <c r="AA354" s="59"/>
      <c r="AB354" s="59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6"/>
      <c r="AQ354" s="56"/>
      <c r="AR354" s="56"/>
      <c r="AS354" s="56"/>
      <c r="AT354" s="56"/>
      <c r="AU354" s="56"/>
      <c r="AV354" s="56"/>
      <c r="AW354" s="56"/>
      <c r="AX354" s="56"/>
      <c r="AY354" s="56"/>
      <c r="AZ354" s="56"/>
      <c r="BA354" s="56"/>
      <c r="BB354" s="56"/>
      <c r="BC354" s="56"/>
    </row>
    <row r="355" customFormat="false" ht="21.75" hidden="false" customHeight="true" outlineLevel="0" collapsed="false">
      <c r="B355" s="54" t="n">
        <v>138</v>
      </c>
      <c r="C355" s="54"/>
      <c r="D355" s="55"/>
      <c r="E355" s="55"/>
      <c r="F355" s="55"/>
      <c r="G355" s="55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9"/>
      <c r="X355" s="59"/>
      <c r="Y355" s="59"/>
      <c r="Z355" s="59"/>
      <c r="AA355" s="59"/>
      <c r="AB355" s="59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  <c r="AP355" s="56"/>
      <c r="AQ355" s="56"/>
      <c r="AR355" s="56"/>
      <c r="AS355" s="56"/>
      <c r="AT355" s="56"/>
      <c r="AU355" s="56"/>
      <c r="AV355" s="56"/>
      <c r="AW355" s="56"/>
      <c r="AX355" s="56"/>
      <c r="AY355" s="56"/>
      <c r="AZ355" s="56"/>
      <c r="BA355" s="56"/>
      <c r="BB355" s="56"/>
      <c r="BC355" s="56"/>
    </row>
    <row r="356" customFormat="false" ht="21.75" hidden="false" customHeight="true" outlineLevel="0" collapsed="false">
      <c r="B356" s="54" t="n">
        <v>139</v>
      </c>
      <c r="C356" s="54"/>
      <c r="D356" s="55"/>
      <c r="E356" s="55"/>
      <c r="F356" s="55"/>
      <c r="G356" s="55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9"/>
      <c r="X356" s="59"/>
      <c r="Y356" s="59"/>
      <c r="Z356" s="59"/>
      <c r="AA356" s="59"/>
      <c r="AB356" s="59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6"/>
      <c r="AQ356" s="56"/>
      <c r="AR356" s="56"/>
      <c r="AS356" s="56"/>
      <c r="AT356" s="56"/>
      <c r="AU356" s="56"/>
      <c r="AV356" s="56"/>
      <c r="AW356" s="56"/>
      <c r="AX356" s="56"/>
      <c r="AY356" s="56"/>
      <c r="AZ356" s="56"/>
      <c r="BA356" s="56"/>
      <c r="BB356" s="56"/>
      <c r="BC356" s="56"/>
    </row>
    <row r="357" customFormat="false" ht="21.75" hidden="false" customHeight="true" outlineLevel="0" collapsed="false">
      <c r="B357" s="54" t="n">
        <v>140</v>
      </c>
      <c r="C357" s="54"/>
      <c r="D357" s="55"/>
      <c r="E357" s="55"/>
      <c r="F357" s="55"/>
      <c r="G357" s="55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9"/>
      <c r="X357" s="59"/>
      <c r="Y357" s="59"/>
      <c r="Z357" s="59"/>
      <c r="AA357" s="59"/>
      <c r="AB357" s="59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6"/>
      <c r="AQ357" s="56"/>
      <c r="AR357" s="56"/>
      <c r="AS357" s="56"/>
      <c r="AT357" s="56"/>
      <c r="AU357" s="56"/>
      <c r="AV357" s="56"/>
      <c r="AW357" s="56"/>
      <c r="AX357" s="56"/>
      <c r="AY357" s="56"/>
      <c r="AZ357" s="56"/>
      <c r="BA357" s="56"/>
      <c r="BB357" s="56"/>
      <c r="BC357" s="56"/>
    </row>
    <row r="358" customFormat="false" ht="21.75" hidden="false" customHeight="true" outlineLevel="0" collapsed="false">
      <c r="B358" s="54" t="n">
        <v>141</v>
      </c>
      <c r="C358" s="54"/>
      <c r="D358" s="55"/>
      <c r="E358" s="55"/>
      <c r="F358" s="55"/>
      <c r="G358" s="55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9"/>
      <c r="X358" s="59"/>
      <c r="Y358" s="59"/>
      <c r="Z358" s="59"/>
      <c r="AA358" s="59"/>
      <c r="AB358" s="59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56"/>
      <c r="AQ358" s="56"/>
      <c r="AR358" s="56"/>
      <c r="AS358" s="56"/>
      <c r="AT358" s="56"/>
      <c r="AU358" s="56"/>
      <c r="AV358" s="56"/>
      <c r="AW358" s="56"/>
      <c r="AX358" s="56"/>
      <c r="AY358" s="56"/>
      <c r="AZ358" s="56"/>
      <c r="BA358" s="56"/>
      <c r="BB358" s="56"/>
      <c r="BC358" s="56"/>
    </row>
    <row r="359" customFormat="false" ht="21.75" hidden="false" customHeight="true" outlineLevel="0" collapsed="false">
      <c r="B359" s="54" t="n">
        <v>142</v>
      </c>
      <c r="C359" s="54"/>
      <c r="D359" s="55"/>
      <c r="E359" s="55"/>
      <c r="F359" s="55"/>
      <c r="G359" s="55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9"/>
      <c r="X359" s="59"/>
      <c r="Y359" s="59"/>
      <c r="Z359" s="59"/>
      <c r="AA359" s="59"/>
      <c r="AB359" s="59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56"/>
      <c r="AR359" s="56"/>
      <c r="AS359" s="56"/>
      <c r="AT359" s="56"/>
      <c r="AU359" s="56"/>
      <c r="AV359" s="56"/>
      <c r="AW359" s="56"/>
      <c r="AX359" s="56"/>
      <c r="AY359" s="56"/>
      <c r="AZ359" s="56"/>
      <c r="BA359" s="56"/>
      <c r="BB359" s="56"/>
      <c r="BC359" s="56"/>
    </row>
    <row r="360" customFormat="false" ht="21.75" hidden="false" customHeight="true" outlineLevel="0" collapsed="false">
      <c r="B360" s="54" t="n">
        <v>143</v>
      </c>
      <c r="C360" s="54"/>
      <c r="D360" s="55"/>
      <c r="E360" s="55"/>
      <c r="F360" s="55"/>
      <c r="G360" s="55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9"/>
      <c r="X360" s="59"/>
      <c r="Y360" s="59"/>
      <c r="Z360" s="59"/>
      <c r="AA360" s="59"/>
      <c r="AB360" s="59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56"/>
      <c r="AR360" s="56"/>
      <c r="AS360" s="56"/>
      <c r="AT360" s="56"/>
      <c r="AU360" s="56"/>
      <c r="AV360" s="56"/>
      <c r="AW360" s="56"/>
      <c r="AX360" s="56"/>
      <c r="AY360" s="56"/>
      <c r="AZ360" s="56"/>
      <c r="BA360" s="56"/>
      <c r="BB360" s="56"/>
      <c r="BC360" s="56"/>
    </row>
    <row r="361" customFormat="false" ht="21.75" hidden="false" customHeight="true" outlineLevel="0" collapsed="false">
      <c r="B361" s="54" t="n">
        <v>144</v>
      </c>
      <c r="C361" s="54"/>
      <c r="D361" s="55"/>
      <c r="E361" s="55"/>
      <c r="F361" s="55"/>
      <c r="G361" s="55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9"/>
      <c r="X361" s="59"/>
      <c r="Y361" s="59"/>
      <c r="Z361" s="59"/>
      <c r="AA361" s="59"/>
      <c r="AB361" s="59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6"/>
      <c r="AQ361" s="56"/>
      <c r="AR361" s="56"/>
      <c r="AS361" s="56"/>
      <c r="AT361" s="56"/>
      <c r="AU361" s="56"/>
      <c r="AV361" s="56"/>
      <c r="AW361" s="56"/>
      <c r="AX361" s="56"/>
      <c r="AY361" s="56"/>
      <c r="AZ361" s="56"/>
      <c r="BA361" s="56"/>
      <c r="BB361" s="56"/>
      <c r="BC361" s="56"/>
    </row>
    <row r="362" customFormat="false" ht="21.75" hidden="false" customHeight="true" outlineLevel="0" collapsed="false">
      <c r="B362" s="54" t="n">
        <v>145</v>
      </c>
      <c r="C362" s="54"/>
      <c r="D362" s="55"/>
      <c r="E362" s="55"/>
      <c r="F362" s="55"/>
      <c r="G362" s="55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9"/>
      <c r="X362" s="59"/>
      <c r="Y362" s="59"/>
      <c r="Z362" s="59"/>
      <c r="AA362" s="59"/>
      <c r="AB362" s="59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6"/>
      <c r="AQ362" s="56"/>
      <c r="AR362" s="56"/>
      <c r="AS362" s="56"/>
      <c r="AT362" s="56"/>
      <c r="AU362" s="56"/>
      <c r="AV362" s="56"/>
      <c r="AW362" s="56"/>
      <c r="AX362" s="56"/>
      <c r="AY362" s="56"/>
      <c r="AZ362" s="56"/>
      <c r="BA362" s="56"/>
      <c r="BB362" s="56"/>
      <c r="BC362" s="56"/>
    </row>
    <row r="363" customFormat="false" ht="21.75" hidden="false" customHeight="true" outlineLevel="0" collapsed="false">
      <c r="B363" s="54" t="n">
        <v>146</v>
      </c>
      <c r="C363" s="54"/>
      <c r="D363" s="55"/>
      <c r="E363" s="55"/>
      <c r="F363" s="55"/>
      <c r="G363" s="55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9"/>
      <c r="X363" s="59"/>
      <c r="Y363" s="59"/>
      <c r="Z363" s="59"/>
      <c r="AA363" s="59"/>
      <c r="AB363" s="59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6"/>
      <c r="AQ363" s="56"/>
      <c r="AR363" s="56"/>
      <c r="AS363" s="56"/>
      <c r="AT363" s="56"/>
      <c r="AU363" s="56"/>
      <c r="AV363" s="56"/>
      <c r="AW363" s="56"/>
      <c r="AX363" s="56"/>
      <c r="AY363" s="56"/>
      <c r="AZ363" s="56"/>
      <c r="BA363" s="56"/>
      <c r="BB363" s="56"/>
      <c r="BC363" s="56"/>
    </row>
    <row r="364" customFormat="false" ht="21.75" hidden="false" customHeight="true" outlineLevel="0" collapsed="false">
      <c r="B364" s="54" t="n">
        <v>147</v>
      </c>
      <c r="C364" s="54"/>
      <c r="D364" s="55"/>
      <c r="E364" s="55"/>
      <c r="F364" s="55"/>
      <c r="G364" s="55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9"/>
      <c r="X364" s="59"/>
      <c r="Y364" s="59"/>
      <c r="Z364" s="59"/>
      <c r="AA364" s="59"/>
      <c r="AB364" s="59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  <c r="AR364" s="56"/>
      <c r="AS364" s="56"/>
      <c r="AT364" s="56"/>
      <c r="AU364" s="56"/>
      <c r="AV364" s="56"/>
      <c r="AW364" s="56"/>
      <c r="AX364" s="56"/>
      <c r="AY364" s="56"/>
      <c r="AZ364" s="56"/>
      <c r="BA364" s="56"/>
      <c r="BB364" s="56"/>
      <c r="BC364" s="56"/>
    </row>
    <row r="365" customFormat="false" ht="21.75" hidden="false" customHeight="true" outlineLevel="0" collapsed="false">
      <c r="B365" s="54" t="n">
        <v>148</v>
      </c>
      <c r="C365" s="54"/>
      <c r="D365" s="55"/>
      <c r="E365" s="55"/>
      <c r="F365" s="55"/>
      <c r="G365" s="55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9"/>
      <c r="X365" s="59"/>
      <c r="Y365" s="59"/>
      <c r="Z365" s="59"/>
      <c r="AA365" s="59"/>
      <c r="AB365" s="59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6"/>
      <c r="AQ365" s="56"/>
      <c r="AR365" s="56"/>
      <c r="AS365" s="56"/>
      <c r="AT365" s="56"/>
      <c r="AU365" s="56"/>
      <c r="AV365" s="56"/>
      <c r="AW365" s="56"/>
      <c r="AX365" s="56"/>
      <c r="AY365" s="56"/>
      <c r="AZ365" s="56"/>
      <c r="BA365" s="56"/>
      <c r="BB365" s="56"/>
      <c r="BC365" s="56"/>
    </row>
    <row r="366" customFormat="false" ht="21.75" hidden="false" customHeight="true" outlineLevel="0" collapsed="false">
      <c r="B366" s="54" t="n">
        <v>149</v>
      </c>
      <c r="C366" s="54"/>
      <c r="D366" s="55"/>
      <c r="E366" s="55"/>
      <c r="F366" s="55"/>
      <c r="G366" s="55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9"/>
      <c r="X366" s="59"/>
      <c r="Y366" s="59"/>
      <c r="Z366" s="59"/>
      <c r="AA366" s="59"/>
      <c r="AB366" s="59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6"/>
      <c r="AQ366" s="56"/>
      <c r="AR366" s="56"/>
      <c r="AS366" s="56"/>
      <c r="AT366" s="56"/>
      <c r="AU366" s="56"/>
      <c r="AV366" s="56"/>
      <c r="AW366" s="56"/>
      <c r="AX366" s="56"/>
      <c r="AY366" s="56"/>
      <c r="AZ366" s="56"/>
      <c r="BA366" s="56"/>
      <c r="BB366" s="56"/>
      <c r="BC366" s="56"/>
    </row>
    <row r="367" customFormat="false" ht="21.75" hidden="false" customHeight="true" outlineLevel="0" collapsed="false">
      <c r="B367" s="54" t="n">
        <v>150</v>
      </c>
      <c r="C367" s="54"/>
      <c r="D367" s="55"/>
      <c r="E367" s="55"/>
      <c r="F367" s="55"/>
      <c r="G367" s="55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9"/>
      <c r="X367" s="59"/>
      <c r="Y367" s="59"/>
      <c r="Z367" s="59"/>
      <c r="AA367" s="59"/>
      <c r="AB367" s="59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6"/>
      <c r="AQ367" s="56"/>
      <c r="AR367" s="56"/>
      <c r="AS367" s="56"/>
      <c r="AT367" s="56"/>
      <c r="AU367" s="56"/>
      <c r="AV367" s="56"/>
      <c r="AW367" s="56"/>
      <c r="AX367" s="56"/>
      <c r="AY367" s="56"/>
      <c r="AZ367" s="56"/>
      <c r="BA367" s="56"/>
      <c r="BB367" s="56"/>
      <c r="BC367" s="56"/>
    </row>
    <row r="368" customFormat="false" ht="21.75" hidden="false" customHeight="true" outlineLevel="0" collapsed="false">
      <c r="B368" s="54" t="n">
        <v>151</v>
      </c>
      <c r="C368" s="54"/>
      <c r="D368" s="55"/>
      <c r="E368" s="55"/>
      <c r="F368" s="55"/>
      <c r="G368" s="55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9"/>
      <c r="X368" s="59"/>
      <c r="Y368" s="59"/>
      <c r="Z368" s="59"/>
      <c r="AA368" s="59"/>
      <c r="AB368" s="59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6"/>
      <c r="AR368" s="56"/>
      <c r="AS368" s="56"/>
      <c r="AT368" s="56"/>
      <c r="AU368" s="56"/>
      <c r="AV368" s="56"/>
      <c r="AW368" s="56"/>
      <c r="AX368" s="56"/>
      <c r="AY368" s="56"/>
      <c r="AZ368" s="56"/>
      <c r="BA368" s="56"/>
      <c r="BB368" s="56"/>
      <c r="BC368" s="56"/>
    </row>
    <row r="369" customFormat="false" ht="21.75" hidden="false" customHeight="true" outlineLevel="0" collapsed="false">
      <c r="B369" s="54" t="n">
        <v>152</v>
      </c>
      <c r="C369" s="54"/>
      <c r="D369" s="55"/>
      <c r="E369" s="55"/>
      <c r="F369" s="55"/>
      <c r="G369" s="55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9"/>
      <c r="X369" s="59"/>
      <c r="Y369" s="59"/>
      <c r="Z369" s="59"/>
      <c r="AA369" s="59"/>
      <c r="AB369" s="59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6"/>
      <c r="AQ369" s="56"/>
      <c r="AR369" s="56"/>
      <c r="AS369" s="56"/>
      <c r="AT369" s="56"/>
      <c r="AU369" s="56"/>
      <c r="AV369" s="56"/>
      <c r="AW369" s="56"/>
      <c r="AX369" s="56"/>
      <c r="AY369" s="56"/>
      <c r="AZ369" s="56"/>
      <c r="BA369" s="56"/>
      <c r="BB369" s="56"/>
      <c r="BC369" s="56"/>
    </row>
    <row r="370" customFormat="false" ht="21.75" hidden="false" customHeight="true" outlineLevel="0" collapsed="false">
      <c r="B370" s="54" t="n">
        <v>153</v>
      </c>
      <c r="C370" s="54"/>
      <c r="D370" s="55"/>
      <c r="E370" s="55"/>
      <c r="F370" s="55"/>
      <c r="G370" s="55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9"/>
      <c r="X370" s="59"/>
      <c r="Y370" s="59"/>
      <c r="Z370" s="59"/>
      <c r="AA370" s="59"/>
      <c r="AB370" s="59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6"/>
      <c r="AQ370" s="56"/>
      <c r="AR370" s="56"/>
      <c r="AS370" s="56"/>
      <c r="AT370" s="56"/>
      <c r="AU370" s="56"/>
      <c r="AV370" s="56"/>
      <c r="AW370" s="56"/>
      <c r="AX370" s="56"/>
      <c r="AY370" s="56"/>
      <c r="AZ370" s="56"/>
      <c r="BA370" s="56"/>
      <c r="BB370" s="56"/>
      <c r="BC370" s="56"/>
    </row>
    <row r="371" customFormat="false" ht="21.75" hidden="false" customHeight="true" outlineLevel="0" collapsed="false">
      <c r="B371" s="54" t="n">
        <v>154</v>
      </c>
      <c r="C371" s="54"/>
      <c r="D371" s="55"/>
      <c r="E371" s="55"/>
      <c r="F371" s="55"/>
      <c r="G371" s="55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9"/>
      <c r="X371" s="59"/>
      <c r="Y371" s="59"/>
      <c r="Z371" s="59"/>
      <c r="AA371" s="59"/>
      <c r="AB371" s="59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56"/>
      <c r="AQ371" s="56"/>
      <c r="AR371" s="56"/>
      <c r="AS371" s="56"/>
      <c r="AT371" s="56"/>
      <c r="AU371" s="56"/>
      <c r="AV371" s="56"/>
      <c r="AW371" s="56"/>
      <c r="AX371" s="56"/>
      <c r="AY371" s="56"/>
      <c r="AZ371" s="56"/>
      <c r="BA371" s="56"/>
      <c r="BB371" s="56"/>
      <c r="BC371" s="56"/>
    </row>
    <row r="372" customFormat="false" ht="21.75" hidden="false" customHeight="true" outlineLevel="0" collapsed="false">
      <c r="B372" s="54" t="n">
        <v>155</v>
      </c>
      <c r="C372" s="54"/>
      <c r="D372" s="55"/>
      <c r="E372" s="55"/>
      <c r="F372" s="55"/>
      <c r="G372" s="55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9"/>
      <c r="X372" s="59"/>
      <c r="Y372" s="59"/>
      <c r="Z372" s="59"/>
      <c r="AA372" s="59"/>
      <c r="AB372" s="59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6"/>
      <c r="AQ372" s="56"/>
      <c r="AR372" s="56"/>
      <c r="AS372" s="56"/>
      <c r="AT372" s="56"/>
      <c r="AU372" s="56"/>
      <c r="AV372" s="56"/>
      <c r="AW372" s="56"/>
      <c r="AX372" s="56"/>
      <c r="AY372" s="56"/>
      <c r="AZ372" s="56"/>
      <c r="BA372" s="56"/>
      <c r="BB372" s="56"/>
      <c r="BC372" s="56"/>
    </row>
    <row r="373" customFormat="false" ht="21.75" hidden="false" customHeight="true" outlineLevel="0" collapsed="false">
      <c r="B373" s="54" t="n">
        <v>156</v>
      </c>
      <c r="C373" s="54"/>
      <c r="D373" s="55"/>
      <c r="E373" s="55"/>
      <c r="F373" s="55"/>
      <c r="G373" s="55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9"/>
      <c r="X373" s="59"/>
      <c r="Y373" s="59"/>
      <c r="Z373" s="59"/>
      <c r="AA373" s="59"/>
      <c r="AB373" s="59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6"/>
      <c r="AQ373" s="56"/>
      <c r="AR373" s="56"/>
      <c r="AS373" s="56"/>
      <c r="AT373" s="56"/>
      <c r="AU373" s="56"/>
      <c r="AV373" s="56"/>
      <c r="AW373" s="56"/>
      <c r="AX373" s="56"/>
      <c r="AY373" s="56"/>
      <c r="AZ373" s="56"/>
      <c r="BA373" s="56"/>
      <c r="BB373" s="56"/>
      <c r="BC373" s="56"/>
    </row>
    <row r="374" customFormat="false" ht="21.75" hidden="false" customHeight="true" outlineLevel="0" collapsed="false">
      <c r="B374" s="54" t="n">
        <v>157</v>
      </c>
      <c r="C374" s="54"/>
      <c r="D374" s="55"/>
      <c r="E374" s="55"/>
      <c r="F374" s="55"/>
      <c r="G374" s="55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9"/>
      <c r="X374" s="59"/>
      <c r="Y374" s="59"/>
      <c r="Z374" s="59"/>
      <c r="AA374" s="59"/>
      <c r="AB374" s="59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6"/>
      <c r="AQ374" s="56"/>
      <c r="AR374" s="56"/>
      <c r="AS374" s="56"/>
      <c r="AT374" s="56"/>
      <c r="AU374" s="56"/>
      <c r="AV374" s="56"/>
      <c r="AW374" s="56"/>
      <c r="AX374" s="56"/>
      <c r="AY374" s="56"/>
      <c r="AZ374" s="56"/>
      <c r="BA374" s="56"/>
      <c r="BB374" s="56"/>
      <c r="BC374" s="56"/>
    </row>
    <row r="375" customFormat="false" ht="21.75" hidden="false" customHeight="true" outlineLevel="0" collapsed="false">
      <c r="B375" s="54" t="n">
        <v>158</v>
      </c>
      <c r="C375" s="54"/>
      <c r="D375" s="55"/>
      <c r="E375" s="55"/>
      <c r="F375" s="55"/>
      <c r="G375" s="55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9"/>
      <c r="X375" s="59"/>
      <c r="Y375" s="59"/>
      <c r="Z375" s="59"/>
      <c r="AA375" s="59"/>
      <c r="AB375" s="59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6"/>
      <c r="AQ375" s="56"/>
      <c r="AR375" s="56"/>
      <c r="AS375" s="56"/>
      <c r="AT375" s="56"/>
      <c r="AU375" s="56"/>
      <c r="AV375" s="56"/>
      <c r="AW375" s="56"/>
      <c r="AX375" s="56"/>
      <c r="AY375" s="56"/>
      <c r="AZ375" s="56"/>
      <c r="BA375" s="56"/>
      <c r="BB375" s="56"/>
      <c r="BC375" s="56"/>
    </row>
    <row r="376" customFormat="false" ht="21.75" hidden="false" customHeight="true" outlineLevel="0" collapsed="false">
      <c r="B376" s="54" t="n">
        <v>159</v>
      </c>
      <c r="C376" s="54"/>
      <c r="D376" s="55"/>
      <c r="E376" s="55"/>
      <c r="F376" s="55"/>
      <c r="G376" s="55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9"/>
      <c r="X376" s="59"/>
      <c r="Y376" s="59"/>
      <c r="Z376" s="59"/>
      <c r="AA376" s="59"/>
      <c r="AB376" s="59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6"/>
      <c r="AQ376" s="56"/>
      <c r="AR376" s="56"/>
      <c r="AS376" s="56"/>
      <c r="AT376" s="56"/>
      <c r="AU376" s="56"/>
      <c r="AV376" s="56"/>
      <c r="AW376" s="56"/>
      <c r="AX376" s="56"/>
      <c r="AY376" s="56"/>
      <c r="AZ376" s="56"/>
      <c r="BA376" s="56"/>
      <c r="BB376" s="56"/>
      <c r="BC376" s="56"/>
    </row>
    <row r="377" customFormat="false" ht="21.75" hidden="false" customHeight="true" outlineLevel="0" collapsed="false">
      <c r="B377" s="54" t="n">
        <v>160</v>
      </c>
      <c r="C377" s="54"/>
      <c r="D377" s="55"/>
      <c r="E377" s="55"/>
      <c r="F377" s="55"/>
      <c r="G377" s="55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9"/>
      <c r="X377" s="59"/>
      <c r="Y377" s="59"/>
      <c r="Z377" s="59"/>
      <c r="AA377" s="59"/>
      <c r="AB377" s="59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  <c r="AR377" s="56"/>
      <c r="AS377" s="56"/>
      <c r="AT377" s="56"/>
      <c r="AU377" s="56"/>
      <c r="AV377" s="56"/>
      <c r="AW377" s="56"/>
      <c r="AX377" s="56"/>
      <c r="AY377" s="56"/>
      <c r="AZ377" s="56"/>
      <c r="BA377" s="56"/>
      <c r="BB377" s="56"/>
      <c r="BC377" s="56"/>
    </row>
    <row r="378" customFormat="false" ht="21.75" hidden="false" customHeight="true" outlineLevel="0" collapsed="false">
      <c r="B378" s="54" t="n">
        <v>161</v>
      </c>
      <c r="C378" s="54"/>
      <c r="D378" s="55"/>
      <c r="E378" s="55"/>
      <c r="F378" s="55"/>
      <c r="G378" s="55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9"/>
      <c r="X378" s="59"/>
      <c r="Y378" s="59"/>
      <c r="Z378" s="59"/>
      <c r="AA378" s="59"/>
      <c r="AB378" s="59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6"/>
      <c r="AQ378" s="56"/>
      <c r="AR378" s="56"/>
      <c r="AS378" s="56"/>
      <c r="AT378" s="56"/>
      <c r="AU378" s="56"/>
      <c r="AV378" s="56"/>
      <c r="AW378" s="56"/>
      <c r="AX378" s="56"/>
      <c r="AY378" s="56"/>
      <c r="AZ378" s="56"/>
      <c r="BA378" s="56"/>
      <c r="BB378" s="56"/>
      <c r="BC378" s="56"/>
    </row>
    <row r="379" customFormat="false" ht="21.75" hidden="false" customHeight="true" outlineLevel="0" collapsed="false">
      <c r="B379" s="54" t="n">
        <v>162</v>
      </c>
      <c r="C379" s="54"/>
      <c r="D379" s="55"/>
      <c r="E379" s="55"/>
      <c r="F379" s="55"/>
      <c r="G379" s="55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9"/>
      <c r="X379" s="59"/>
      <c r="Y379" s="59"/>
      <c r="Z379" s="59"/>
      <c r="AA379" s="59"/>
      <c r="AB379" s="59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6"/>
      <c r="AQ379" s="56"/>
      <c r="AR379" s="56"/>
      <c r="AS379" s="56"/>
      <c r="AT379" s="56"/>
      <c r="AU379" s="56"/>
      <c r="AV379" s="56"/>
      <c r="AW379" s="56"/>
      <c r="AX379" s="56"/>
      <c r="AY379" s="56"/>
      <c r="AZ379" s="56"/>
      <c r="BA379" s="56"/>
      <c r="BB379" s="56"/>
      <c r="BC379" s="56"/>
    </row>
    <row r="380" customFormat="false" ht="21.75" hidden="false" customHeight="true" outlineLevel="0" collapsed="false">
      <c r="B380" s="54" t="n">
        <v>163</v>
      </c>
      <c r="C380" s="54"/>
      <c r="D380" s="55"/>
      <c r="E380" s="55"/>
      <c r="F380" s="55"/>
      <c r="G380" s="55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9"/>
      <c r="X380" s="59"/>
      <c r="Y380" s="59"/>
      <c r="Z380" s="59"/>
      <c r="AA380" s="59"/>
      <c r="AB380" s="59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6"/>
      <c r="AQ380" s="56"/>
      <c r="AR380" s="56"/>
      <c r="AS380" s="56"/>
      <c r="AT380" s="56"/>
      <c r="AU380" s="56"/>
      <c r="AV380" s="56"/>
      <c r="AW380" s="56"/>
      <c r="AX380" s="56"/>
      <c r="AY380" s="56"/>
      <c r="AZ380" s="56"/>
      <c r="BA380" s="56"/>
      <c r="BB380" s="56"/>
      <c r="BC380" s="56"/>
    </row>
    <row r="381" customFormat="false" ht="21.75" hidden="false" customHeight="true" outlineLevel="0" collapsed="false">
      <c r="B381" s="54" t="n">
        <v>164</v>
      </c>
      <c r="C381" s="54"/>
      <c r="D381" s="55"/>
      <c r="E381" s="55"/>
      <c r="F381" s="55"/>
      <c r="G381" s="55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9"/>
      <c r="X381" s="59"/>
      <c r="Y381" s="59"/>
      <c r="Z381" s="59"/>
      <c r="AA381" s="59"/>
      <c r="AB381" s="59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6"/>
      <c r="AQ381" s="56"/>
      <c r="AR381" s="56"/>
      <c r="AS381" s="56"/>
      <c r="AT381" s="56"/>
      <c r="AU381" s="56"/>
      <c r="AV381" s="56"/>
      <c r="AW381" s="56"/>
      <c r="AX381" s="56"/>
      <c r="AY381" s="56"/>
      <c r="AZ381" s="56"/>
      <c r="BA381" s="56"/>
      <c r="BB381" s="56"/>
      <c r="BC381" s="56"/>
    </row>
    <row r="382" customFormat="false" ht="21.75" hidden="false" customHeight="true" outlineLevel="0" collapsed="false">
      <c r="B382" s="54" t="n">
        <v>165</v>
      </c>
      <c r="C382" s="54"/>
      <c r="D382" s="55"/>
      <c r="E382" s="55"/>
      <c r="F382" s="55"/>
      <c r="G382" s="55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9"/>
      <c r="X382" s="59"/>
      <c r="Y382" s="59"/>
      <c r="Z382" s="59"/>
      <c r="AA382" s="59"/>
      <c r="AB382" s="59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6"/>
      <c r="AQ382" s="56"/>
      <c r="AR382" s="56"/>
      <c r="AS382" s="56"/>
      <c r="AT382" s="56"/>
      <c r="AU382" s="56"/>
      <c r="AV382" s="56"/>
      <c r="AW382" s="56"/>
      <c r="AX382" s="56"/>
      <c r="AY382" s="56"/>
      <c r="AZ382" s="56"/>
      <c r="BA382" s="56"/>
      <c r="BB382" s="56"/>
      <c r="BC382" s="56"/>
    </row>
    <row r="383" customFormat="false" ht="21.75" hidden="false" customHeight="true" outlineLevel="0" collapsed="false">
      <c r="B383" s="54" t="n">
        <v>166</v>
      </c>
      <c r="C383" s="54"/>
      <c r="D383" s="55"/>
      <c r="E383" s="55"/>
      <c r="F383" s="55"/>
      <c r="G383" s="55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9"/>
      <c r="X383" s="59"/>
      <c r="Y383" s="59"/>
      <c r="Z383" s="59"/>
      <c r="AA383" s="59"/>
      <c r="AB383" s="59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6"/>
      <c r="AQ383" s="56"/>
      <c r="AR383" s="56"/>
      <c r="AS383" s="56"/>
      <c r="AT383" s="56"/>
      <c r="AU383" s="56"/>
      <c r="AV383" s="56"/>
      <c r="AW383" s="56"/>
      <c r="AX383" s="56"/>
      <c r="AY383" s="56"/>
      <c r="AZ383" s="56"/>
      <c r="BA383" s="56"/>
      <c r="BB383" s="56"/>
      <c r="BC383" s="56"/>
    </row>
    <row r="384" customFormat="false" ht="21.75" hidden="false" customHeight="true" outlineLevel="0" collapsed="false">
      <c r="B384" s="54" t="n">
        <v>167</v>
      </c>
      <c r="C384" s="54"/>
      <c r="D384" s="55"/>
      <c r="E384" s="55"/>
      <c r="F384" s="55"/>
      <c r="G384" s="55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9"/>
      <c r="X384" s="59"/>
      <c r="Y384" s="59"/>
      <c r="Z384" s="59"/>
      <c r="AA384" s="59"/>
      <c r="AB384" s="59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6"/>
      <c r="AR384" s="56"/>
      <c r="AS384" s="56"/>
      <c r="AT384" s="56"/>
      <c r="AU384" s="56"/>
      <c r="AV384" s="56"/>
      <c r="AW384" s="56"/>
      <c r="AX384" s="56"/>
      <c r="AY384" s="56"/>
      <c r="AZ384" s="56"/>
      <c r="BA384" s="56"/>
      <c r="BB384" s="56"/>
      <c r="BC384" s="56"/>
    </row>
    <row r="385" customFormat="false" ht="21.75" hidden="false" customHeight="true" outlineLevel="0" collapsed="false">
      <c r="B385" s="54" t="n">
        <v>168</v>
      </c>
      <c r="C385" s="54"/>
      <c r="D385" s="55"/>
      <c r="E385" s="55"/>
      <c r="F385" s="55"/>
      <c r="G385" s="55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9"/>
      <c r="X385" s="59"/>
      <c r="Y385" s="59"/>
      <c r="Z385" s="59"/>
      <c r="AA385" s="59"/>
      <c r="AB385" s="59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6"/>
      <c r="AQ385" s="56"/>
      <c r="AR385" s="56"/>
      <c r="AS385" s="56"/>
      <c r="AT385" s="56"/>
      <c r="AU385" s="56"/>
      <c r="AV385" s="56"/>
      <c r="AW385" s="56"/>
      <c r="AX385" s="56"/>
      <c r="AY385" s="56"/>
      <c r="AZ385" s="56"/>
      <c r="BA385" s="56"/>
      <c r="BB385" s="56"/>
      <c r="BC385" s="56"/>
    </row>
    <row r="386" customFormat="false" ht="21.75" hidden="false" customHeight="true" outlineLevel="0" collapsed="false">
      <c r="B386" s="54" t="n">
        <v>169</v>
      </c>
      <c r="C386" s="54"/>
      <c r="D386" s="55"/>
      <c r="E386" s="55"/>
      <c r="F386" s="55"/>
      <c r="G386" s="55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9"/>
      <c r="X386" s="59"/>
      <c r="Y386" s="59"/>
      <c r="Z386" s="59"/>
      <c r="AA386" s="59"/>
      <c r="AB386" s="59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6"/>
      <c r="AQ386" s="56"/>
      <c r="AR386" s="56"/>
      <c r="AS386" s="56"/>
      <c r="AT386" s="56"/>
      <c r="AU386" s="56"/>
      <c r="AV386" s="56"/>
      <c r="AW386" s="56"/>
      <c r="AX386" s="56"/>
      <c r="AY386" s="56"/>
      <c r="AZ386" s="56"/>
      <c r="BA386" s="56"/>
      <c r="BB386" s="56"/>
      <c r="BC386" s="56"/>
    </row>
    <row r="387" customFormat="false" ht="21.75" hidden="false" customHeight="true" outlineLevel="0" collapsed="false">
      <c r="B387" s="54" t="n">
        <v>170</v>
      </c>
      <c r="C387" s="54"/>
      <c r="D387" s="55"/>
      <c r="E387" s="55"/>
      <c r="F387" s="55"/>
      <c r="G387" s="55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9"/>
      <c r="X387" s="59"/>
      <c r="Y387" s="59"/>
      <c r="Z387" s="59"/>
      <c r="AA387" s="59"/>
      <c r="AB387" s="59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6"/>
      <c r="AQ387" s="56"/>
      <c r="AR387" s="56"/>
      <c r="AS387" s="56"/>
      <c r="AT387" s="56"/>
      <c r="AU387" s="56"/>
      <c r="AV387" s="56"/>
      <c r="AW387" s="56"/>
      <c r="AX387" s="56"/>
      <c r="AY387" s="56"/>
      <c r="AZ387" s="56"/>
      <c r="BA387" s="56"/>
      <c r="BB387" s="56"/>
      <c r="BC387" s="56"/>
    </row>
    <row r="388" customFormat="false" ht="21.75" hidden="false" customHeight="true" outlineLevel="0" collapsed="false">
      <c r="B388" s="54" t="n">
        <v>171</v>
      </c>
      <c r="C388" s="54"/>
      <c r="D388" s="55"/>
      <c r="E388" s="55"/>
      <c r="F388" s="55"/>
      <c r="G388" s="55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9"/>
      <c r="X388" s="59"/>
      <c r="Y388" s="59"/>
      <c r="Z388" s="59"/>
      <c r="AA388" s="59"/>
      <c r="AB388" s="59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6"/>
      <c r="AQ388" s="56"/>
      <c r="AR388" s="56"/>
      <c r="AS388" s="56"/>
      <c r="AT388" s="56"/>
      <c r="AU388" s="56"/>
      <c r="AV388" s="56"/>
      <c r="AW388" s="56"/>
      <c r="AX388" s="56"/>
      <c r="AY388" s="56"/>
      <c r="AZ388" s="56"/>
      <c r="BA388" s="56"/>
      <c r="BB388" s="56"/>
      <c r="BC388" s="56"/>
    </row>
    <row r="389" customFormat="false" ht="21.75" hidden="false" customHeight="true" outlineLevel="0" collapsed="false">
      <c r="B389" s="54" t="n">
        <v>172</v>
      </c>
      <c r="C389" s="54"/>
      <c r="D389" s="55"/>
      <c r="E389" s="55"/>
      <c r="F389" s="55"/>
      <c r="G389" s="55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9"/>
      <c r="X389" s="59"/>
      <c r="Y389" s="59"/>
      <c r="Z389" s="59"/>
      <c r="AA389" s="59"/>
      <c r="AB389" s="59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6"/>
      <c r="AQ389" s="56"/>
      <c r="AR389" s="56"/>
      <c r="AS389" s="56"/>
      <c r="AT389" s="56"/>
      <c r="AU389" s="56"/>
      <c r="AV389" s="56"/>
      <c r="AW389" s="56"/>
      <c r="AX389" s="56"/>
      <c r="AY389" s="56"/>
      <c r="AZ389" s="56"/>
      <c r="BA389" s="56"/>
      <c r="BB389" s="56"/>
      <c r="BC389" s="56"/>
    </row>
    <row r="390" customFormat="false" ht="21.75" hidden="false" customHeight="true" outlineLevel="0" collapsed="false">
      <c r="B390" s="54" t="n">
        <v>173</v>
      </c>
      <c r="C390" s="54"/>
      <c r="D390" s="55"/>
      <c r="E390" s="55"/>
      <c r="F390" s="55"/>
      <c r="G390" s="55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9"/>
      <c r="X390" s="59"/>
      <c r="Y390" s="59"/>
      <c r="Z390" s="59"/>
      <c r="AA390" s="59"/>
      <c r="AB390" s="59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/>
      <c r="BB390" s="56"/>
      <c r="BC390" s="56"/>
    </row>
    <row r="391" customFormat="false" ht="21.75" hidden="false" customHeight="true" outlineLevel="0" collapsed="false">
      <c r="B391" s="54" t="n">
        <v>174</v>
      </c>
      <c r="C391" s="54"/>
      <c r="D391" s="55"/>
      <c r="E391" s="55"/>
      <c r="F391" s="55"/>
      <c r="G391" s="55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9"/>
      <c r="X391" s="59"/>
      <c r="Y391" s="59"/>
      <c r="Z391" s="59"/>
      <c r="AA391" s="59"/>
      <c r="AB391" s="59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6"/>
      <c r="AQ391" s="56"/>
      <c r="AR391" s="56"/>
      <c r="AS391" s="56"/>
      <c r="AT391" s="56"/>
      <c r="AU391" s="56"/>
      <c r="AV391" s="56"/>
      <c r="AW391" s="56"/>
      <c r="AX391" s="56"/>
      <c r="AY391" s="56"/>
      <c r="AZ391" s="56"/>
      <c r="BA391" s="56"/>
      <c r="BB391" s="56"/>
      <c r="BC391" s="56"/>
    </row>
    <row r="392" customFormat="false" ht="21.75" hidden="false" customHeight="true" outlineLevel="0" collapsed="false">
      <c r="B392" s="54" t="n">
        <v>175</v>
      </c>
      <c r="C392" s="54"/>
      <c r="D392" s="55"/>
      <c r="E392" s="55"/>
      <c r="F392" s="55"/>
      <c r="G392" s="55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9"/>
      <c r="X392" s="59"/>
      <c r="Y392" s="59"/>
      <c r="Z392" s="59"/>
      <c r="AA392" s="59"/>
      <c r="AB392" s="59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6"/>
      <c r="AQ392" s="56"/>
      <c r="AR392" s="56"/>
      <c r="AS392" s="56"/>
      <c r="AT392" s="56"/>
      <c r="AU392" s="56"/>
      <c r="AV392" s="56"/>
      <c r="AW392" s="56"/>
      <c r="AX392" s="56"/>
      <c r="AY392" s="56"/>
      <c r="AZ392" s="56"/>
      <c r="BA392" s="56"/>
      <c r="BB392" s="56"/>
      <c r="BC392" s="56"/>
    </row>
    <row r="393" customFormat="false" ht="21.75" hidden="false" customHeight="true" outlineLevel="0" collapsed="false">
      <c r="B393" s="54" t="n">
        <v>176</v>
      </c>
      <c r="C393" s="54"/>
      <c r="D393" s="55"/>
      <c r="E393" s="55"/>
      <c r="F393" s="55"/>
      <c r="G393" s="55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9"/>
      <c r="X393" s="59"/>
      <c r="Y393" s="59"/>
      <c r="Z393" s="59"/>
      <c r="AA393" s="59"/>
      <c r="AB393" s="59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6"/>
      <c r="AQ393" s="56"/>
      <c r="AR393" s="56"/>
      <c r="AS393" s="56"/>
      <c r="AT393" s="56"/>
      <c r="AU393" s="56"/>
      <c r="AV393" s="56"/>
      <c r="AW393" s="56"/>
      <c r="AX393" s="56"/>
      <c r="AY393" s="56"/>
      <c r="AZ393" s="56"/>
      <c r="BA393" s="56"/>
      <c r="BB393" s="56"/>
      <c r="BC393" s="56"/>
    </row>
    <row r="394" customFormat="false" ht="21.75" hidden="false" customHeight="true" outlineLevel="0" collapsed="false">
      <c r="B394" s="54" t="n">
        <v>177</v>
      </c>
      <c r="C394" s="54"/>
      <c r="D394" s="55"/>
      <c r="E394" s="55"/>
      <c r="F394" s="55"/>
      <c r="G394" s="55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9"/>
      <c r="X394" s="59"/>
      <c r="Y394" s="59"/>
      <c r="Z394" s="59"/>
      <c r="AA394" s="59"/>
      <c r="AB394" s="59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6"/>
      <c r="AQ394" s="56"/>
      <c r="AR394" s="56"/>
      <c r="AS394" s="56"/>
      <c r="AT394" s="56"/>
      <c r="AU394" s="56"/>
      <c r="AV394" s="56"/>
      <c r="AW394" s="56"/>
      <c r="AX394" s="56"/>
      <c r="AY394" s="56"/>
      <c r="AZ394" s="56"/>
      <c r="BA394" s="56"/>
      <c r="BB394" s="56"/>
      <c r="BC394" s="56"/>
    </row>
    <row r="395" customFormat="false" ht="21.75" hidden="false" customHeight="true" outlineLevel="0" collapsed="false">
      <c r="B395" s="54" t="n">
        <v>178</v>
      </c>
      <c r="C395" s="54"/>
      <c r="D395" s="55"/>
      <c r="E395" s="55"/>
      <c r="F395" s="55"/>
      <c r="G395" s="55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9"/>
      <c r="X395" s="59"/>
      <c r="Y395" s="59"/>
      <c r="Z395" s="59"/>
      <c r="AA395" s="59"/>
      <c r="AB395" s="59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6"/>
      <c r="AQ395" s="56"/>
      <c r="AR395" s="56"/>
      <c r="AS395" s="56"/>
      <c r="AT395" s="56"/>
      <c r="AU395" s="56"/>
      <c r="AV395" s="56"/>
      <c r="AW395" s="56"/>
      <c r="AX395" s="56"/>
      <c r="AY395" s="56"/>
      <c r="AZ395" s="56"/>
      <c r="BA395" s="56"/>
      <c r="BB395" s="56"/>
      <c r="BC395" s="56"/>
    </row>
    <row r="396" customFormat="false" ht="21.75" hidden="false" customHeight="true" outlineLevel="0" collapsed="false">
      <c r="B396" s="54" t="n">
        <v>179</v>
      </c>
      <c r="C396" s="54"/>
      <c r="D396" s="55"/>
      <c r="E396" s="55"/>
      <c r="F396" s="55"/>
      <c r="G396" s="55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9"/>
      <c r="X396" s="59"/>
      <c r="Y396" s="59"/>
      <c r="Z396" s="59"/>
      <c r="AA396" s="59"/>
      <c r="AB396" s="59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6"/>
      <c r="AQ396" s="56"/>
      <c r="AR396" s="56"/>
      <c r="AS396" s="56"/>
      <c r="AT396" s="56"/>
      <c r="AU396" s="56"/>
      <c r="AV396" s="56"/>
      <c r="AW396" s="56"/>
      <c r="AX396" s="56"/>
      <c r="AY396" s="56"/>
      <c r="AZ396" s="56"/>
      <c r="BA396" s="56"/>
      <c r="BB396" s="56"/>
      <c r="BC396" s="56"/>
    </row>
    <row r="397" customFormat="false" ht="21.75" hidden="false" customHeight="true" outlineLevel="0" collapsed="false">
      <c r="B397" s="54" t="n">
        <v>180</v>
      </c>
      <c r="C397" s="54"/>
      <c r="D397" s="55"/>
      <c r="E397" s="55"/>
      <c r="F397" s="55"/>
      <c r="G397" s="55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9"/>
      <c r="X397" s="59"/>
      <c r="Y397" s="59"/>
      <c r="Z397" s="59"/>
      <c r="AA397" s="59"/>
      <c r="AB397" s="59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6"/>
      <c r="AQ397" s="56"/>
      <c r="AR397" s="56"/>
      <c r="AS397" s="56"/>
      <c r="AT397" s="56"/>
      <c r="AU397" s="56"/>
      <c r="AV397" s="56"/>
      <c r="AW397" s="56"/>
      <c r="AX397" s="56"/>
      <c r="AY397" s="56"/>
      <c r="AZ397" s="56"/>
      <c r="BA397" s="56"/>
      <c r="BB397" s="56"/>
      <c r="BC397" s="56"/>
    </row>
    <row r="398" customFormat="false" ht="21.75" hidden="false" customHeight="true" outlineLevel="0" collapsed="false">
      <c r="B398" s="54" t="n">
        <v>181</v>
      </c>
      <c r="C398" s="54"/>
      <c r="D398" s="55"/>
      <c r="E398" s="55"/>
      <c r="F398" s="55"/>
      <c r="G398" s="55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9"/>
      <c r="X398" s="59"/>
      <c r="Y398" s="59"/>
      <c r="Z398" s="59"/>
      <c r="AA398" s="59"/>
      <c r="AB398" s="59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6"/>
      <c r="AQ398" s="56"/>
      <c r="AR398" s="56"/>
      <c r="AS398" s="56"/>
      <c r="AT398" s="56"/>
      <c r="AU398" s="56"/>
      <c r="AV398" s="56"/>
      <c r="AW398" s="56"/>
      <c r="AX398" s="56"/>
      <c r="AY398" s="56"/>
      <c r="AZ398" s="56"/>
      <c r="BA398" s="56"/>
      <c r="BB398" s="56"/>
      <c r="BC398" s="56"/>
    </row>
    <row r="399" customFormat="false" ht="21.75" hidden="false" customHeight="true" outlineLevel="0" collapsed="false">
      <c r="B399" s="54" t="n">
        <v>182</v>
      </c>
      <c r="C399" s="54"/>
      <c r="D399" s="55"/>
      <c r="E399" s="55"/>
      <c r="F399" s="55"/>
      <c r="G399" s="55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9"/>
      <c r="X399" s="59"/>
      <c r="Y399" s="59"/>
      <c r="Z399" s="59"/>
      <c r="AA399" s="59"/>
      <c r="AB399" s="59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6"/>
      <c r="AQ399" s="56"/>
      <c r="AR399" s="56"/>
      <c r="AS399" s="56"/>
      <c r="AT399" s="56"/>
      <c r="AU399" s="56"/>
      <c r="AV399" s="56"/>
      <c r="AW399" s="56"/>
      <c r="AX399" s="56"/>
      <c r="AY399" s="56"/>
      <c r="AZ399" s="56"/>
      <c r="BA399" s="56"/>
      <c r="BB399" s="56"/>
      <c r="BC399" s="56"/>
    </row>
    <row r="400" customFormat="false" ht="21.75" hidden="false" customHeight="true" outlineLevel="0" collapsed="false">
      <c r="B400" s="54" t="n">
        <v>183</v>
      </c>
      <c r="C400" s="54"/>
      <c r="D400" s="55"/>
      <c r="E400" s="55"/>
      <c r="F400" s="55"/>
      <c r="G400" s="55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9"/>
      <c r="X400" s="59"/>
      <c r="Y400" s="59"/>
      <c r="Z400" s="59"/>
      <c r="AA400" s="59"/>
      <c r="AB400" s="59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6"/>
      <c r="AQ400" s="56"/>
      <c r="AR400" s="56"/>
      <c r="AS400" s="56"/>
      <c r="AT400" s="56"/>
      <c r="AU400" s="56"/>
      <c r="AV400" s="56"/>
      <c r="AW400" s="56"/>
      <c r="AX400" s="56"/>
      <c r="AY400" s="56"/>
      <c r="AZ400" s="56"/>
      <c r="BA400" s="56"/>
      <c r="BB400" s="56"/>
      <c r="BC400" s="56"/>
    </row>
    <row r="401" customFormat="false" ht="21.75" hidden="false" customHeight="true" outlineLevel="0" collapsed="false">
      <c r="B401" s="54" t="n">
        <v>184</v>
      </c>
      <c r="C401" s="54"/>
      <c r="D401" s="55"/>
      <c r="E401" s="55"/>
      <c r="F401" s="55"/>
      <c r="G401" s="55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9"/>
      <c r="X401" s="59"/>
      <c r="Y401" s="59"/>
      <c r="Z401" s="59"/>
      <c r="AA401" s="59"/>
      <c r="AB401" s="59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6"/>
      <c r="AQ401" s="56"/>
      <c r="AR401" s="56"/>
      <c r="AS401" s="56"/>
      <c r="AT401" s="56"/>
      <c r="AU401" s="56"/>
      <c r="AV401" s="56"/>
      <c r="AW401" s="56"/>
      <c r="AX401" s="56"/>
      <c r="AY401" s="56"/>
      <c r="AZ401" s="56"/>
      <c r="BA401" s="56"/>
      <c r="BB401" s="56"/>
      <c r="BC401" s="56"/>
    </row>
    <row r="402" customFormat="false" ht="21.75" hidden="false" customHeight="true" outlineLevel="0" collapsed="false">
      <c r="B402" s="54" t="n">
        <v>185</v>
      </c>
      <c r="C402" s="54"/>
      <c r="D402" s="55"/>
      <c r="E402" s="55"/>
      <c r="F402" s="55"/>
      <c r="G402" s="55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9"/>
      <c r="X402" s="59"/>
      <c r="Y402" s="59"/>
      <c r="Z402" s="59"/>
      <c r="AA402" s="59"/>
      <c r="AB402" s="59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6"/>
      <c r="AQ402" s="56"/>
      <c r="AR402" s="56"/>
      <c r="AS402" s="56"/>
      <c r="AT402" s="56"/>
      <c r="AU402" s="56"/>
      <c r="AV402" s="56"/>
      <c r="AW402" s="56"/>
      <c r="AX402" s="56"/>
      <c r="AY402" s="56"/>
      <c r="AZ402" s="56"/>
      <c r="BA402" s="56"/>
      <c r="BB402" s="56"/>
      <c r="BC402" s="56"/>
    </row>
    <row r="403" customFormat="false" ht="21.75" hidden="false" customHeight="true" outlineLevel="0" collapsed="false">
      <c r="B403" s="54" t="n">
        <v>186</v>
      </c>
      <c r="C403" s="54"/>
      <c r="D403" s="55"/>
      <c r="E403" s="55"/>
      <c r="F403" s="55"/>
      <c r="G403" s="55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9"/>
      <c r="X403" s="59"/>
      <c r="Y403" s="59"/>
      <c r="Z403" s="59"/>
      <c r="AA403" s="59"/>
      <c r="AB403" s="59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6"/>
      <c r="AQ403" s="56"/>
      <c r="AR403" s="56"/>
      <c r="AS403" s="56"/>
      <c r="AT403" s="56"/>
      <c r="AU403" s="56"/>
      <c r="AV403" s="56"/>
      <c r="AW403" s="56"/>
      <c r="AX403" s="56"/>
      <c r="AY403" s="56"/>
      <c r="AZ403" s="56"/>
      <c r="BA403" s="56"/>
      <c r="BB403" s="56"/>
      <c r="BC403" s="56"/>
    </row>
    <row r="404" customFormat="false" ht="21.75" hidden="false" customHeight="true" outlineLevel="0" collapsed="false">
      <c r="B404" s="54" t="n">
        <v>187</v>
      </c>
      <c r="C404" s="54"/>
      <c r="D404" s="55"/>
      <c r="E404" s="55"/>
      <c r="F404" s="55"/>
      <c r="G404" s="55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9"/>
      <c r="X404" s="59"/>
      <c r="Y404" s="59"/>
      <c r="Z404" s="59"/>
      <c r="AA404" s="59"/>
      <c r="AB404" s="59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6"/>
      <c r="AQ404" s="56"/>
      <c r="AR404" s="56"/>
      <c r="AS404" s="56"/>
      <c r="AT404" s="56"/>
      <c r="AU404" s="56"/>
      <c r="AV404" s="56"/>
      <c r="AW404" s="56"/>
      <c r="AX404" s="56"/>
      <c r="AY404" s="56"/>
      <c r="AZ404" s="56"/>
      <c r="BA404" s="56"/>
      <c r="BB404" s="56"/>
      <c r="BC404" s="56"/>
    </row>
    <row r="405" customFormat="false" ht="21.75" hidden="false" customHeight="true" outlineLevel="0" collapsed="false">
      <c r="B405" s="54" t="n">
        <v>188</v>
      </c>
      <c r="C405" s="54"/>
      <c r="D405" s="55"/>
      <c r="E405" s="55"/>
      <c r="F405" s="55"/>
      <c r="G405" s="55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9"/>
      <c r="X405" s="59"/>
      <c r="Y405" s="59"/>
      <c r="Z405" s="59"/>
      <c r="AA405" s="59"/>
      <c r="AB405" s="59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6"/>
      <c r="AQ405" s="56"/>
      <c r="AR405" s="56"/>
      <c r="AS405" s="56"/>
      <c r="AT405" s="56"/>
      <c r="AU405" s="56"/>
      <c r="AV405" s="56"/>
      <c r="AW405" s="56"/>
      <c r="AX405" s="56"/>
      <c r="AY405" s="56"/>
      <c r="AZ405" s="56"/>
      <c r="BA405" s="56"/>
      <c r="BB405" s="56"/>
      <c r="BC405" s="56"/>
    </row>
    <row r="406" customFormat="false" ht="21.75" hidden="false" customHeight="true" outlineLevel="0" collapsed="false">
      <c r="B406" s="54" t="n">
        <v>189</v>
      </c>
      <c r="C406" s="54"/>
      <c r="D406" s="55"/>
      <c r="E406" s="55"/>
      <c r="F406" s="55"/>
      <c r="G406" s="55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9"/>
      <c r="X406" s="59"/>
      <c r="Y406" s="59"/>
      <c r="Z406" s="59"/>
      <c r="AA406" s="59"/>
      <c r="AB406" s="59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6"/>
      <c r="AQ406" s="56"/>
      <c r="AR406" s="56"/>
      <c r="AS406" s="56"/>
      <c r="AT406" s="56"/>
      <c r="AU406" s="56"/>
      <c r="AV406" s="56"/>
      <c r="AW406" s="56"/>
      <c r="AX406" s="56"/>
      <c r="AY406" s="56"/>
      <c r="AZ406" s="56"/>
      <c r="BA406" s="56"/>
      <c r="BB406" s="56"/>
      <c r="BC406" s="56"/>
    </row>
    <row r="407" customFormat="false" ht="21.75" hidden="false" customHeight="true" outlineLevel="0" collapsed="false">
      <c r="B407" s="54" t="n">
        <v>190</v>
      </c>
      <c r="C407" s="54"/>
      <c r="D407" s="55"/>
      <c r="E407" s="55"/>
      <c r="F407" s="55"/>
      <c r="G407" s="55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9"/>
      <c r="X407" s="59"/>
      <c r="Y407" s="59"/>
      <c r="Z407" s="59"/>
      <c r="AA407" s="59"/>
      <c r="AB407" s="59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6"/>
      <c r="AQ407" s="56"/>
      <c r="AR407" s="56"/>
      <c r="AS407" s="56"/>
      <c r="AT407" s="56"/>
      <c r="AU407" s="56"/>
      <c r="AV407" s="56"/>
      <c r="AW407" s="56"/>
      <c r="AX407" s="56"/>
      <c r="AY407" s="56"/>
      <c r="AZ407" s="56"/>
      <c r="BA407" s="56"/>
      <c r="BB407" s="56"/>
      <c r="BC407" s="56"/>
    </row>
    <row r="408" customFormat="false" ht="21.75" hidden="false" customHeight="true" outlineLevel="0" collapsed="false">
      <c r="B408" s="54" t="n">
        <v>191</v>
      </c>
      <c r="C408" s="54"/>
      <c r="D408" s="55"/>
      <c r="E408" s="55"/>
      <c r="F408" s="55"/>
      <c r="G408" s="55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9"/>
      <c r="X408" s="59"/>
      <c r="Y408" s="59"/>
      <c r="Z408" s="59"/>
      <c r="AA408" s="59"/>
      <c r="AB408" s="59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6"/>
      <c r="AQ408" s="56"/>
      <c r="AR408" s="56"/>
      <c r="AS408" s="56"/>
      <c r="AT408" s="56"/>
      <c r="AU408" s="56"/>
      <c r="AV408" s="56"/>
      <c r="AW408" s="56"/>
      <c r="AX408" s="56"/>
      <c r="AY408" s="56"/>
      <c r="AZ408" s="56"/>
      <c r="BA408" s="56"/>
      <c r="BB408" s="56"/>
      <c r="BC408" s="56"/>
    </row>
    <row r="409" customFormat="false" ht="21.75" hidden="false" customHeight="true" outlineLevel="0" collapsed="false">
      <c r="B409" s="54" t="n">
        <v>192</v>
      </c>
      <c r="C409" s="54"/>
      <c r="D409" s="55"/>
      <c r="E409" s="55"/>
      <c r="F409" s="55"/>
      <c r="G409" s="55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9"/>
      <c r="X409" s="59"/>
      <c r="Y409" s="59"/>
      <c r="Z409" s="59"/>
      <c r="AA409" s="59"/>
      <c r="AB409" s="59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6"/>
      <c r="AQ409" s="56"/>
      <c r="AR409" s="56"/>
      <c r="AS409" s="56"/>
      <c r="AT409" s="56"/>
      <c r="AU409" s="56"/>
      <c r="AV409" s="56"/>
      <c r="AW409" s="56"/>
      <c r="AX409" s="56"/>
      <c r="AY409" s="56"/>
      <c r="AZ409" s="56"/>
      <c r="BA409" s="56"/>
      <c r="BB409" s="56"/>
      <c r="BC409" s="56"/>
    </row>
    <row r="410" customFormat="false" ht="21.75" hidden="false" customHeight="true" outlineLevel="0" collapsed="false">
      <c r="B410" s="54" t="n">
        <v>193</v>
      </c>
      <c r="C410" s="54"/>
      <c r="D410" s="55"/>
      <c r="E410" s="55"/>
      <c r="F410" s="55"/>
      <c r="G410" s="55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9"/>
      <c r="X410" s="59"/>
      <c r="Y410" s="59"/>
      <c r="Z410" s="59"/>
      <c r="AA410" s="59"/>
      <c r="AB410" s="59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6"/>
      <c r="AQ410" s="56"/>
      <c r="AR410" s="56"/>
      <c r="AS410" s="56"/>
      <c r="AT410" s="56"/>
      <c r="AU410" s="56"/>
      <c r="AV410" s="56"/>
      <c r="AW410" s="56"/>
      <c r="AX410" s="56"/>
      <c r="AY410" s="56"/>
      <c r="AZ410" s="56"/>
      <c r="BA410" s="56"/>
      <c r="BB410" s="56"/>
      <c r="BC410" s="56"/>
    </row>
    <row r="411" customFormat="false" ht="21.75" hidden="false" customHeight="true" outlineLevel="0" collapsed="false">
      <c r="B411" s="54" t="n">
        <v>194</v>
      </c>
      <c r="C411" s="54"/>
      <c r="D411" s="55"/>
      <c r="E411" s="55"/>
      <c r="F411" s="55"/>
      <c r="G411" s="55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9"/>
      <c r="X411" s="59"/>
      <c r="Y411" s="59"/>
      <c r="Z411" s="59"/>
      <c r="AA411" s="59"/>
      <c r="AB411" s="59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6"/>
      <c r="AQ411" s="56"/>
      <c r="AR411" s="56"/>
      <c r="AS411" s="56"/>
      <c r="AT411" s="56"/>
      <c r="AU411" s="56"/>
      <c r="AV411" s="56"/>
      <c r="AW411" s="56"/>
      <c r="AX411" s="56"/>
      <c r="AY411" s="56"/>
      <c r="AZ411" s="56"/>
      <c r="BA411" s="56"/>
      <c r="BB411" s="56"/>
      <c r="BC411" s="56"/>
    </row>
    <row r="412" customFormat="false" ht="21.75" hidden="false" customHeight="true" outlineLevel="0" collapsed="false">
      <c r="B412" s="54" t="n">
        <v>195</v>
      </c>
      <c r="C412" s="54"/>
      <c r="D412" s="55"/>
      <c r="E412" s="55"/>
      <c r="F412" s="55"/>
      <c r="G412" s="55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9"/>
      <c r="X412" s="59"/>
      <c r="Y412" s="59"/>
      <c r="Z412" s="59"/>
      <c r="AA412" s="59"/>
      <c r="AB412" s="59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6"/>
      <c r="AQ412" s="56"/>
      <c r="AR412" s="56"/>
      <c r="AS412" s="56"/>
      <c r="AT412" s="56"/>
      <c r="AU412" s="56"/>
      <c r="AV412" s="56"/>
      <c r="AW412" s="56"/>
      <c r="AX412" s="56"/>
      <c r="AY412" s="56"/>
      <c r="AZ412" s="56"/>
      <c r="BA412" s="56"/>
      <c r="BB412" s="56"/>
      <c r="BC412" s="56"/>
    </row>
    <row r="413" customFormat="false" ht="21.75" hidden="false" customHeight="true" outlineLevel="0" collapsed="false">
      <c r="B413" s="54" t="n">
        <v>196</v>
      </c>
      <c r="C413" s="54"/>
      <c r="D413" s="55"/>
      <c r="E413" s="55"/>
      <c r="F413" s="55"/>
      <c r="G413" s="55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9"/>
      <c r="X413" s="59"/>
      <c r="Y413" s="59"/>
      <c r="Z413" s="59"/>
      <c r="AA413" s="59"/>
      <c r="AB413" s="59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6"/>
      <c r="AQ413" s="56"/>
      <c r="AR413" s="56"/>
      <c r="AS413" s="56"/>
      <c r="AT413" s="56"/>
      <c r="AU413" s="56"/>
      <c r="AV413" s="56"/>
      <c r="AW413" s="56"/>
      <c r="AX413" s="56"/>
      <c r="AY413" s="56"/>
      <c r="AZ413" s="56"/>
      <c r="BA413" s="56"/>
      <c r="BB413" s="56"/>
      <c r="BC413" s="56"/>
    </row>
    <row r="414" customFormat="false" ht="21.75" hidden="false" customHeight="true" outlineLevel="0" collapsed="false">
      <c r="B414" s="54" t="n">
        <v>197</v>
      </c>
      <c r="C414" s="54"/>
      <c r="D414" s="55"/>
      <c r="E414" s="55"/>
      <c r="F414" s="55"/>
      <c r="G414" s="55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9"/>
      <c r="X414" s="59"/>
      <c r="Y414" s="59"/>
      <c r="Z414" s="59"/>
      <c r="AA414" s="59"/>
      <c r="AB414" s="59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6"/>
      <c r="AQ414" s="56"/>
      <c r="AR414" s="56"/>
      <c r="AS414" s="56"/>
      <c r="AT414" s="56"/>
      <c r="AU414" s="56"/>
      <c r="AV414" s="56"/>
      <c r="AW414" s="56"/>
      <c r="AX414" s="56"/>
      <c r="AY414" s="56"/>
      <c r="AZ414" s="56"/>
      <c r="BA414" s="56"/>
      <c r="BB414" s="56"/>
      <c r="BC414" s="56"/>
    </row>
    <row r="415" customFormat="false" ht="21.75" hidden="false" customHeight="true" outlineLevel="0" collapsed="false">
      <c r="B415" s="54" t="n">
        <v>198</v>
      </c>
      <c r="C415" s="54"/>
      <c r="D415" s="55"/>
      <c r="E415" s="55"/>
      <c r="F415" s="55"/>
      <c r="G415" s="55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9"/>
      <c r="X415" s="59"/>
      <c r="Y415" s="59"/>
      <c r="Z415" s="59"/>
      <c r="AA415" s="59"/>
      <c r="AB415" s="59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  <c r="AP415" s="56"/>
      <c r="AQ415" s="56"/>
      <c r="AR415" s="56"/>
      <c r="AS415" s="56"/>
      <c r="AT415" s="56"/>
      <c r="AU415" s="56"/>
      <c r="AV415" s="56"/>
      <c r="AW415" s="56"/>
      <c r="AX415" s="56"/>
      <c r="AY415" s="56"/>
      <c r="AZ415" s="56"/>
      <c r="BA415" s="56"/>
      <c r="BB415" s="56"/>
      <c r="BC415" s="56"/>
    </row>
    <row r="416" customFormat="false" ht="21.75" hidden="false" customHeight="true" outlineLevel="0" collapsed="false">
      <c r="B416" s="54" t="n">
        <v>199</v>
      </c>
      <c r="C416" s="54"/>
      <c r="D416" s="55"/>
      <c r="E416" s="55"/>
      <c r="F416" s="55"/>
      <c r="G416" s="55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9"/>
      <c r="X416" s="59"/>
      <c r="Y416" s="59"/>
      <c r="Z416" s="59"/>
      <c r="AA416" s="59"/>
      <c r="AB416" s="59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6"/>
      <c r="AQ416" s="56"/>
      <c r="AR416" s="56"/>
      <c r="AS416" s="56"/>
      <c r="AT416" s="56"/>
      <c r="AU416" s="56"/>
      <c r="AV416" s="56"/>
      <c r="AW416" s="56"/>
      <c r="AX416" s="56"/>
      <c r="AY416" s="56"/>
      <c r="AZ416" s="56"/>
      <c r="BA416" s="56"/>
      <c r="BB416" s="56"/>
      <c r="BC416" s="56"/>
    </row>
    <row r="417" customFormat="false" ht="21.75" hidden="false" customHeight="true" outlineLevel="0" collapsed="false">
      <c r="B417" s="54" t="n">
        <v>200</v>
      </c>
      <c r="C417" s="54"/>
      <c r="D417" s="55"/>
      <c r="E417" s="55"/>
      <c r="F417" s="55"/>
      <c r="G417" s="55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9"/>
      <c r="X417" s="59"/>
      <c r="Y417" s="59"/>
      <c r="Z417" s="59"/>
      <c r="AA417" s="59"/>
      <c r="AB417" s="59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6"/>
      <c r="AQ417" s="56"/>
      <c r="AR417" s="56"/>
      <c r="AS417" s="56"/>
      <c r="AT417" s="56"/>
      <c r="AU417" s="56"/>
      <c r="AV417" s="56"/>
      <c r="AW417" s="56"/>
      <c r="AX417" s="56"/>
      <c r="AY417" s="56"/>
      <c r="AZ417" s="56"/>
      <c r="BA417" s="56"/>
      <c r="BB417" s="56"/>
      <c r="BC417" s="56"/>
    </row>
    <row r="418" customFormat="false" ht="21.75" hidden="false" customHeight="true" outlineLevel="0" collapsed="false">
      <c r="B418" s="54" t="n">
        <v>201</v>
      </c>
      <c r="C418" s="54"/>
      <c r="D418" s="55"/>
      <c r="E418" s="55"/>
      <c r="F418" s="55"/>
      <c r="G418" s="55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9"/>
      <c r="X418" s="59"/>
      <c r="Y418" s="59"/>
      <c r="Z418" s="59"/>
      <c r="AA418" s="59"/>
      <c r="AB418" s="59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  <c r="AP418" s="56"/>
      <c r="AQ418" s="56"/>
      <c r="AR418" s="56"/>
      <c r="AS418" s="56"/>
      <c r="AT418" s="56"/>
      <c r="AU418" s="56"/>
      <c r="AV418" s="56"/>
      <c r="AW418" s="56"/>
      <c r="AX418" s="56"/>
      <c r="AY418" s="56"/>
      <c r="AZ418" s="56"/>
      <c r="BA418" s="56"/>
      <c r="BB418" s="56"/>
      <c r="BC418" s="56"/>
    </row>
    <row r="419" customFormat="false" ht="21.75" hidden="false" customHeight="true" outlineLevel="0" collapsed="false">
      <c r="B419" s="54" t="n">
        <v>202</v>
      </c>
      <c r="C419" s="54"/>
      <c r="D419" s="55"/>
      <c r="E419" s="55"/>
      <c r="F419" s="55"/>
      <c r="G419" s="55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9"/>
      <c r="X419" s="59"/>
      <c r="Y419" s="59"/>
      <c r="Z419" s="59"/>
      <c r="AA419" s="59"/>
      <c r="AB419" s="59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6"/>
      <c r="AQ419" s="56"/>
      <c r="AR419" s="56"/>
      <c r="AS419" s="56"/>
      <c r="AT419" s="56"/>
      <c r="AU419" s="56"/>
      <c r="AV419" s="56"/>
      <c r="AW419" s="56"/>
      <c r="AX419" s="56"/>
      <c r="AY419" s="56"/>
      <c r="AZ419" s="56"/>
      <c r="BA419" s="56"/>
      <c r="BB419" s="56"/>
      <c r="BC419" s="56"/>
    </row>
    <row r="420" customFormat="false" ht="21.75" hidden="false" customHeight="true" outlineLevel="0" collapsed="false">
      <c r="B420" s="54" t="n">
        <v>203</v>
      </c>
      <c r="C420" s="54"/>
      <c r="D420" s="55"/>
      <c r="E420" s="55"/>
      <c r="F420" s="55"/>
      <c r="G420" s="55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9"/>
      <c r="X420" s="59"/>
      <c r="Y420" s="59"/>
      <c r="Z420" s="59"/>
      <c r="AA420" s="59"/>
      <c r="AB420" s="59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6"/>
      <c r="AQ420" s="56"/>
      <c r="AR420" s="56"/>
      <c r="AS420" s="56"/>
      <c r="AT420" s="56"/>
      <c r="AU420" s="56"/>
      <c r="AV420" s="56"/>
      <c r="AW420" s="56"/>
      <c r="AX420" s="56"/>
      <c r="AY420" s="56"/>
      <c r="AZ420" s="56"/>
      <c r="BA420" s="56"/>
      <c r="BB420" s="56"/>
      <c r="BC420" s="56"/>
    </row>
    <row r="421" customFormat="false" ht="21.75" hidden="false" customHeight="true" outlineLevel="0" collapsed="false">
      <c r="B421" s="54" t="n">
        <v>204</v>
      </c>
      <c r="C421" s="54"/>
      <c r="D421" s="55"/>
      <c r="E421" s="55"/>
      <c r="F421" s="55"/>
      <c r="G421" s="55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9"/>
      <c r="X421" s="59"/>
      <c r="Y421" s="59"/>
      <c r="Z421" s="59"/>
      <c r="AA421" s="59"/>
      <c r="AB421" s="59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  <c r="AO421" s="56"/>
      <c r="AP421" s="56"/>
      <c r="AQ421" s="56"/>
      <c r="AR421" s="56"/>
      <c r="AS421" s="56"/>
      <c r="AT421" s="56"/>
      <c r="AU421" s="56"/>
      <c r="AV421" s="56"/>
      <c r="AW421" s="56"/>
      <c r="AX421" s="56"/>
      <c r="AY421" s="56"/>
      <c r="AZ421" s="56"/>
      <c r="BA421" s="56"/>
      <c r="BB421" s="56"/>
      <c r="BC421" s="56"/>
    </row>
    <row r="422" customFormat="false" ht="21.75" hidden="false" customHeight="true" outlineLevel="0" collapsed="false">
      <c r="B422" s="54" t="n">
        <v>205</v>
      </c>
      <c r="C422" s="54"/>
      <c r="D422" s="55"/>
      <c r="E422" s="55"/>
      <c r="F422" s="55"/>
      <c r="G422" s="55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9"/>
      <c r="X422" s="59"/>
      <c r="Y422" s="59"/>
      <c r="Z422" s="59"/>
      <c r="AA422" s="59"/>
      <c r="AB422" s="59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6"/>
      <c r="AQ422" s="56"/>
      <c r="AR422" s="56"/>
      <c r="AS422" s="56"/>
      <c r="AT422" s="56"/>
      <c r="AU422" s="56"/>
      <c r="AV422" s="56"/>
      <c r="AW422" s="56"/>
      <c r="AX422" s="56"/>
      <c r="AY422" s="56"/>
      <c r="AZ422" s="56"/>
      <c r="BA422" s="56"/>
      <c r="BB422" s="56"/>
      <c r="BC422" s="56"/>
    </row>
    <row r="423" customFormat="false" ht="21.75" hidden="false" customHeight="true" outlineLevel="0" collapsed="false">
      <c r="B423" s="54" t="n">
        <v>206</v>
      </c>
      <c r="C423" s="54"/>
      <c r="D423" s="55"/>
      <c r="E423" s="55"/>
      <c r="F423" s="55"/>
      <c r="G423" s="55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9"/>
      <c r="X423" s="59"/>
      <c r="Y423" s="59"/>
      <c r="Z423" s="59"/>
      <c r="AA423" s="59"/>
      <c r="AB423" s="59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  <c r="AP423" s="56"/>
      <c r="AQ423" s="56"/>
      <c r="AR423" s="56"/>
      <c r="AS423" s="56"/>
      <c r="AT423" s="56"/>
      <c r="AU423" s="56"/>
      <c r="AV423" s="56"/>
      <c r="AW423" s="56"/>
      <c r="AX423" s="56"/>
      <c r="AY423" s="56"/>
      <c r="AZ423" s="56"/>
      <c r="BA423" s="56"/>
      <c r="BB423" s="56"/>
      <c r="BC423" s="56"/>
    </row>
    <row r="424" customFormat="false" ht="21.75" hidden="false" customHeight="true" outlineLevel="0" collapsed="false">
      <c r="B424" s="54" t="n">
        <v>207</v>
      </c>
      <c r="C424" s="54"/>
      <c r="D424" s="55"/>
      <c r="E424" s="55"/>
      <c r="F424" s="55"/>
      <c r="G424" s="55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9"/>
      <c r="X424" s="59"/>
      <c r="Y424" s="59"/>
      <c r="Z424" s="59"/>
      <c r="AA424" s="59"/>
      <c r="AB424" s="59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6"/>
      <c r="AQ424" s="56"/>
      <c r="AR424" s="56"/>
      <c r="AS424" s="56"/>
      <c r="AT424" s="56"/>
      <c r="AU424" s="56"/>
      <c r="AV424" s="56"/>
      <c r="AW424" s="56"/>
      <c r="AX424" s="56"/>
      <c r="AY424" s="56"/>
      <c r="AZ424" s="56"/>
      <c r="BA424" s="56"/>
      <c r="BB424" s="56"/>
      <c r="BC424" s="56"/>
    </row>
    <row r="425" customFormat="false" ht="21.75" hidden="false" customHeight="true" outlineLevel="0" collapsed="false">
      <c r="B425" s="54" t="n">
        <v>208</v>
      </c>
      <c r="C425" s="54"/>
      <c r="D425" s="55"/>
      <c r="E425" s="55"/>
      <c r="F425" s="55"/>
      <c r="G425" s="55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9"/>
      <c r="X425" s="59"/>
      <c r="Y425" s="59"/>
      <c r="Z425" s="59"/>
      <c r="AA425" s="59"/>
      <c r="AB425" s="59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6"/>
      <c r="AQ425" s="56"/>
      <c r="AR425" s="56"/>
      <c r="AS425" s="56"/>
      <c r="AT425" s="56"/>
      <c r="AU425" s="56"/>
      <c r="AV425" s="56"/>
      <c r="AW425" s="56"/>
      <c r="AX425" s="56"/>
      <c r="AY425" s="56"/>
      <c r="AZ425" s="56"/>
      <c r="BA425" s="56"/>
      <c r="BB425" s="56"/>
      <c r="BC425" s="56"/>
    </row>
    <row r="426" customFormat="false" ht="21.75" hidden="false" customHeight="true" outlineLevel="0" collapsed="false">
      <c r="B426" s="54" t="n">
        <v>209</v>
      </c>
      <c r="C426" s="54"/>
      <c r="D426" s="55"/>
      <c r="E426" s="55"/>
      <c r="F426" s="55"/>
      <c r="G426" s="55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9"/>
      <c r="X426" s="59"/>
      <c r="Y426" s="59"/>
      <c r="Z426" s="59"/>
      <c r="AA426" s="59"/>
      <c r="AB426" s="59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6"/>
      <c r="AQ426" s="56"/>
      <c r="AR426" s="56"/>
      <c r="AS426" s="56"/>
      <c r="AT426" s="56"/>
      <c r="AU426" s="56"/>
      <c r="AV426" s="56"/>
      <c r="AW426" s="56"/>
      <c r="AX426" s="56"/>
      <c r="AY426" s="56"/>
      <c r="AZ426" s="56"/>
      <c r="BA426" s="56"/>
      <c r="BB426" s="56"/>
      <c r="BC426" s="56"/>
    </row>
    <row r="427" customFormat="false" ht="21.75" hidden="false" customHeight="true" outlineLevel="0" collapsed="false">
      <c r="B427" s="54" t="n">
        <v>210</v>
      </c>
      <c r="C427" s="54"/>
      <c r="D427" s="55"/>
      <c r="E427" s="55"/>
      <c r="F427" s="55"/>
      <c r="G427" s="55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9"/>
      <c r="X427" s="59"/>
      <c r="Y427" s="59"/>
      <c r="Z427" s="59"/>
      <c r="AA427" s="59"/>
      <c r="AB427" s="59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6"/>
      <c r="AQ427" s="56"/>
      <c r="AR427" s="56"/>
      <c r="AS427" s="56"/>
      <c r="AT427" s="56"/>
      <c r="AU427" s="56"/>
      <c r="AV427" s="56"/>
      <c r="AW427" s="56"/>
      <c r="AX427" s="56"/>
      <c r="AY427" s="56"/>
      <c r="AZ427" s="56"/>
      <c r="BA427" s="56"/>
      <c r="BB427" s="56"/>
      <c r="BC427" s="56"/>
    </row>
    <row r="428" customFormat="false" ht="21.75" hidden="false" customHeight="true" outlineLevel="0" collapsed="false">
      <c r="B428" s="54" t="n">
        <v>211</v>
      </c>
      <c r="C428" s="54"/>
      <c r="D428" s="55"/>
      <c r="E428" s="55"/>
      <c r="F428" s="55"/>
      <c r="G428" s="55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9"/>
      <c r="X428" s="59"/>
      <c r="Y428" s="59"/>
      <c r="Z428" s="59"/>
      <c r="AA428" s="59"/>
      <c r="AB428" s="59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6"/>
      <c r="AQ428" s="56"/>
      <c r="AR428" s="56"/>
      <c r="AS428" s="56"/>
      <c r="AT428" s="56"/>
      <c r="AU428" s="56"/>
      <c r="AV428" s="56"/>
      <c r="AW428" s="56"/>
      <c r="AX428" s="56"/>
      <c r="AY428" s="56"/>
      <c r="AZ428" s="56"/>
      <c r="BA428" s="56"/>
      <c r="BB428" s="56"/>
      <c r="BC428" s="56"/>
    </row>
    <row r="429" customFormat="false" ht="21.75" hidden="false" customHeight="true" outlineLevel="0" collapsed="false">
      <c r="B429" s="54" t="n">
        <v>212</v>
      </c>
      <c r="C429" s="54"/>
      <c r="D429" s="55"/>
      <c r="E429" s="55"/>
      <c r="F429" s="55"/>
      <c r="G429" s="55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9"/>
      <c r="X429" s="59"/>
      <c r="Y429" s="59"/>
      <c r="Z429" s="59"/>
      <c r="AA429" s="59"/>
      <c r="AB429" s="59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6"/>
      <c r="AQ429" s="56"/>
      <c r="AR429" s="56"/>
      <c r="AS429" s="56"/>
      <c r="AT429" s="56"/>
      <c r="AU429" s="56"/>
      <c r="AV429" s="56"/>
      <c r="AW429" s="56"/>
      <c r="AX429" s="56"/>
      <c r="AY429" s="56"/>
      <c r="AZ429" s="56"/>
      <c r="BA429" s="56"/>
      <c r="BB429" s="56"/>
      <c r="BC429" s="56"/>
    </row>
    <row r="430" customFormat="false" ht="21.75" hidden="false" customHeight="true" outlineLevel="0" collapsed="false">
      <c r="B430" s="54" t="n">
        <v>213</v>
      </c>
      <c r="C430" s="54"/>
      <c r="D430" s="55"/>
      <c r="E430" s="55"/>
      <c r="F430" s="55"/>
      <c r="G430" s="55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9"/>
      <c r="X430" s="59"/>
      <c r="Y430" s="59"/>
      <c r="Z430" s="59"/>
      <c r="AA430" s="59"/>
      <c r="AB430" s="59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/>
      <c r="BB430" s="56"/>
      <c r="BC430" s="56"/>
    </row>
    <row r="431" customFormat="false" ht="21.75" hidden="false" customHeight="true" outlineLevel="0" collapsed="false">
      <c r="B431" s="54" t="n">
        <v>214</v>
      </c>
      <c r="C431" s="54"/>
      <c r="D431" s="55"/>
      <c r="E431" s="55"/>
      <c r="F431" s="55"/>
      <c r="G431" s="55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9"/>
      <c r="X431" s="59"/>
      <c r="Y431" s="59"/>
      <c r="Z431" s="59"/>
      <c r="AA431" s="59"/>
      <c r="AB431" s="59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  <c r="AP431" s="56"/>
      <c r="AQ431" s="56"/>
      <c r="AR431" s="56"/>
      <c r="AS431" s="56"/>
      <c r="AT431" s="56"/>
      <c r="AU431" s="56"/>
      <c r="AV431" s="56"/>
      <c r="AW431" s="56"/>
      <c r="AX431" s="56"/>
      <c r="AY431" s="56"/>
      <c r="AZ431" s="56"/>
      <c r="BA431" s="56"/>
      <c r="BB431" s="56"/>
      <c r="BC431" s="56"/>
    </row>
    <row r="432" customFormat="false" ht="21.75" hidden="false" customHeight="true" outlineLevel="0" collapsed="false">
      <c r="B432" s="54" t="n">
        <v>215</v>
      </c>
      <c r="C432" s="54"/>
      <c r="D432" s="55"/>
      <c r="E432" s="55"/>
      <c r="F432" s="55"/>
      <c r="G432" s="55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9"/>
      <c r="X432" s="59"/>
      <c r="Y432" s="59"/>
      <c r="Z432" s="59"/>
      <c r="AA432" s="59"/>
      <c r="AB432" s="59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6"/>
      <c r="AQ432" s="56"/>
      <c r="AR432" s="56"/>
      <c r="AS432" s="56"/>
      <c r="AT432" s="56"/>
      <c r="AU432" s="56"/>
      <c r="AV432" s="56"/>
      <c r="AW432" s="56"/>
      <c r="AX432" s="56"/>
      <c r="AY432" s="56"/>
      <c r="AZ432" s="56"/>
      <c r="BA432" s="56"/>
      <c r="BB432" s="56"/>
      <c r="BC432" s="56"/>
    </row>
    <row r="433" customFormat="false" ht="21.75" hidden="false" customHeight="true" outlineLevel="0" collapsed="false">
      <c r="B433" s="54" t="n">
        <v>216</v>
      </c>
      <c r="C433" s="54"/>
      <c r="D433" s="55"/>
      <c r="E433" s="55"/>
      <c r="F433" s="55"/>
      <c r="G433" s="55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9"/>
      <c r="X433" s="59"/>
      <c r="Y433" s="59"/>
      <c r="Z433" s="59"/>
      <c r="AA433" s="59"/>
      <c r="AB433" s="59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6"/>
      <c r="AQ433" s="56"/>
      <c r="AR433" s="56"/>
      <c r="AS433" s="56"/>
      <c r="AT433" s="56"/>
      <c r="AU433" s="56"/>
      <c r="AV433" s="56"/>
      <c r="AW433" s="56"/>
      <c r="AX433" s="56"/>
      <c r="AY433" s="56"/>
      <c r="AZ433" s="56"/>
      <c r="BA433" s="56"/>
      <c r="BB433" s="56"/>
      <c r="BC433" s="56"/>
    </row>
    <row r="434" customFormat="false" ht="21.75" hidden="false" customHeight="true" outlineLevel="0" collapsed="false">
      <c r="B434" s="54" t="n">
        <v>217</v>
      </c>
      <c r="C434" s="54"/>
      <c r="D434" s="55"/>
      <c r="E434" s="55"/>
      <c r="F434" s="55"/>
      <c r="G434" s="55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9"/>
      <c r="X434" s="59"/>
      <c r="Y434" s="59"/>
      <c r="Z434" s="59"/>
      <c r="AA434" s="59"/>
      <c r="AB434" s="59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  <c r="AP434" s="56"/>
      <c r="AQ434" s="56"/>
      <c r="AR434" s="56"/>
      <c r="AS434" s="56"/>
      <c r="AT434" s="56"/>
      <c r="AU434" s="56"/>
      <c r="AV434" s="56"/>
      <c r="AW434" s="56"/>
      <c r="AX434" s="56"/>
      <c r="AY434" s="56"/>
      <c r="AZ434" s="56"/>
      <c r="BA434" s="56"/>
      <c r="BB434" s="56"/>
      <c r="BC434" s="56"/>
    </row>
    <row r="435" customFormat="false" ht="21.75" hidden="false" customHeight="true" outlineLevel="0" collapsed="false">
      <c r="B435" s="54" t="n">
        <v>218</v>
      </c>
      <c r="C435" s="54"/>
      <c r="D435" s="55"/>
      <c r="E435" s="55"/>
      <c r="F435" s="55"/>
      <c r="G435" s="55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9"/>
      <c r="X435" s="59"/>
      <c r="Y435" s="59"/>
      <c r="Z435" s="59"/>
      <c r="AA435" s="59"/>
      <c r="AB435" s="59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  <c r="AP435" s="56"/>
      <c r="AQ435" s="56"/>
      <c r="AR435" s="56"/>
      <c r="AS435" s="56"/>
      <c r="AT435" s="56"/>
      <c r="AU435" s="56"/>
      <c r="AV435" s="56"/>
      <c r="AW435" s="56"/>
      <c r="AX435" s="56"/>
      <c r="AY435" s="56"/>
      <c r="AZ435" s="56"/>
      <c r="BA435" s="56"/>
      <c r="BB435" s="56"/>
      <c r="BC435" s="56"/>
    </row>
    <row r="436" customFormat="false" ht="21.75" hidden="false" customHeight="true" outlineLevel="0" collapsed="false">
      <c r="B436" s="54" t="n">
        <v>219</v>
      </c>
      <c r="C436" s="54"/>
      <c r="D436" s="55"/>
      <c r="E436" s="55"/>
      <c r="F436" s="55"/>
      <c r="G436" s="55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9"/>
      <c r="X436" s="59"/>
      <c r="Y436" s="59"/>
      <c r="Z436" s="59"/>
      <c r="AA436" s="59"/>
      <c r="AB436" s="59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  <c r="AP436" s="56"/>
      <c r="AQ436" s="56"/>
      <c r="AR436" s="56"/>
      <c r="AS436" s="56"/>
      <c r="AT436" s="56"/>
      <c r="AU436" s="56"/>
      <c r="AV436" s="56"/>
      <c r="AW436" s="56"/>
      <c r="AX436" s="56"/>
      <c r="AY436" s="56"/>
      <c r="AZ436" s="56"/>
      <c r="BA436" s="56"/>
      <c r="BB436" s="56"/>
      <c r="BC436" s="56"/>
    </row>
    <row r="437" customFormat="false" ht="21.75" hidden="false" customHeight="true" outlineLevel="0" collapsed="false">
      <c r="B437" s="54" t="n">
        <v>220</v>
      </c>
      <c r="C437" s="54"/>
      <c r="D437" s="55"/>
      <c r="E437" s="55"/>
      <c r="F437" s="55"/>
      <c r="G437" s="55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9"/>
      <c r="X437" s="59"/>
      <c r="Y437" s="59"/>
      <c r="Z437" s="59"/>
      <c r="AA437" s="59"/>
      <c r="AB437" s="59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  <c r="AP437" s="56"/>
      <c r="AQ437" s="56"/>
      <c r="AR437" s="56"/>
      <c r="AS437" s="56"/>
      <c r="AT437" s="56"/>
      <c r="AU437" s="56"/>
      <c r="AV437" s="56"/>
      <c r="AW437" s="56"/>
      <c r="AX437" s="56"/>
      <c r="AY437" s="56"/>
      <c r="AZ437" s="56"/>
      <c r="BA437" s="56"/>
      <c r="BB437" s="56"/>
      <c r="BC437" s="56"/>
    </row>
    <row r="438" customFormat="false" ht="21.75" hidden="false" customHeight="true" outlineLevel="0" collapsed="false">
      <c r="B438" s="54" t="n">
        <v>221</v>
      </c>
      <c r="C438" s="54"/>
      <c r="D438" s="55"/>
      <c r="E438" s="55"/>
      <c r="F438" s="55"/>
      <c r="G438" s="55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9"/>
      <c r="X438" s="59"/>
      <c r="Y438" s="59"/>
      <c r="Z438" s="59"/>
      <c r="AA438" s="59"/>
      <c r="AB438" s="59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6"/>
      <c r="AQ438" s="56"/>
      <c r="AR438" s="56"/>
      <c r="AS438" s="56"/>
      <c r="AT438" s="56"/>
      <c r="AU438" s="56"/>
      <c r="AV438" s="56"/>
      <c r="AW438" s="56"/>
      <c r="AX438" s="56"/>
      <c r="AY438" s="56"/>
      <c r="AZ438" s="56"/>
      <c r="BA438" s="56"/>
      <c r="BB438" s="56"/>
      <c r="BC438" s="56"/>
    </row>
    <row r="439" customFormat="false" ht="21.75" hidden="false" customHeight="true" outlineLevel="0" collapsed="false">
      <c r="B439" s="54" t="n">
        <v>222</v>
      </c>
      <c r="C439" s="54"/>
      <c r="D439" s="55"/>
      <c r="E439" s="55"/>
      <c r="F439" s="55"/>
      <c r="G439" s="55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9"/>
      <c r="X439" s="59"/>
      <c r="Y439" s="59"/>
      <c r="Z439" s="59"/>
      <c r="AA439" s="59"/>
      <c r="AB439" s="59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6"/>
      <c r="AQ439" s="56"/>
      <c r="AR439" s="56"/>
      <c r="AS439" s="56"/>
      <c r="AT439" s="56"/>
      <c r="AU439" s="56"/>
      <c r="AV439" s="56"/>
      <c r="AW439" s="56"/>
      <c r="AX439" s="56"/>
      <c r="AY439" s="56"/>
      <c r="AZ439" s="56"/>
      <c r="BA439" s="56"/>
      <c r="BB439" s="56"/>
      <c r="BC439" s="56"/>
    </row>
    <row r="440" customFormat="false" ht="21.75" hidden="false" customHeight="true" outlineLevel="0" collapsed="false">
      <c r="B440" s="54" t="n">
        <v>223</v>
      </c>
      <c r="C440" s="54"/>
      <c r="D440" s="55"/>
      <c r="E440" s="55"/>
      <c r="F440" s="55"/>
      <c r="G440" s="55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9"/>
      <c r="X440" s="59"/>
      <c r="Y440" s="59"/>
      <c r="Z440" s="59"/>
      <c r="AA440" s="59"/>
      <c r="AB440" s="59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  <c r="AP440" s="56"/>
      <c r="AQ440" s="56"/>
      <c r="AR440" s="56"/>
      <c r="AS440" s="56"/>
      <c r="AT440" s="56"/>
      <c r="AU440" s="56"/>
      <c r="AV440" s="56"/>
      <c r="AW440" s="56"/>
      <c r="AX440" s="56"/>
      <c r="AY440" s="56"/>
      <c r="AZ440" s="56"/>
      <c r="BA440" s="56"/>
      <c r="BB440" s="56"/>
      <c r="BC440" s="56"/>
    </row>
    <row r="441" customFormat="false" ht="21.75" hidden="false" customHeight="true" outlineLevel="0" collapsed="false">
      <c r="B441" s="54" t="n">
        <v>224</v>
      </c>
      <c r="C441" s="54"/>
      <c r="D441" s="55"/>
      <c r="E441" s="55"/>
      <c r="F441" s="55"/>
      <c r="G441" s="55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9"/>
      <c r="X441" s="59"/>
      <c r="Y441" s="59"/>
      <c r="Z441" s="59"/>
      <c r="AA441" s="59"/>
      <c r="AB441" s="59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56"/>
      <c r="AQ441" s="56"/>
      <c r="AR441" s="56"/>
      <c r="AS441" s="56"/>
      <c r="AT441" s="56"/>
      <c r="AU441" s="56"/>
      <c r="AV441" s="56"/>
      <c r="AW441" s="56"/>
      <c r="AX441" s="56"/>
      <c r="AY441" s="56"/>
      <c r="AZ441" s="56"/>
      <c r="BA441" s="56"/>
      <c r="BB441" s="56"/>
      <c r="BC441" s="56"/>
    </row>
    <row r="442" customFormat="false" ht="21.75" hidden="false" customHeight="true" outlineLevel="0" collapsed="false">
      <c r="B442" s="54" t="n">
        <v>225</v>
      </c>
      <c r="C442" s="54"/>
      <c r="D442" s="55"/>
      <c r="E442" s="55"/>
      <c r="F442" s="55"/>
      <c r="G442" s="55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9"/>
      <c r="X442" s="59"/>
      <c r="Y442" s="59"/>
      <c r="Z442" s="59"/>
      <c r="AA442" s="59"/>
      <c r="AB442" s="59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56"/>
      <c r="AQ442" s="56"/>
      <c r="AR442" s="56"/>
      <c r="AS442" s="56"/>
      <c r="AT442" s="56"/>
      <c r="AU442" s="56"/>
      <c r="AV442" s="56"/>
      <c r="AW442" s="56"/>
      <c r="AX442" s="56"/>
      <c r="AY442" s="56"/>
      <c r="AZ442" s="56"/>
      <c r="BA442" s="56"/>
      <c r="BB442" s="56"/>
      <c r="BC442" s="56"/>
    </row>
    <row r="443" customFormat="false" ht="21.75" hidden="false" customHeight="true" outlineLevel="0" collapsed="false">
      <c r="B443" s="54" t="n">
        <v>226</v>
      </c>
      <c r="C443" s="54"/>
      <c r="D443" s="55"/>
      <c r="E443" s="55"/>
      <c r="F443" s="55"/>
      <c r="G443" s="55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9"/>
      <c r="X443" s="59"/>
      <c r="Y443" s="59"/>
      <c r="Z443" s="59"/>
      <c r="AA443" s="59"/>
      <c r="AB443" s="59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  <c r="AP443" s="56"/>
      <c r="AQ443" s="56"/>
      <c r="AR443" s="56"/>
      <c r="AS443" s="56"/>
      <c r="AT443" s="56"/>
      <c r="AU443" s="56"/>
      <c r="AV443" s="56"/>
      <c r="AW443" s="56"/>
      <c r="AX443" s="56"/>
      <c r="AY443" s="56"/>
      <c r="AZ443" s="56"/>
      <c r="BA443" s="56"/>
      <c r="BB443" s="56"/>
      <c r="BC443" s="56"/>
    </row>
    <row r="444" customFormat="false" ht="21.75" hidden="false" customHeight="true" outlineLevel="0" collapsed="false">
      <c r="B444" s="54" t="n">
        <v>227</v>
      </c>
      <c r="C444" s="54"/>
      <c r="D444" s="55"/>
      <c r="E444" s="55"/>
      <c r="F444" s="55"/>
      <c r="G444" s="55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9"/>
      <c r="X444" s="59"/>
      <c r="Y444" s="59"/>
      <c r="Z444" s="59"/>
      <c r="AA444" s="59"/>
      <c r="AB444" s="59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6"/>
      <c r="AQ444" s="56"/>
      <c r="AR444" s="56"/>
      <c r="AS444" s="56"/>
      <c r="AT444" s="56"/>
      <c r="AU444" s="56"/>
      <c r="AV444" s="56"/>
      <c r="AW444" s="56"/>
      <c r="AX444" s="56"/>
      <c r="AY444" s="56"/>
      <c r="AZ444" s="56"/>
      <c r="BA444" s="56"/>
      <c r="BB444" s="56"/>
      <c r="BC444" s="56"/>
    </row>
    <row r="445" customFormat="false" ht="21.75" hidden="false" customHeight="true" outlineLevel="0" collapsed="false">
      <c r="B445" s="54" t="n">
        <v>228</v>
      </c>
      <c r="C445" s="54"/>
      <c r="D445" s="55"/>
      <c r="E445" s="55"/>
      <c r="F445" s="55"/>
      <c r="G445" s="55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9"/>
      <c r="X445" s="59"/>
      <c r="Y445" s="59"/>
      <c r="Z445" s="59"/>
      <c r="AA445" s="59"/>
      <c r="AB445" s="59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6"/>
      <c r="AQ445" s="56"/>
      <c r="AR445" s="56"/>
      <c r="AS445" s="56"/>
      <c r="AT445" s="56"/>
      <c r="AU445" s="56"/>
      <c r="AV445" s="56"/>
      <c r="AW445" s="56"/>
      <c r="AX445" s="56"/>
      <c r="AY445" s="56"/>
      <c r="AZ445" s="56"/>
      <c r="BA445" s="56"/>
      <c r="BB445" s="56"/>
      <c r="BC445" s="56"/>
    </row>
    <row r="446" customFormat="false" ht="21.75" hidden="false" customHeight="true" outlineLevel="0" collapsed="false">
      <c r="B446" s="54" t="n">
        <v>229</v>
      </c>
      <c r="C446" s="54"/>
      <c r="D446" s="55"/>
      <c r="E446" s="55"/>
      <c r="F446" s="55"/>
      <c r="G446" s="55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9"/>
      <c r="X446" s="59"/>
      <c r="Y446" s="59"/>
      <c r="Z446" s="59"/>
      <c r="AA446" s="59"/>
      <c r="AB446" s="59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6"/>
      <c r="AP446" s="56"/>
      <c r="AQ446" s="56"/>
      <c r="AR446" s="56"/>
      <c r="AS446" s="56"/>
      <c r="AT446" s="56"/>
      <c r="AU446" s="56"/>
      <c r="AV446" s="56"/>
      <c r="AW446" s="56"/>
      <c r="AX446" s="56"/>
      <c r="AY446" s="56"/>
      <c r="AZ446" s="56"/>
      <c r="BA446" s="56"/>
      <c r="BB446" s="56"/>
      <c r="BC446" s="56"/>
    </row>
    <row r="447" customFormat="false" ht="21.75" hidden="false" customHeight="true" outlineLevel="0" collapsed="false">
      <c r="B447" s="54" t="n">
        <v>230</v>
      </c>
      <c r="C447" s="54"/>
      <c r="D447" s="55"/>
      <c r="E447" s="55"/>
      <c r="F447" s="55"/>
      <c r="G447" s="55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9"/>
      <c r="X447" s="59"/>
      <c r="Y447" s="59"/>
      <c r="Z447" s="59"/>
      <c r="AA447" s="59"/>
      <c r="AB447" s="59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6"/>
      <c r="AQ447" s="56"/>
      <c r="AR447" s="56"/>
      <c r="AS447" s="56"/>
      <c r="AT447" s="56"/>
      <c r="AU447" s="56"/>
      <c r="AV447" s="56"/>
      <c r="AW447" s="56"/>
      <c r="AX447" s="56"/>
      <c r="AY447" s="56"/>
      <c r="AZ447" s="56"/>
      <c r="BA447" s="56"/>
      <c r="BB447" s="56"/>
      <c r="BC447" s="56"/>
    </row>
    <row r="448" customFormat="false" ht="21.75" hidden="false" customHeight="true" outlineLevel="0" collapsed="false">
      <c r="B448" s="54" t="n">
        <v>231</v>
      </c>
      <c r="C448" s="54"/>
      <c r="D448" s="55"/>
      <c r="E448" s="55"/>
      <c r="F448" s="55"/>
      <c r="G448" s="55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9"/>
      <c r="X448" s="59"/>
      <c r="Y448" s="59"/>
      <c r="Z448" s="59"/>
      <c r="AA448" s="59"/>
      <c r="AB448" s="59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  <c r="AP448" s="56"/>
      <c r="AQ448" s="56"/>
      <c r="AR448" s="56"/>
      <c r="AS448" s="56"/>
      <c r="AT448" s="56"/>
      <c r="AU448" s="56"/>
      <c r="AV448" s="56"/>
      <c r="AW448" s="56"/>
      <c r="AX448" s="56"/>
      <c r="AY448" s="56"/>
      <c r="AZ448" s="56"/>
      <c r="BA448" s="56"/>
      <c r="BB448" s="56"/>
      <c r="BC448" s="56"/>
    </row>
    <row r="449" customFormat="false" ht="21.75" hidden="false" customHeight="true" outlineLevel="0" collapsed="false">
      <c r="B449" s="54" t="n">
        <v>232</v>
      </c>
      <c r="C449" s="54"/>
      <c r="D449" s="55"/>
      <c r="E449" s="55"/>
      <c r="F449" s="55"/>
      <c r="G449" s="55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9"/>
      <c r="X449" s="59"/>
      <c r="Y449" s="59"/>
      <c r="Z449" s="59"/>
      <c r="AA449" s="59"/>
      <c r="AB449" s="59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  <c r="AP449" s="56"/>
      <c r="AQ449" s="56"/>
      <c r="AR449" s="56"/>
      <c r="AS449" s="56"/>
      <c r="AT449" s="56"/>
      <c r="AU449" s="56"/>
      <c r="AV449" s="56"/>
      <c r="AW449" s="56"/>
      <c r="AX449" s="56"/>
      <c r="AY449" s="56"/>
      <c r="AZ449" s="56"/>
      <c r="BA449" s="56"/>
      <c r="BB449" s="56"/>
      <c r="BC449" s="56"/>
    </row>
    <row r="450" customFormat="false" ht="21.75" hidden="false" customHeight="true" outlineLevel="0" collapsed="false">
      <c r="B450" s="54" t="n">
        <v>233</v>
      </c>
      <c r="C450" s="54"/>
      <c r="D450" s="55"/>
      <c r="E450" s="55"/>
      <c r="F450" s="55"/>
      <c r="G450" s="55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9"/>
      <c r="X450" s="59"/>
      <c r="Y450" s="59"/>
      <c r="Z450" s="59"/>
      <c r="AA450" s="59"/>
      <c r="AB450" s="59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  <c r="AO450" s="56"/>
      <c r="AP450" s="56"/>
      <c r="AQ450" s="56"/>
      <c r="AR450" s="56"/>
      <c r="AS450" s="56"/>
      <c r="AT450" s="56"/>
      <c r="AU450" s="56"/>
      <c r="AV450" s="56"/>
      <c r="AW450" s="56"/>
      <c r="AX450" s="56"/>
      <c r="AY450" s="56"/>
      <c r="AZ450" s="56"/>
      <c r="BA450" s="56"/>
      <c r="BB450" s="56"/>
      <c r="BC450" s="56"/>
    </row>
    <row r="451" customFormat="false" ht="21.75" hidden="false" customHeight="true" outlineLevel="0" collapsed="false">
      <c r="B451" s="54" t="n">
        <v>234</v>
      </c>
      <c r="C451" s="54"/>
      <c r="D451" s="55"/>
      <c r="E451" s="55"/>
      <c r="F451" s="55"/>
      <c r="G451" s="55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9"/>
      <c r="X451" s="59"/>
      <c r="Y451" s="59"/>
      <c r="Z451" s="59"/>
      <c r="AA451" s="59"/>
      <c r="AB451" s="59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6"/>
      <c r="AQ451" s="56"/>
      <c r="AR451" s="56"/>
      <c r="AS451" s="56"/>
      <c r="AT451" s="56"/>
      <c r="AU451" s="56"/>
      <c r="AV451" s="56"/>
      <c r="AW451" s="56"/>
      <c r="AX451" s="56"/>
      <c r="AY451" s="56"/>
      <c r="AZ451" s="56"/>
      <c r="BA451" s="56"/>
      <c r="BB451" s="56"/>
      <c r="BC451" s="56"/>
    </row>
    <row r="452" customFormat="false" ht="21.75" hidden="false" customHeight="true" outlineLevel="0" collapsed="false">
      <c r="B452" s="54" t="n">
        <v>235</v>
      </c>
      <c r="C452" s="54"/>
      <c r="D452" s="55"/>
      <c r="E452" s="55"/>
      <c r="F452" s="55"/>
      <c r="G452" s="55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9"/>
      <c r="X452" s="59"/>
      <c r="Y452" s="59"/>
      <c r="Z452" s="59"/>
      <c r="AA452" s="59"/>
      <c r="AB452" s="59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6"/>
      <c r="AQ452" s="56"/>
      <c r="AR452" s="56"/>
      <c r="AS452" s="56"/>
      <c r="AT452" s="56"/>
      <c r="AU452" s="56"/>
      <c r="AV452" s="56"/>
      <c r="AW452" s="56"/>
      <c r="AX452" s="56"/>
      <c r="AY452" s="56"/>
      <c r="AZ452" s="56"/>
      <c r="BA452" s="56"/>
      <c r="BB452" s="56"/>
      <c r="BC452" s="56"/>
    </row>
    <row r="453" customFormat="false" ht="21.75" hidden="false" customHeight="true" outlineLevel="0" collapsed="false">
      <c r="B453" s="54" t="n">
        <v>236</v>
      </c>
      <c r="C453" s="54"/>
      <c r="D453" s="55"/>
      <c r="E453" s="55"/>
      <c r="F453" s="55"/>
      <c r="G453" s="55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9"/>
      <c r="X453" s="59"/>
      <c r="Y453" s="59"/>
      <c r="Z453" s="59"/>
      <c r="AA453" s="59"/>
      <c r="AB453" s="59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6"/>
      <c r="AQ453" s="56"/>
      <c r="AR453" s="56"/>
      <c r="AS453" s="56"/>
      <c r="AT453" s="56"/>
      <c r="AU453" s="56"/>
      <c r="AV453" s="56"/>
      <c r="AW453" s="56"/>
      <c r="AX453" s="56"/>
      <c r="AY453" s="56"/>
      <c r="AZ453" s="56"/>
      <c r="BA453" s="56"/>
      <c r="BB453" s="56"/>
      <c r="BC453" s="56"/>
    </row>
    <row r="454" customFormat="false" ht="21.75" hidden="false" customHeight="true" outlineLevel="0" collapsed="false">
      <c r="B454" s="54" t="n">
        <v>237</v>
      </c>
      <c r="C454" s="54"/>
      <c r="D454" s="55"/>
      <c r="E454" s="55"/>
      <c r="F454" s="55"/>
      <c r="G454" s="55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9"/>
      <c r="X454" s="59"/>
      <c r="Y454" s="59"/>
      <c r="Z454" s="59"/>
      <c r="AA454" s="59"/>
      <c r="AB454" s="59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6"/>
      <c r="AQ454" s="56"/>
      <c r="AR454" s="56"/>
      <c r="AS454" s="56"/>
      <c r="AT454" s="56"/>
      <c r="AU454" s="56"/>
      <c r="AV454" s="56"/>
      <c r="AW454" s="56"/>
      <c r="AX454" s="56"/>
      <c r="AY454" s="56"/>
      <c r="AZ454" s="56"/>
      <c r="BA454" s="56"/>
      <c r="BB454" s="56"/>
      <c r="BC454" s="56"/>
    </row>
    <row r="455" customFormat="false" ht="21.75" hidden="false" customHeight="true" outlineLevel="0" collapsed="false">
      <c r="B455" s="54" t="n">
        <v>238</v>
      </c>
      <c r="C455" s="54"/>
      <c r="D455" s="55"/>
      <c r="E455" s="55"/>
      <c r="F455" s="55"/>
      <c r="G455" s="55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9"/>
      <c r="X455" s="59"/>
      <c r="Y455" s="59"/>
      <c r="Z455" s="59"/>
      <c r="AA455" s="59"/>
      <c r="AB455" s="59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6"/>
      <c r="AQ455" s="56"/>
      <c r="AR455" s="56"/>
      <c r="AS455" s="56"/>
      <c r="AT455" s="56"/>
      <c r="AU455" s="56"/>
      <c r="AV455" s="56"/>
      <c r="AW455" s="56"/>
      <c r="AX455" s="56"/>
      <c r="AY455" s="56"/>
      <c r="AZ455" s="56"/>
      <c r="BA455" s="56"/>
      <c r="BB455" s="56"/>
      <c r="BC455" s="56"/>
    </row>
    <row r="456" customFormat="false" ht="21.75" hidden="false" customHeight="true" outlineLevel="0" collapsed="false">
      <c r="B456" s="54" t="n">
        <v>239</v>
      </c>
      <c r="C456" s="54"/>
      <c r="D456" s="55"/>
      <c r="E456" s="55"/>
      <c r="F456" s="55"/>
      <c r="G456" s="55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9"/>
      <c r="X456" s="59"/>
      <c r="Y456" s="59"/>
      <c r="Z456" s="59"/>
      <c r="AA456" s="59"/>
      <c r="AB456" s="59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6"/>
      <c r="AQ456" s="56"/>
      <c r="AR456" s="56"/>
      <c r="AS456" s="56"/>
      <c r="AT456" s="56"/>
      <c r="AU456" s="56"/>
      <c r="AV456" s="56"/>
      <c r="AW456" s="56"/>
      <c r="AX456" s="56"/>
      <c r="AY456" s="56"/>
      <c r="AZ456" s="56"/>
      <c r="BA456" s="56"/>
      <c r="BB456" s="56"/>
      <c r="BC456" s="56"/>
    </row>
    <row r="457" customFormat="false" ht="21.75" hidden="false" customHeight="true" outlineLevel="0" collapsed="false">
      <c r="B457" s="54" t="n">
        <v>240</v>
      </c>
      <c r="C457" s="54"/>
      <c r="D457" s="55"/>
      <c r="E457" s="55"/>
      <c r="F457" s="55"/>
      <c r="G457" s="55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9"/>
      <c r="X457" s="59"/>
      <c r="Y457" s="59"/>
      <c r="Z457" s="59"/>
      <c r="AA457" s="59"/>
      <c r="AB457" s="59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6"/>
      <c r="AQ457" s="56"/>
      <c r="AR457" s="56"/>
      <c r="AS457" s="56"/>
      <c r="AT457" s="56"/>
      <c r="AU457" s="56"/>
      <c r="AV457" s="56"/>
      <c r="AW457" s="56"/>
      <c r="AX457" s="56"/>
      <c r="AY457" s="56"/>
      <c r="AZ457" s="56"/>
      <c r="BA457" s="56"/>
      <c r="BB457" s="56"/>
      <c r="BC457" s="56"/>
    </row>
    <row r="458" customFormat="false" ht="21.75" hidden="false" customHeight="true" outlineLevel="0" collapsed="false">
      <c r="B458" s="54" t="n">
        <v>241</v>
      </c>
      <c r="C458" s="54"/>
      <c r="D458" s="55"/>
      <c r="E458" s="55"/>
      <c r="F458" s="55"/>
      <c r="G458" s="55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9"/>
      <c r="X458" s="59"/>
      <c r="Y458" s="59"/>
      <c r="Z458" s="59"/>
      <c r="AA458" s="59"/>
      <c r="AB458" s="59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6"/>
      <c r="AQ458" s="56"/>
      <c r="AR458" s="56"/>
      <c r="AS458" s="56"/>
      <c r="AT458" s="56"/>
      <c r="AU458" s="56"/>
      <c r="AV458" s="56"/>
      <c r="AW458" s="56"/>
      <c r="AX458" s="56"/>
      <c r="AY458" s="56"/>
      <c r="AZ458" s="56"/>
      <c r="BA458" s="56"/>
      <c r="BB458" s="56"/>
      <c r="BC458" s="56"/>
    </row>
    <row r="459" customFormat="false" ht="21.75" hidden="false" customHeight="true" outlineLevel="0" collapsed="false">
      <c r="B459" s="54" t="n">
        <v>242</v>
      </c>
      <c r="C459" s="54"/>
      <c r="D459" s="55"/>
      <c r="E459" s="55"/>
      <c r="F459" s="55"/>
      <c r="G459" s="55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9"/>
      <c r="X459" s="59"/>
      <c r="Y459" s="59"/>
      <c r="Z459" s="59"/>
      <c r="AA459" s="59"/>
      <c r="AB459" s="59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6"/>
      <c r="AQ459" s="56"/>
      <c r="AR459" s="56"/>
      <c r="AS459" s="56"/>
      <c r="AT459" s="56"/>
      <c r="AU459" s="56"/>
      <c r="AV459" s="56"/>
      <c r="AW459" s="56"/>
      <c r="AX459" s="56"/>
      <c r="AY459" s="56"/>
      <c r="AZ459" s="56"/>
      <c r="BA459" s="56"/>
      <c r="BB459" s="56"/>
      <c r="BC459" s="56"/>
    </row>
    <row r="460" customFormat="false" ht="21.75" hidden="false" customHeight="true" outlineLevel="0" collapsed="false">
      <c r="B460" s="54" t="n">
        <v>243</v>
      </c>
      <c r="C460" s="54"/>
      <c r="D460" s="55"/>
      <c r="E460" s="55"/>
      <c r="F460" s="55"/>
      <c r="G460" s="55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9"/>
      <c r="X460" s="59"/>
      <c r="Y460" s="59"/>
      <c r="Z460" s="59"/>
      <c r="AA460" s="59"/>
      <c r="AB460" s="59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  <c r="AP460" s="56"/>
      <c r="AQ460" s="56"/>
      <c r="AR460" s="56"/>
      <c r="AS460" s="56"/>
      <c r="AT460" s="56"/>
      <c r="AU460" s="56"/>
      <c r="AV460" s="56"/>
      <c r="AW460" s="56"/>
      <c r="AX460" s="56"/>
      <c r="AY460" s="56"/>
      <c r="AZ460" s="56"/>
      <c r="BA460" s="56"/>
      <c r="BB460" s="56"/>
      <c r="BC460" s="56"/>
    </row>
    <row r="461" customFormat="false" ht="21.75" hidden="false" customHeight="true" outlineLevel="0" collapsed="false">
      <c r="B461" s="54" t="n">
        <v>244</v>
      </c>
      <c r="C461" s="54"/>
      <c r="D461" s="55"/>
      <c r="E461" s="55"/>
      <c r="F461" s="55"/>
      <c r="G461" s="55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9"/>
      <c r="X461" s="59"/>
      <c r="Y461" s="59"/>
      <c r="Z461" s="59"/>
      <c r="AA461" s="59"/>
      <c r="AB461" s="59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6"/>
      <c r="AQ461" s="56"/>
      <c r="AR461" s="56"/>
      <c r="AS461" s="56"/>
      <c r="AT461" s="56"/>
      <c r="AU461" s="56"/>
      <c r="AV461" s="56"/>
      <c r="AW461" s="56"/>
      <c r="AX461" s="56"/>
      <c r="AY461" s="56"/>
      <c r="AZ461" s="56"/>
      <c r="BA461" s="56"/>
      <c r="BB461" s="56"/>
      <c r="BC461" s="56"/>
    </row>
    <row r="462" customFormat="false" ht="21.75" hidden="false" customHeight="true" outlineLevel="0" collapsed="false">
      <c r="B462" s="54" t="n">
        <v>245</v>
      </c>
      <c r="C462" s="54"/>
      <c r="D462" s="55"/>
      <c r="E462" s="55"/>
      <c r="F462" s="55"/>
      <c r="G462" s="55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9"/>
      <c r="X462" s="59"/>
      <c r="Y462" s="59"/>
      <c r="Z462" s="59"/>
      <c r="AA462" s="59"/>
      <c r="AB462" s="59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6"/>
      <c r="AQ462" s="56"/>
      <c r="AR462" s="56"/>
      <c r="AS462" s="56"/>
      <c r="AT462" s="56"/>
      <c r="AU462" s="56"/>
      <c r="AV462" s="56"/>
      <c r="AW462" s="56"/>
      <c r="AX462" s="56"/>
      <c r="AY462" s="56"/>
      <c r="AZ462" s="56"/>
      <c r="BA462" s="56"/>
      <c r="BB462" s="56"/>
      <c r="BC462" s="56"/>
    </row>
    <row r="463" customFormat="false" ht="21.75" hidden="false" customHeight="true" outlineLevel="0" collapsed="false">
      <c r="B463" s="54" t="n">
        <v>246</v>
      </c>
      <c r="C463" s="54"/>
      <c r="D463" s="55"/>
      <c r="E463" s="55"/>
      <c r="F463" s="55"/>
      <c r="G463" s="55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9"/>
      <c r="X463" s="59"/>
      <c r="Y463" s="59"/>
      <c r="Z463" s="59"/>
      <c r="AA463" s="59"/>
      <c r="AB463" s="59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6"/>
      <c r="AQ463" s="56"/>
      <c r="AR463" s="56"/>
      <c r="AS463" s="56"/>
      <c r="AT463" s="56"/>
      <c r="AU463" s="56"/>
      <c r="AV463" s="56"/>
      <c r="AW463" s="56"/>
      <c r="AX463" s="56"/>
      <c r="AY463" s="56"/>
      <c r="AZ463" s="56"/>
      <c r="BA463" s="56"/>
      <c r="BB463" s="56"/>
      <c r="BC463" s="56"/>
    </row>
    <row r="464" customFormat="false" ht="21.75" hidden="false" customHeight="true" outlineLevel="0" collapsed="false">
      <c r="B464" s="54" t="n">
        <v>247</v>
      </c>
      <c r="C464" s="54"/>
      <c r="D464" s="55"/>
      <c r="E464" s="55"/>
      <c r="F464" s="55"/>
      <c r="G464" s="55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9"/>
      <c r="X464" s="59"/>
      <c r="Y464" s="59"/>
      <c r="Z464" s="59"/>
      <c r="AA464" s="59"/>
      <c r="AB464" s="59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6"/>
      <c r="AQ464" s="56"/>
      <c r="AR464" s="56"/>
      <c r="AS464" s="56"/>
      <c r="AT464" s="56"/>
      <c r="AU464" s="56"/>
      <c r="AV464" s="56"/>
      <c r="AW464" s="56"/>
      <c r="AX464" s="56"/>
      <c r="AY464" s="56"/>
      <c r="AZ464" s="56"/>
      <c r="BA464" s="56"/>
      <c r="BB464" s="56"/>
      <c r="BC464" s="56"/>
    </row>
    <row r="465" customFormat="false" ht="21.75" hidden="false" customHeight="true" outlineLevel="0" collapsed="false">
      <c r="B465" s="54" t="n">
        <v>248</v>
      </c>
      <c r="C465" s="54"/>
      <c r="D465" s="55"/>
      <c r="E465" s="55"/>
      <c r="F465" s="55"/>
      <c r="G465" s="55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9"/>
      <c r="X465" s="59"/>
      <c r="Y465" s="59"/>
      <c r="Z465" s="59"/>
      <c r="AA465" s="59"/>
      <c r="AB465" s="59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6"/>
      <c r="AQ465" s="56"/>
      <c r="AR465" s="56"/>
      <c r="AS465" s="56"/>
      <c r="AT465" s="56"/>
      <c r="AU465" s="56"/>
      <c r="AV465" s="56"/>
      <c r="AW465" s="56"/>
      <c r="AX465" s="56"/>
      <c r="AY465" s="56"/>
      <c r="AZ465" s="56"/>
      <c r="BA465" s="56"/>
      <c r="BB465" s="56"/>
      <c r="BC465" s="56"/>
    </row>
    <row r="466" customFormat="false" ht="21.75" hidden="false" customHeight="true" outlineLevel="0" collapsed="false">
      <c r="B466" s="54" t="n">
        <v>249</v>
      </c>
      <c r="C466" s="54"/>
      <c r="D466" s="55"/>
      <c r="E466" s="55"/>
      <c r="F466" s="55"/>
      <c r="G466" s="55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9"/>
      <c r="X466" s="59"/>
      <c r="Y466" s="59"/>
      <c r="Z466" s="59"/>
      <c r="AA466" s="59"/>
      <c r="AB466" s="59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56"/>
      <c r="AQ466" s="56"/>
      <c r="AR466" s="56"/>
      <c r="AS466" s="56"/>
      <c r="AT466" s="56"/>
      <c r="AU466" s="56"/>
      <c r="AV466" s="56"/>
      <c r="AW466" s="56"/>
      <c r="AX466" s="56"/>
      <c r="AY466" s="56"/>
      <c r="AZ466" s="56"/>
      <c r="BA466" s="56"/>
      <c r="BB466" s="56"/>
      <c r="BC466" s="56"/>
    </row>
    <row r="467" customFormat="false" ht="21.75" hidden="false" customHeight="true" outlineLevel="0" collapsed="false">
      <c r="B467" s="54" t="n">
        <v>250</v>
      </c>
      <c r="C467" s="54"/>
      <c r="D467" s="55"/>
      <c r="E467" s="55"/>
      <c r="F467" s="55"/>
      <c r="G467" s="55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9"/>
      <c r="X467" s="59"/>
      <c r="Y467" s="59"/>
      <c r="Z467" s="59"/>
      <c r="AA467" s="59"/>
      <c r="AB467" s="59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56"/>
      <c r="AR467" s="56"/>
      <c r="AS467" s="56"/>
      <c r="AT467" s="56"/>
      <c r="AU467" s="56"/>
      <c r="AV467" s="56"/>
      <c r="AW467" s="56"/>
      <c r="AX467" s="56"/>
      <c r="AY467" s="56"/>
      <c r="AZ467" s="56"/>
      <c r="BA467" s="56"/>
      <c r="BB467" s="56"/>
      <c r="BC467" s="56"/>
    </row>
    <row r="468" customFormat="false" ht="24" hidden="false" customHeight="true" outlineLevel="0" collapsed="false">
      <c r="B468" s="57" t="s">
        <v>78</v>
      </c>
      <c r="C468" s="57"/>
      <c r="E468" s="58" t="s">
        <v>95</v>
      </c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  <c r="AJ468" s="58"/>
      <c r="AK468" s="58"/>
      <c r="AL468" s="58"/>
      <c r="AM468" s="58"/>
      <c r="AN468" s="58"/>
      <c r="AO468" s="58"/>
      <c r="AP468" s="58"/>
      <c r="AQ468" s="58"/>
      <c r="AR468" s="58"/>
      <c r="AS468" s="58"/>
      <c r="AT468" s="58"/>
      <c r="AU468" s="58"/>
      <c r="AV468" s="58"/>
      <c r="AW468" s="58"/>
      <c r="AX468" s="58"/>
      <c r="AY468" s="58"/>
      <c r="AZ468" s="58"/>
      <c r="BA468" s="58"/>
      <c r="BB468" s="58"/>
      <c r="BC468" s="58"/>
    </row>
    <row r="469" customFormat="false" ht="12" hidden="false" customHeight="true" outlineLevel="0" collapsed="false"/>
    <row r="470" customFormat="false" ht="21.75" hidden="false" customHeight="true" outlineLevel="0" collapsed="false">
      <c r="B470" s="6"/>
      <c r="C470" s="37" t="s">
        <v>96</v>
      </c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  <c r="AG470" s="37"/>
      <c r="AH470" s="37"/>
      <c r="AI470" s="37"/>
      <c r="AJ470" s="37"/>
      <c r="AK470" s="37"/>
      <c r="AL470" s="38" t="s">
        <v>97</v>
      </c>
      <c r="AM470" s="38"/>
      <c r="AN470" s="38"/>
      <c r="AO470" s="38"/>
      <c r="AP470" s="38"/>
      <c r="AQ470" s="38"/>
      <c r="AR470" s="38"/>
      <c r="AS470" s="38"/>
      <c r="AT470" s="38"/>
      <c r="AU470" s="38"/>
      <c r="AV470" s="38"/>
      <c r="AW470" s="38"/>
      <c r="AX470" s="38"/>
      <c r="AY470" s="38"/>
      <c r="AZ470" s="38"/>
      <c r="BA470" s="38"/>
      <c r="BB470" s="38"/>
      <c r="BC470" s="38"/>
    </row>
    <row r="471" customFormat="false" ht="27.75" hidden="false" customHeight="true" outlineLevel="0" collapsed="false">
      <c r="B471" s="52" t="s">
        <v>71</v>
      </c>
      <c r="C471" s="52"/>
      <c r="D471" s="53" t="s">
        <v>4</v>
      </c>
      <c r="E471" s="53"/>
      <c r="F471" s="53"/>
      <c r="G471" s="53"/>
      <c r="H471" s="53" t="s">
        <v>74</v>
      </c>
      <c r="I471" s="53"/>
      <c r="J471" s="53"/>
      <c r="K471" s="53"/>
      <c r="L471" s="53"/>
      <c r="M471" s="53"/>
      <c r="N471" s="53"/>
      <c r="O471" s="53"/>
      <c r="P471" s="53" t="s">
        <v>73</v>
      </c>
      <c r="Q471" s="53"/>
      <c r="R471" s="53"/>
      <c r="S471" s="53"/>
      <c r="T471" s="53"/>
      <c r="U471" s="53"/>
      <c r="V471" s="53"/>
      <c r="W471" s="53" t="s">
        <v>98</v>
      </c>
      <c r="X471" s="53"/>
      <c r="Y471" s="53"/>
      <c r="Z471" s="53"/>
      <c r="AA471" s="53"/>
      <c r="AB471" s="53"/>
      <c r="AC471" s="53" t="s">
        <v>92</v>
      </c>
      <c r="AD471" s="53"/>
      <c r="AE471" s="53"/>
      <c r="AF471" s="53"/>
      <c r="AG471" s="53" t="s">
        <v>93</v>
      </c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</row>
    <row r="472" customFormat="false" ht="21.75" hidden="false" customHeight="true" outlineLevel="0" collapsed="false">
      <c r="B472" s="54" t="n">
        <v>1</v>
      </c>
      <c r="C472" s="54"/>
      <c r="D472" s="55"/>
      <c r="E472" s="55"/>
      <c r="F472" s="55"/>
      <c r="G472" s="55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9"/>
      <c r="X472" s="59"/>
      <c r="Y472" s="59"/>
      <c r="Z472" s="59"/>
      <c r="AA472" s="59"/>
      <c r="AB472" s="59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6"/>
      <c r="AQ472" s="56"/>
      <c r="AR472" s="56"/>
      <c r="AS472" s="56"/>
      <c r="AT472" s="56"/>
      <c r="AU472" s="56"/>
      <c r="AV472" s="56"/>
      <c r="AW472" s="56"/>
      <c r="AX472" s="56"/>
      <c r="AY472" s="56"/>
      <c r="AZ472" s="56"/>
      <c r="BA472" s="56"/>
      <c r="BB472" s="56"/>
      <c r="BC472" s="56"/>
    </row>
    <row r="473" customFormat="false" ht="21.75" hidden="false" customHeight="true" outlineLevel="0" collapsed="false">
      <c r="B473" s="54" t="n">
        <v>2</v>
      </c>
      <c r="C473" s="54"/>
      <c r="D473" s="55"/>
      <c r="E473" s="55"/>
      <c r="F473" s="55"/>
      <c r="G473" s="55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9"/>
      <c r="X473" s="59"/>
      <c r="Y473" s="59"/>
      <c r="Z473" s="59"/>
      <c r="AA473" s="59"/>
      <c r="AB473" s="59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6"/>
      <c r="AQ473" s="56"/>
      <c r="AR473" s="56"/>
      <c r="AS473" s="56"/>
      <c r="AT473" s="56"/>
      <c r="AU473" s="56"/>
      <c r="AV473" s="56"/>
      <c r="AW473" s="56"/>
      <c r="AX473" s="56"/>
      <c r="AY473" s="56"/>
      <c r="AZ473" s="56"/>
      <c r="BA473" s="56"/>
      <c r="BB473" s="56"/>
      <c r="BC473" s="56"/>
    </row>
    <row r="474" customFormat="false" ht="21.75" hidden="false" customHeight="true" outlineLevel="0" collapsed="false">
      <c r="B474" s="54" t="n">
        <v>3</v>
      </c>
      <c r="C474" s="54"/>
      <c r="D474" s="55"/>
      <c r="E474" s="55"/>
      <c r="F474" s="55"/>
      <c r="G474" s="55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9"/>
      <c r="X474" s="59"/>
      <c r="Y474" s="59"/>
      <c r="Z474" s="59"/>
      <c r="AA474" s="59"/>
      <c r="AB474" s="59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6"/>
      <c r="AQ474" s="56"/>
      <c r="AR474" s="56"/>
      <c r="AS474" s="56"/>
      <c r="AT474" s="56"/>
      <c r="AU474" s="56"/>
      <c r="AV474" s="56"/>
      <c r="AW474" s="56"/>
      <c r="AX474" s="56"/>
      <c r="AY474" s="56"/>
      <c r="AZ474" s="56"/>
      <c r="BA474" s="56"/>
      <c r="BB474" s="56"/>
      <c r="BC474" s="56"/>
    </row>
    <row r="475" customFormat="false" ht="21.75" hidden="false" customHeight="true" outlineLevel="0" collapsed="false">
      <c r="B475" s="54" t="n">
        <v>4</v>
      </c>
      <c r="C475" s="54"/>
      <c r="D475" s="55"/>
      <c r="E475" s="55"/>
      <c r="F475" s="55"/>
      <c r="G475" s="55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9"/>
      <c r="X475" s="59"/>
      <c r="Y475" s="59"/>
      <c r="Z475" s="59"/>
      <c r="AA475" s="59"/>
      <c r="AB475" s="59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6"/>
      <c r="AR475" s="56"/>
      <c r="AS475" s="56"/>
      <c r="AT475" s="56"/>
      <c r="AU475" s="56"/>
      <c r="AV475" s="56"/>
      <c r="AW475" s="56"/>
      <c r="AX475" s="56"/>
      <c r="AY475" s="56"/>
      <c r="AZ475" s="56"/>
      <c r="BA475" s="56"/>
      <c r="BB475" s="56"/>
      <c r="BC475" s="56"/>
    </row>
    <row r="476" customFormat="false" ht="21.75" hidden="false" customHeight="true" outlineLevel="0" collapsed="false">
      <c r="B476" s="54" t="n">
        <v>5</v>
      </c>
      <c r="C476" s="54"/>
      <c r="D476" s="55"/>
      <c r="E476" s="55"/>
      <c r="F476" s="55"/>
      <c r="G476" s="55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9"/>
      <c r="X476" s="59"/>
      <c r="Y476" s="59"/>
      <c r="Z476" s="59"/>
      <c r="AA476" s="59"/>
      <c r="AB476" s="59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6"/>
      <c r="AQ476" s="56"/>
      <c r="AR476" s="56"/>
      <c r="AS476" s="56"/>
      <c r="AT476" s="56"/>
      <c r="AU476" s="56"/>
      <c r="AV476" s="56"/>
      <c r="AW476" s="56"/>
      <c r="AX476" s="56"/>
      <c r="AY476" s="56"/>
      <c r="AZ476" s="56"/>
      <c r="BA476" s="56"/>
      <c r="BB476" s="56"/>
      <c r="BC476" s="56"/>
    </row>
    <row r="477" customFormat="false" ht="21.75" hidden="false" customHeight="true" outlineLevel="0" collapsed="false">
      <c r="B477" s="54" t="n">
        <v>6</v>
      </c>
      <c r="C477" s="54"/>
      <c r="D477" s="55"/>
      <c r="E477" s="55"/>
      <c r="F477" s="55"/>
      <c r="G477" s="55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9"/>
      <c r="X477" s="59"/>
      <c r="Y477" s="59"/>
      <c r="Z477" s="59"/>
      <c r="AA477" s="59"/>
      <c r="AB477" s="59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6"/>
      <c r="AP477" s="56"/>
      <c r="AQ477" s="56"/>
      <c r="AR477" s="56"/>
      <c r="AS477" s="56"/>
      <c r="AT477" s="56"/>
      <c r="AU477" s="56"/>
      <c r="AV477" s="56"/>
      <c r="AW477" s="56"/>
      <c r="AX477" s="56"/>
      <c r="AY477" s="56"/>
      <c r="AZ477" s="56"/>
      <c r="BA477" s="56"/>
      <c r="BB477" s="56"/>
      <c r="BC477" s="56"/>
    </row>
    <row r="478" customFormat="false" ht="21.75" hidden="false" customHeight="true" outlineLevel="0" collapsed="false">
      <c r="B478" s="54" t="n">
        <v>7</v>
      </c>
      <c r="C478" s="54"/>
      <c r="D478" s="55"/>
      <c r="E478" s="55"/>
      <c r="F478" s="55"/>
      <c r="G478" s="55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9"/>
      <c r="X478" s="59"/>
      <c r="Y478" s="59"/>
      <c r="Z478" s="59"/>
      <c r="AA478" s="59"/>
      <c r="AB478" s="59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56"/>
      <c r="AQ478" s="56"/>
      <c r="AR478" s="56"/>
      <c r="AS478" s="56"/>
      <c r="AT478" s="56"/>
      <c r="AU478" s="56"/>
      <c r="AV478" s="56"/>
      <c r="AW478" s="56"/>
      <c r="AX478" s="56"/>
      <c r="AY478" s="56"/>
      <c r="AZ478" s="56"/>
      <c r="BA478" s="56"/>
      <c r="BB478" s="56"/>
      <c r="BC478" s="56"/>
    </row>
    <row r="479" customFormat="false" ht="21.75" hidden="false" customHeight="true" outlineLevel="0" collapsed="false">
      <c r="B479" s="54" t="n">
        <v>8</v>
      </c>
      <c r="C479" s="54"/>
      <c r="D479" s="55"/>
      <c r="E479" s="55"/>
      <c r="F479" s="55"/>
      <c r="G479" s="55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9"/>
      <c r="X479" s="59"/>
      <c r="Y479" s="59"/>
      <c r="Z479" s="59"/>
      <c r="AA479" s="59"/>
      <c r="AB479" s="59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  <c r="AP479" s="56"/>
      <c r="AQ479" s="56"/>
      <c r="AR479" s="56"/>
      <c r="AS479" s="56"/>
      <c r="AT479" s="56"/>
      <c r="AU479" s="56"/>
      <c r="AV479" s="56"/>
      <c r="AW479" s="56"/>
      <c r="AX479" s="56"/>
      <c r="AY479" s="56"/>
      <c r="AZ479" s="56"/>
      <c r="BA479" s="56"/>
      <c r="BB479" s="56"/>
      <c r="BC479" s="56"/>
    </row>
    <row r="480" customFormat="false" ht="21.75" hidden="false" customHeight="true" outlineLevel="0" collapsed="false">
      <c r="B480" s="54" t="n">
        <v>9</v>
      </c>
      <c r="C480" s="54"/>
      <c r="D480" s="55"/>
      <c r="E480" s="55"/>
      <c r="F480" s="55"/>
      <c r="G480" s="55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9"/>
      <c r="X480" s="59"/>
      <c r="Y480" s="59"/>
      <c r="Z480" s="59"/>
      <c r="AA480" s="59"/>
      <c r="AB480" s="59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  <c r="AP480" s="56"/>
      <c r="AQ480" s="56"/>
      <c r="AR480" s="56"/>
      <c r="AS480" s="56"/>
      <c r="AT480" s="56"/>
      <c r="AU480" s="56"/>
      <c r="AV480" s="56"/>
      <c r="AW480" s="56"/>
      <c r="AX480" s="56"/>
      <c r="AY480" s="56"/>
      <c r="AZ480" s="56"/>
      <c r="BA480" s="56"/>
      <c r="BB480" s="56"/>
      <c r="BC480" s="56"/>
    </row>
    <row r="481" customFormat="false" ht="21.75" hidden="false" customHeight="true" outlineLevel="0" collapsed="false">
      <c r="B481" s="54" t="n">
        <v>10</v>
      </c>
      <c r="C481" s="54"/>
      <c r="D481" s="55"/>
      <c r="E481" s="55"/>
      <c r="F481" s="55"/>
      <c r="G481" s="55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9"/>
      <c r="X481" s="59"/>
      <c r="Y481" s="59"/>
      <c r="Z481" s="59"/>
      <c r="AA481" s="59"/>
      <c r="AB481" s="59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6"/>
      <c r="AQ481" s="56"/>
      <c r="AR481" s="56"/>
      <c r="AS481" s="56"/>
      <c r="AT481" s="56"/>
      <c r="AU481" s="56"/>
      <c r="AV481" s="56"/>
      <c r="AW481" s="56"/>
      <c r="AX481" s="56"/>
      <c r="AY481" s="56"/>
      <c r="AZ481" s="56"/>
      <c r="BA481" s="56"/>
      <c r="BB481" s="56"/>
      <c r="BC481" s="56"/>
    </row>
    <row r="482" customFormat="false" ht="21.75" hidden="false" customHeight="true" outlineLevel="0" collapsed="false">
      <c r="B482" s="54" t="n">
        <v>11</v>
      </c>
      <c r="C482" s="54"/>
      <c r="D482" s="55"/>
      <c r="E482" s="55"/>
      <c r="F482" s="55"/>
      <c r="G482" s="55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9"/>
      <c r="X482" s="59"/>
      <c r="Y482" s="59"/>
      <c r="Z482" s="59"/>
      <c r="AA482" s="59"/>
      <c r="AB482" s="59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  <c r="AP482" s="56"/>
      <c r="AQ482" s="56"/>
      <c r="AR482" s="56"/>
      <c r="AS482" s="56"/>
      <c r="AT482" s="56"/>
      <c r="AU482" s="56"/>
      <c r="AV482" s="56"/>
      <c r="AW482" s="56"/>
      <c r="AX482" s="56"/>
      <c r="AY482" s="56"/>
      <c r="AZ482" s="56"/>
      <c r="BA482" s="56"/>
      <c r="BB482" s="56"/>
      <c r="BC482" s="56"/>
    </row>
    <row r="483" customFormat="false" ht="21.75" hidden="false" customHeight="true" outlineLevel="0" collapsed="false">
      <c r="B483" s="54" t="n">
        <v>12</v>
      </c>
      <c r="C483" s="54"/>
      <c r="D483" s="55"/>
      <c r="E483" s="55"/>
      <c r="F483" s="55"/>
      <c r="G483" s="55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9"/>
      <c r="X483" s="59"/>
      <c r="Y483" s="59"/>
      <c r="Z483" s="59"/>
      <c r="AA483" s="59"/>
      <c r="AB483" s="59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6"/>
      <c r="AQ483" s="56"/>
      <c r="AR483" s="56"/>
      <c r="AS483" s="56"/>
      <c r="AT483" s="56"/>
      <c r="AU483" s="56"/>
      <c r="AV483" s="56"/>
      <c r="AW483" s="56"/>
      <c r="AX483" s="56"/>
      <c r="AY483" s="56"/>
      <c r="AZ483" s="56"/>
      <c r="BA483" s="56"/>
      <c r="BB483" s="56"/>
      <c r="BC483" s="56"/>
    </row>
    <row r="484" customFormat="false" ht="21.75" hidden="false" customHeight="true" outlineLevel="0" collapsed="false">
      <c r="B484" s="54" t="n">
        <v>13</v>
      </c>
      <c r="C484" s="54"/>
      <c r="D484" s="55"/>
      <c r="E484" s="55"/>
      <c r="F484" s="55"/>
      <c r="G484" s="55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9"/>
      <c r="X484" s="59"/>
      <c r="Y484" s="59"/>
      <c r="Z484" s="59"/>
      <c r="AA484" s="59"/>
      <c r="AB484" s="59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56"/>
      <c r="AQ484" s="56"/>
      <c r="AR484" s="56"/>
      <c r="AS484" s="56"/>
      <c r="AT484" s="56"/>
      <c r="AU484" s="56"/>
      <c r="AV484" s="56"/>
      <c r="AW484" s="56"/>
      <c r="AX484" s="56"/>
      <c r="AY484" s="56"/>
      <c r="AZ484" s="56"/>
      <c r="BA484" s="56"/>
      <c r="BB484" s="56"/>
      <c r="BC484" s="56"/>
    </row>
    <row r="485" customFormat="false" ht="21.75" hidden="false" customHeight="true" outlineLevel="0" collapsed="false">
      <c r="B485" s="54" t="n">
        <v>14</v>
      </c>
      <c r="C485" s="54"/>
      <c r="D485" s="55"/>
      <c r="E485" s="55"/>
      <c r="F485" s="55"/>
      <c r="G485" s="55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9"/>
      <c r="X485" s="59"/>
      <c r="Y485" s="59"/>
      <c r="Z485" s="59"/>
      <c r="AA485" s="59"/>
      <c r="AB485" s="59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6"/>
      <c r="AQ485" s="56"/>
      <c r="AR485" s="56"/>
      <c r="AS485" s="56"/>
      <c r="AT485" s="56"/>
      <c r="AU485" s="56"/>
      <c r="AV485" s="56"/>
      <c r="AW485" s="56"/>
      <c r="AX485" s="56"/>
      <c r="AY485" s="56"/>
      <c r="AZ485" s="56"/>
      <c r="BA485" s="56"/>
      <c r="BB485" s="56"/>
      <c r="BC485" s="56"/>
    </row>
    <row r="486" customFormat="false" ht="21.75" hidden="false" customHeight="true" outlineLevel="0" collapsed="false">
      <c r="B486" s="54" t="n">
        <v>15</v>
      </c>
      <c r="C486" s="54"/>
      <c r="D486" s="55"/>
      <c r="E486" s="55"/>
      <c r="F486" s="55"/>
      <c r="G486" s="55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9"/>
      <c r="X486" s="59"/>
      <c r="Y486" s="59"/>
      <c r="Z486" s="59"/>
      <c r="AA486" s="59"/>
      <c r="AB486" s="59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6"/>
      <c r="AQ486" s="56"/>
      <c r="AR486" s="56"/>
      <c r="AS486" s="56"/>
      <c r="AT486" s="56"/>
      <c r="AU486" s="56"/>
      <c r="AV486" s="56"/>
      <c r="AW486" s="56"/>
      <c r="AX486" s="56"/>
      <c r="AY486" s="56"/>
      <c r="AZ486" s="56"/>
      <c r="BA486" s="56"/>
      <c r="BB486" s="56"/>
      <c r="BC486" s="56"/>
    </row>
    <row r="487" customFormat="false" ht="21.75" hidden="false" customHeight="true" outlineLevel="0" collapsed="false">
      <c r="B487" s="54" t="n">
        <v>16</v>
      </c>
      <c r="C487" s="54"/>
      <c r="D487" s="55"/>
      <c r="E487" s="55"/>
      <c r="F487" s="55"/>
      <c r="G487" s="55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9"/>
      <c r="X487" s="59"/>
      <c r="Y487" s="59"/>
      <c r="Z487" s="59"/>
      <c r="AA487" s="59"/>
      <c r="AB487" s="59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56"/>
      <c r="AQ487" s="56"/>
      <c r="AR487" s="56"/>
      <c r="AS487" s="56"/>
      <c r="AT487" s="56"/>
      <c r="AU487" s="56"/>
      <c r="AV487" s="56"/>
      <c r="AW487" s="56"/>
      <c r="AX487" s="56"/>
      <c r="AY487" s="56"/>
      <c r="AZ487" s="56"/>
      <c r="BA487" s="56"/>
      <c r="BB487" s="56"/>
      <c r="BC487" s="56"/>
    </row>
    <row r="488" customFormat="false" ht="21.75" hidden="false" customHeight="true" outlineLevel="0" collapsed="false">
      <c r="B488" s="54" t="n">
        <v>17</v>
      </c>
      <c r="C488" s="54"/>
      <c r="D488" s="55"/>
      <c r="E488" s="55"/>
      <c r="F488" s="55"/>
      <c r="G488" s="55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9"/>
      <c r="X488" s="59"/>
      <c r="Y488" s="59"/>
      <c r="Z488" s="59"/>
      <c r="AA488" s="59"/>
      <c r="AB488" s="59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  <c r="AP488" s="56"/>
      <c r="AQ488" s="56"/>
      <c r="AR488" s="56"/>
      <c r="AS488" s="56"/>
      <c r="AT488" s="56"/>
      <c r="AU488" s="56"/>
      <c r="AV488" s="56"/>
      <c r="AW488" s="56"/>
      <c r="AX488" s="56"/>
      <c r="AY488" s="56"/>
      <c r="AZ488" s="56"/>
      <c r="BA488" s="56"/>
      <c r="BB488" s="56"/>
      <c r="BC488" s="56"/>
    </row>
    <row r="489" customFormat="false" ht="21.75" hidden="false" customHeight="true" outlineLevel="0" collapsed="false">
      <c r="B489" s="54" t="n">
        <v>18</v>
      </c>
      <c r="C489" s="54"/>
      <c r="D489" s="55"/>
      <c r="E489" s="55"/>
      <c r="F489" s="55"/>
      <c r="G489" s="55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9"/>
      <c r="X489" s="59"/>
      <c r="Y489" s="59"/>
      <c r="Z489" s="59"/>
      <c r="AA489" s="59"/>
      <c r="AB489" s="59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  <c r="AS489" s="56"/>
      <c r="AT489" s="56"/>
      <c r="AU489" s="56"/>
      <c r="AV489" s="56"/>
      <c r="AW489" s="56"/>
      <c r="AX489" s="56"/>
      <c r="AY489" s="56"/>
      <c r="AZ489" s="56"/>
      <c r="BA489" s="56"/>
      <c r="BB489" s="56"/>
      <c r="BC489" s="56"/>
    </row>
    <row r="490" customFormat="false" ht="21.75" hidden="false" customHeight="true" outlineLevel="0" collapsed="false">
      <c r="B490" s="54" t="n">
        <v>19</v>
      </c>
      <c r="C490" s="54"/>
      <c r="D490" s="55"/>
      <c r="E490" s="55"/>
      <c r="F490" s="55"/>
      <c r="G490" s="55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9"/>
      <c r="X490" s="59"/>
      <c r="Y490" s="59"/>
      <c r="Z490" s="59"/>
      <c r="AA490" s="59"/>
      <c r="AB490" s="59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6"/>
      <c r="AQ490" s="56"/>
      <c r="AR490" s="56"/>
      <c r="AS490" s="56"/>
      <c r="AT490" s="56"/>
      <c r="AU490" s="56"/>
      <c r="AV490" s="56"/>
      <c r="AW490" s="56"/>
      <c r="AX490" s="56"/>
      <c r="AY490" s="56"/>
      <c r="AZ490" s="56"/>
      <c r="BA490" s="56"/>
      <c r="BB490" s="56"/>
      <c r="BC490" s="56"/>
    </row>
    <row r="491" customFormat="false" ht="21.75" hidden="false" customHeight="true" outlineLevel="0" collapsed="false">
      <c r="B491" s="54" t="n">
        <v>20</v>
      </c>
      <c r="C491" s="54"/>
      <c r="D491" s="55"/>
      <c r="E491" s="55"/>
      <c r="F491" s="55"/>
      <c r="G491" s="55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9"/>
      <c r="X491" s="59"/>
      <c r="Y491" s="59"/>
      <c r="Z491" s="59"/>
      <c r="AA491" s="59"/>
      <c r="AB491" s="59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56"/>
      <c r="AS491" s="56"/>
      <c r="AT491" s="56"/>
      <c r="AU491" s="56"/>
      <c r="AV491" s="56"/>
      <c r="AW491" s="56"/>
      <c r="AX491" s="56"/>
      <c r="AY491" s="56"/>
      <c r="AZ491" s="56"/>
      <c r="BA491" s="56"/>
      <c r="BB491" s="56"/>
      <c r="BC491" s="56"/>
    </row>
    <row r="492" customFormat="false" ht="21.75" hidden="false" customHeight="true" outlineLevel="0" collapsed="false">
      <c r="B492" s="54" t="n">
        <v>21</v>
      </c>
      <c r="C492" s="54"/>
      <c r="D492" s="55"/>
      <c r="E492" s="55"/>
      <c r="F492" s="55"/>
      <c r="G492" s="55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9"/>
      <c r="X492" s="59"/>
      <c r="Y492" s="59"/>
      <c r="Z492" s="59"/>
      <c r="AA492" s="59"/>
      <c r="AB492" s="59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6"/>
      <c r="AQ492" s="56"/>
      <c r="AR492" s="56"/>
      <c r="AS492" s="56"/>
      <c r="AT492" s="56"/>
      <c r="AU492" s="56"/>
      <c r="AV492" s="56"/>
      <c r="AW492" s="56"/>
      <c r="AX492" s="56"/>
      <c r="AY492" s="56"/>
      <c r="AZ492" s="56"/>
      <c r="BA492" s="56"/>
      <c r="BB492" s="56"/>
      <c r="BC492" s="56"/>
    </row>
    <row r="493" customFormat="false" ht="21.75" hidden="false" customHeight="true" outlineLevel="0" collapsed="false">
      <c r="B493" s="54" t="n">
        <v>22</v>
      </c>
      <c r="C493" s="54"/>
      <c r="D493" s="55"/>
      <c r="E493" s="55"/>
      <c r="F493" s="55"/>
      <c r="G493" s="55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9"/>
      <c r="X493" s="59"/>
      <c r="Y493" s="59"/>
      <c r="Z493" s="59"/>
      <c r="AA493" s="59"/>
      <c r="AB493" s="59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  <c r="AU493" s="56"/>
      <c r="AV493" s="56"/>
      <c r="AW493" s="56"/>
      <c r="AX493" s="56"/>
      <c r="AY493" s="56"/>
      <c r="AZ493" s="56"/>
      <c r="BA493" s="56"/>
      <c r="BB493" s="56"/>
      <c r="BC493" s="56"/>
    </row>
    <row r="494" customFormat="false" ht="21.75" hidden="false" customHeight="true" outlineLevel="0" collapsed="false">
      <c r="B494" s="54" t="n">
        <v>23</v>
      </c>
      <c r="C494" s="54"/>
      <c r="D494" s="55"/>
      <c r="E494" s="55"/>
      <c r="F494" s="55"/>
      <c r="G494" s="55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9"/>
      <c r="X494" s="59"/>
      <c r="Y494" s="59"/>
      <c r="Z494" s="59"/>
      <c r="AA494" s="59"/>
      <c r="AB494" s="59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56"/>
      <c r="AS494" s="56"/>
      <c r="AT494" s="56"/>
      <c r="AU494" s="56"/>
      <c r="AV494" s="56"/>
      <c r="AW494" s="56"/>
      <c r="AX494" s="56"/>
      <c r="AY494" s="56"/>
      <c r="AZ494" s="56"/>
      <c r="BA494" s="56"/>
      <c r="BB494" s="56"/>
      <c r="BC494" s="56"/>
    </row>
    <row r="495" customFormat="false" ht="21.75" hidden="false" customHeight="true" outlineLevel="0" collapsed="false">
      <c r="B495" s="54" t="n">
        <v>24</v>
      </c>
      <c r="C495" s="54"/>
      <c r="D495" s="55"/>
      <c r="E495" s="55"/>
      <c r="F495" s="55"/>
      <c r="G495" s="55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9"/>
      <c r="X495" s="59"/>
      <c r="Y495" s="59"/>
      <c r="Z495" s="59"/>
      <c r="AA495" s="59"/>
      <c r="AB495" s="59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56"/>
      <c r="AU495" s="56"/>
      <c r="AV495" s="56"/>
      <c r="AW495" s="56"/>
      <c r="AX495" s="56"/>
      <c r="AY495" s="56"/>
      <c r="AZ495" s="56"/>
      <c r="BA495" s="56"/>
      <c r="BB495" s="56"/>
      <c r="BC495" s="56"/>
    </row>
    <row r="496" customFormat="false" ht="21.75" hidden="false" customHeight="true" outlineLevel="0" collapsed="false">
      <c r="B496" s="54" t="n">
        <v>25</v>
      </c>
      <c r="C496" s="54"/>
      <c r="D496" s="55"/>
      <c r="E496" s="55"/>
      <c r="F496" s="55"/>
      <c r="G496" s="55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9"/>
      <c r="X496" s="59"/>
      <c r="Y496" s="59"/>
      <c r="Z496" s="59"/>
      <c r="AA496" s="59"/>
      <c r="AB496" s="59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6"/>
      <c r="AQ496" s="56"/>
      <c r="AR496" s="56"/>
      <c r="AS496" s="56"/>
      <c r="AT496" s="56"/>
      <c r="AU496" s="56"/>
      <c r="AV496" s="56"/>
      <c r="AW496" s="56"/>
      <c r="AX496" s="56"/>
      <c r="AY496" s="56"/>
      <c r="AZ496" s="56"/>
      <c r="BA496" s="56"/>
      <c r="BB496" s="56"/>
      <c r="BC496" s="56"/>
    </row>
    <row r="497" customFormat="false" ht="21.75" hidden="false" customHeight="true" outlineLevel="0" collapsed="false">
      <c r="B497" s="54" t="n">
        <v>26</v>
      </c>
      <c r="C497" s="54"/>
      <c r="D497" s="55"/>
      <c r="E497" s="55"/>
      <c r="F497" s="55"/>
      <c r="G497" s="55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9"/>
      <c r="X497" s="59"/>
      <c r="Y497" s="59"/>
      <c r="Z497" s="59"/>
      <c r="AA497" s="59"/>
      <c r="AB497" s="59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56"/>
      <c r="AU497" s="56"/>
      <c r="AV497" s="56"/>
      <c r="AW497" s="56"/>
      <c r="AX497" s="56"/>
      <c r="AY497" s="56"/>
      <c r="AZ497" s="56"/>
      <c r="BA497" s="56"/>
      <c r="BB497" s="56"/>
      <c r="BC497" s="56"/>
    </row>
    <row r="498" customFormat="false" ht="21.75" hidden="false" customHeight="true" outlineLevel="0" collapsed="false">
      <c r="B498" s="54" t="n">
        <v>27</v>
      </c>
      <c r="C498" s="54"/>
      <c r="D498" s="55"/>
      <c r="E498" s="55"/>
      <c r="F498" s="55"/>
      <c r="G498" s="55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9"/>
      <c r="X498" s="59"/>
      <c r="Y498" s="59"/>
      <c r="Z498" s="59"/>
      <c r="AA498" s="59"/>
      <c r="AB498" s="59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6"/>
      <c r="AQ498" s="56"/>
      <c r="AR498" s="56"/>
      <c r="AS498" s="56"/>
      <c r="AT498" s="56"/>
      <c r="AU498" s="56"/>
      <c r="AV498" s="56"/>
      <c r="AW498" s="56"/>
      <c r="AX498" s="56"/>
      <c r="AY498" s="56"/>
      <c r="AZ498" s="56"/>
      <c r="BA498" s="56"/>
      <c r="BB498" s="56"/>
      <c r="BC498" s="56"/>
    </row>
    <row r="499" customFormat="false" ht="21.75" hidden="false" customHeight="true" outlineLevel="0" collapsed="false">
      <c r="B499" s="54" t="n">
        <v>28</v>
      </c>
      <c r="C499" s="54"/>
      <c r="D499" s="55"/>
      <c r="E499" s="55"/>
      <c r="F499" s="55"/>
      <c r="G499" s="55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9"/>
      <c r="X499" s="59"/>
      <c r="Y499" s="59"/>
      <c r="Z499" s="59"/>
      <c r="AA499" s="59"/>
      <c r="AB499" s="59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6"/>
      <c r="AQ499" s="56"/>
      <c r="AR499" s="56"/>
      <c r="AS499" s="56"/>
      <c r="AT499" s="56"/>
      <c r="AU499" s="56"/>
      <c r="AV499" s="56"/>
      <c r="AW499" s="56"/>
      <c r="AX499" s="56"/>
      <c r="AY499" s="56"/>
      <c r="AZ499" s="56"/>
      <c r="BA499" s="56"/>
      <c r="BB499" s="56"/>
      <c r="BC499" s="56"/>
    </row>
    <row r="500" customFormat="false" ht="21.75" hidden="false" customHeight="true" outlineLevel="0" collapsed="false">
      <c r="B500" s="54" t="n">
        <v>29</v>
      </c>
      <c r="C500" s="54"/>
      <c r="D500" s="55"/>
      <c r="E500" s="55"/>
      <c r="F500" s="55"/>
      <c r="G500" s="55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9"/>
      <c r="X500" s="59"/>
      <c r="Y500" s="59"/>
      <c r="Z500" s="59"/>
      <c r="AA500" s="59"/>
      <c r="AB500" s="59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56"/>
      <c r="AR500" s="56"/>
      <c r="AS500" s="56"/>
      <c r="AT500" s="56"/>
      <c r="AU500" s="56"/>
      <c r="AV500" s="56"/>
      <c r="AW500" s="56"/>
      <c r="AX500" s="56"/>
      <c r="AY500" s="56"/>
      <c r="AZ500" s="56"/>
      <c r="BA500" s="56"/>
      <c r="BB500" s="56"/>
      <c r="BC500" s="56"/>
    </row>
    <row r="501" customFormat="false" ht="21.75" hidden="false" customHeight="true" outlineLevel="0" collapsed="false">
      <c r="B501" s="54" t="n">
        <v>30</v>
      </c>
      <c r="C501" s="54"/>
      <c r="D501" s="55"/>
      <c r="E501" s="55"/>
      <c r="F501" s="55"/>
      <c r="G501" s="55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9"/>
      <c r="X501" s="59"/>
      <c r="Y501" s="59"/>
      <c r="Z501" s="59"/>
      <c r="AA501" s="59"/>
      <c r="AB501" s="59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6"/>
      <c r="AQ501" s="56"/>
      <c r="AR501" s="56"/>
      <c r="AS501" s="56"/>
      <c r="AT501" s="56"/>
      <c r="AU501" s="56"/>
      <c r="AV501" s="56"/>
      <c r="AW501" s="56"/>
      <c r="AX501" s="56"/>
      <c r="AY501" s="56"/>
      <c r="AZ501" s="56"/>
      <c r="BA501" s="56"/>
      <c r="BB501" s="56"/>
      <c r="BC501" s="56"/>
    </row>
    <row r="502" customFormat="false" ht="21.75" hidden="false" customHeight="true" outlineLevel="0" collapsed="false">
      <c r="B502" s="54" t="n">
        <v>31</v>
      </c>
      <c r="C502" s="54"/>
      <c r="D502" s="55"/>
      <c r="E502" s="55"/>
      <c r="F502" s="55"/>
      <c r="G502" s="55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9"/>
      <c r="X502" s="59"/>
      <c r="Y502" s="59"/>
      <c r="Z502" s="59"/>
      <c r="AA502" s="59"/>
      <c r="AB502" s="59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6"/>
      <c r="AQ502" s="56"/>
      <c r="AR502" s="56"/>
      <c r="AS502" s="56"/>
      <c r="AT502" s="56"/>
      <c r="AU502" s="56"/>
      <c r="AV502" s="56"/>
      <c r="AW502" s="56"/>
      <c r="AX502" s="56"/>
      <c r="AY502" s="56"/>
      <c r="AZ502" s="56"/>
      <c r="BA502" s="56"/>
      <c r="BB502" s="56"/>
      <c r="BC502" s="56"/>
    </row>
    <row r="503" customFormat="false" ht="21.75" hidden="false" customHeight="true" outlineLevel="0" collapsed="false">
      <c r="B503" s="54" t="n">
        <v>32</v>
      </c>
      <c r="C503" s="54"/>
      <c r="D503" s="55"/>
      <c r="E503" s="55"/>
      <c r="F503" s="55"/>
      <c r="G503" s="55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9"/>
      <c r="X503" s="59"/>
      <c r="Y503" s="59"/>
      <c r="Z503" s="59"/>
      <c r="AA503" s="59"/>
      <c r="AB503" s="59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6"/>
      <c r="AQ503" s="56"/>
      <c r="AR503" s="56"/>
      <c r="AS503" s="56"/>
      <c r="AT503" s="56"/>
      <c r="AU503" s="56"/>
      <c r="AV503" s="56"/>
      <c r="AW503" s="56"/>
      <c r="AX503" s="56"/>
      <c r="AY503" s="56"/>
      <c r="AZ503" s="56"/>
      <c r="BA503" s="56"/>
      <c r="BB503" s="56"/>
      <c r="BC503" s="56"/>
    </row>
    <row r="504" customFormat="false" ht="21.75" hidden="false" customHeight="true" outlineLevel="0" collapsed="false">
      <c r="B504" s="54" t="n">
        <v>33</v>
      </c>
      <c r="C504" s="54"/>
      <c r="D504" s="55"/>
      <c r="E504" s="55"/>
      <c r="F504" s="55"/>
      <c r="G504" s="55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9"/>
      <c r="X504" s="59"/>
      <c r="Y504" s="59"/>
      <c r="Z504" s="59"/>
      <c r="AA504" s="59"/>
      <c r="AB504" s="59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6"/>
      <c r="AQ504" s="56"/>
      <c r="AR504" s="56"/>
      <c r="AS504" s="56"/>
      <c r="AT504" s="56"/>
      <c r="AU504" s="56"/>
      <c r="AV504" s="56"/>
      <c r="AW504" s="56"/>
      <c r="AX504" s="56"/>
      <c r="AY504" s="56"/>
      <c r="AZ504" s="56"/>
      <c r="BA504" s="56"/>
      <c r="BB504" s="56"/>
      <c r="BC504" s="56"/>
    </row>
    <row r="505" customFormat="false" ht="21.75" hidden="false" customHeight="true" outlineLevel="0" collapsed="false">
      <c r="B505" s="54" t="n">
        <v>34</v>
      </c>
      <c r="C505" s="54"/>
      <c r="D505" s="55"/>
      <c r="E505" s="55"/>
      <c r="F505" s="55"/>
      <c r="G505" s="55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9"/>
      <c r="X505" s="59"/>
      <c r="Y505" s="59"/>
      <c r="Z505" s="59"/>
      <c r="AA505" s="59"/>
      <c r="AB505" s="59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6"/>
      <c r="AQ505" s="56"/>
      <c r="AR505" s="56"/>
      <c r="AS505" s="56"/>
      <c r="AT505" s="56"/>
      <c r="AU505" s="56"/>
      <c r="AV505" s="56"/>
      <c r="AW505" s="56"/>
      <c r="AX505" s="56"/>
      <c r="AY505" s="56"/>
      <c r="AZ505" s="56"/>
      <c r="BA505" s="56"/>
      <c r="BB505" s="56"/>
      <c r="BC505" s="56"/>
    </row>
    <row r="506" customFormat="false" ht="21.75" hidden="false" customHeight="true" outlineLevel="0" collapsed="false">
      <c r="B506" s="54" t="n">
        <v>35</v>
      </c>
      <c r="C506" s="54"/>
      <c r="D506" s="55"/>
      <c r="E506" s="55"/>
      <c r="F506" s="55"/>
      <c r="G506" s="55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9"/>
      <c r="X506" s="59"/>
      <c r="Y506" s="59"/>
      <c r="Z506" s="59"/>
      <c r="AA506" s="59"/>
      <c r="AB506" s="59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  <c r="AO506" s="56"/>
      <c r="AP506" s="56"/>
      <c r="AQ506" s="56"/>
      <c r="AR506" s="56"/>
      <c r="AS506" s="56"/>
      <c r="AT506" s="56"/>
      <c r="AU506" s="56"/>
      <c r="AV506" s="56"/>
      <c r="AW506" s="56"/>
      <c r="AX506" s="56"/>
      <c r="AY506" s="56"/>
      <c r="AZ506" s="56"/>
      <c r="BA506" s="56"/>
      <c r="BB506" s="56"/>
      <c r="BC506" s="56"/>
    </row>
    <row r="507" customFormat="false" ht="21.75" hidden="false" customHeight="true" outlineLevel="0" collapsed="false">
      <c r="B507" s="54" t="n">
        <v>36</v>
      </c>
      <c r="C507" s="54"/>
      <c r="D507" s="55"/>
      <c r="E507" s="55"/>
      <c r="F507" s="55"/>
      <c r="G507" s="55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9"/>
      <c r="X507" s="59"/>
      <c r="Y507" s="59"/>
      <c r="Z507" s="59"/>
      <c r="AA507" s="59"/>
      <c r="AB507" s="59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6"/>
      <c r="AQ507" s="56"/>
      <c r="AR507" s="56"/>
      <c r="AS507" s="56"/>
      <c r="AT507" s="56"/>
      <c r="AU507" s="56"/>
      <c r="AV507" s="56"/>
      <c r="AW507" s="56"/>
      <c r="AX507" s="56"/>
      <c r="AY507" s="56"/>
      <c r="AZ507" s="56"/>
      <c r="BA507" s="56"/>
      <c r="BB507" s="56"/>
      <c r="BC507" s="56"/>
    </row>
    <row r="508" customFormat="false" ht="21.75" hidden="false" customHeight="true" outlineLevel="0" collapsed="false">
      <c r="B508" s="54" t="n">
        <v>37</v>
      </c>
      <c r="C508" s="54"/>
      <c r="D508" s="55"/>
      <c r="E508" s="55"/>
      <c r="F508" s="55"/>
      <c r="G508" s="55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9"/>
      <c r="X508" s="59"/>
      <c r="Y508" s="59"/>
      <c r="Z508" s="59"/>
      <c r="AA508" s="59"/>
      <c r="AB508" s="59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6"/>
      <c r="AQ508" s="56"/>
      <c r="AR508" s="56"/>
      <c r="AS508" s="56"/>
      <c r="AT508" s="56"/>
      <c r="AU508" s="56"/>
      <c r="AV508" s="56"/>
      <c r="AW508" s="56"/>
      <c r="AX508" s="56"/>
      <c r="AY508" s="56"/>
      <c r="AZ508" s="56"/>
      <c r="BA508" s="56"/>
      <c r="BB508" s="56"/>
      <c r="BC508" s="56"/>
    </row>
    <row r="509" customFormat="false" ht="21.75" hidden="false" customHeight="true" outlineLevel="0" collapsed="false">
      <c r="B509" s="54" t="n">
        <v>38</v>
      </c>
      <c r="C509" s="54"/>
      <c r="D509" s="55"/>
      <c r="E509" s="55"/>
      <c r="F509" s="55"/>
      <c r="G509" s="55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9"/>
      <c r="X509" s="59"/>
      <c r="Y509" s="59"/>
      <c r="Z509" s="59"/>
      <c r="AA509" s="59"/>
      <c r="AB509" s="59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6"/>
      <c r="AQ509" s="56"/>
      <c r="AR509" s="56"/>
      <c r="AS509" s="56"/>
      <c r="AT509" s="56"/>
      <c r="AU509" s="56"/>
      <c r="AV509" s="56"/>
      <c r="AW509" s="56"/>
      <c r="AX509" s="56"/>
      <c r="AY509" s="56"/>
      <c r="AZ509" s="56"/>
      <c r="BA509" s="56"/>
      <c r="BB509" s="56"/>
      <c r="BC509" s="56"/>
    </row>
    <row r="510" customFormat="false" ht="21.75" hidden="false" customHeight="true" outlineLevel="0" collapsed="false">
      <c r="B510" s="54" t="n">
        <v>39</v>
      </c>
      <c r="C510" s="54"/>
      <c r="D510" s="55"/>
      <c r="E510" s="55"/>
      <c r="F510" s="55"/>
      <c r="G510" s="55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9"/>
      <c r="X510" s="59"/>
      <c r="Y510" s="59"/>
      <c r="Z510" s="59"/>
      <c r="AA510" s="59"/>
      <c r="AB510" s="59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6"/>
      <c r="AQ510" s="56"/>
      <c r="AR510" s="56"/>
      <c r="AS510" s="56"/>
      <c r="AT510" s="56"/>
      <c r="AU510" s="56"/>
      <c r="AV510" s="56"/>
      <c r="AW510" s="56"/>
      <c r="AX510" s="56"/>
      <c r="AY510" s="56"/>
      <c r="AZ510" s="56"/>
      <c r="BA510" s="56"/>
      <c r="BB510" s="56"/>
      <c r="BC510" s="56"/>
    </row>
    <row r="511" customFormat="false" ht="21.75" hidden="false" customHeight="true" outlineLevel="0" collapsed="false">
      <c r="B511" s="54" t="n">
        <v>40</v>
      </c>
      <c r="C511" s="54"/>
      <c r="D511" s="55"/>
      <c r="E511" s="55"/>
      <c r="F511" s="55"/>
      <c r="G511" s="55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9"/>
      <c r="X511" s="59"/>
      <c r="Y511" s="59"/>
      <c r="Z511" s="59"/>
      <c r="AA511" s="59"/>
      <c r="AB511" s="59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6"/>
      <c r="AQ511" s="56"/>
      <c r="AR511" s="56"/>
      <c r="AS511" s="56"/>
      <c r="AT511" s="56"/>
      <c r="AU511" s="56"/>
      <c r="AV511" s="56"/>
      <c r="AW511" s="56"/>
      <c r="AX511" s="56"/>
      <c r="AY511" s="56"/>
      <c r="AZ511" s="56"/>
      <c r="BA511" s="56"/>
      <c r="BB511" s="56"/>
      <c r="BC511" s="56"/>
    </row>
    <row r="512" customFormat="false" ht="24" hidden="false" customHeight="true" outlineLevel="0" collapsed="false">
      <c r="B512" s="57" t="s">
        <v>78</v>
      </c>
      <c r="C512" s="57"/>
      <c r="E512" s="58" t="s">
        <v>99</v>
      </c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  <c r="AJ512" s="58"/>
      <c r="AK512" s="58"/>
      <c r="AL512" s="58"/>
      <c r="AM512" s="58"/>
      <c r="AN512" s="58"/>
      <c r="AO512" s="58"/>
      <c r="AP512" s="58"/>
      <c r="AQ512" s="58"/>
      <c r="AR512" s="58"/>
      <c r="AS512" s="58"/>
      <c r="AT512" s="58"/>
      <c r="AU512" s="58"/>
      <c r="AV512" s="58"/>
      <c r="AW512" s="58"/>
      <c r="AX512" s="58"/>
      <c r="AY512" s="58"/>
      <c r="AZ512" s="58"/>
      <c r="BA512" s="58"/>
      <c r="BB512" s="58"/>
      <c r="BC512" s="58"/>
    </row>
    <row r="513" customFormat="false" ht="12" hidden="false" customHeight="true" outlineLevel="0" collapsed="false"/>
    <row r="514" customFormat="false" ht="21.75" hidden="false" customHeight="true" outlineLevel="0" collapsed="false">
      <c r="B514" s="6"/>
      <c r="C514" s="37" t="s">
        <v>100</v>
      </c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  <c r="AF514" s="37"/>
      <c r="AG514" s="37"/>
      <c r="AH514" s="37"/>
      <c r="AI514" s="37"/>
      <c r="AJ514" s="37"/>
      <c r="AK514" s="37"/>
      <c r="AL514" s="38" t="s">
        <v>101</v>
      </c>
      <c r="AM514" s="38"/>
      <c r="AN514" s="38"/>
      <c r="AO514" s="38"/>
      <c r="AP514" s="38"/>
      <c r="AQ514" s="38"/>
      <c r="AR514" s="38"/>
      <c r="AS514" s="38"/>
      <c r="AT514" s="38"/>
      <c r="AU514" s="38"/>
      <c r="AV514" s="38"/>
      <c r="AW514" s="38"/>
      <c r="AX514" s="38"/>
      <c r="AY514" s="38"/>
      <c r="AZ514" s="38"/>
      <c r="BA514" s="38"/>
      <c r="BB514" s="38"/>
      <c r="BC514" s="38"/>
    </row>
    <row r="515" customFormat="false" ht="27.75" hidden="false" customHeight="true" outlineLevel="0" collapsed="false">
      <c r="B515" s="52" t="s">
        <v>71</v>
      </c>
      <c r="C515" s="52"/>
      <c r="D515" s="53" t="s">
        <v>4</v>
      </c>
      <c r="E515" s="53"/>
      <c r="F515" s="53"/>
      <c r="G515" s="53"/>
      <c r="H515" s="53" t="s">
        <v>73</v>
      </c>
      <c r="I515" s="53"/>
      <c r="J515" s="53"/>
      <c r="K515" s="53"/>
      <c r="L515" s="53"/>
      <c r="M515" s="53"/>
      <c r="N515" s="53"/>
      <c r="O515" s="53" t="s">
        <v>102</v>
      </c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 t="s">
        <v>103</v>
      </c>
      <c r="AF515" s="53"/>
      <c r="AG515" s="53"/>
      <c r="AH515" s="53"/>
      <c r="AI515" s="53" t="s">
        <v>104</v>
      </c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 t="s">
        <v>105</v>
      </c>
      <c r="AX515" s="53"/>
      <c r="AY515" s="53"/>
      <c r="AZ515" s="53"/>
      <c r="BA515" s="53"/>
      <c r="BB515" s="53"/>
      <c r="BC515" s="53"/>
    </row>
    <row r="516" customFormat="false" ht="21.75" hidden="false" customHeight="true" outlineLevel="0" collapsed="false">
      <c r="B516" s="54" t="n">
        <v>1</v>
      </c>
      <c r="C516" s="54"/>
      <c r="D516" s="55"/>
      <c r="E516" s="55"/>
      <c r="F516" s="55"/>
      <c r="G516" s="55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  <c r="AP516" s="56"/>
      <c r="AQ516" s="56"/>
      <c r="AR516" s="56"/>
      <c r="AS516" s="56"/>
      <c r="AT516" s="56"/>
      <c r="AU516" s="56"/>
      <c r="AV516" s="56"/>
      <c r="AW516" s="56"/>
      <c r="AX516" s="56"/>
      <c r="AY516" s="56"/>
      <c r="AZ516" s="56"/>
      <c r="BA516" s="56"/>
      <c r="BB516" s="56"/>
      <c r="BC516" s="56"/>
    </row>
    <row r="517" customFormat="false" ht="21.75" hidden="false" customHeight="true" outlineLevel="0" collapsed="false">
      <c r="B517" s="54" t="n">
        <v>2</v>
      </c>
      <c r="C517" s="54"/>
      <c r="D517" s="55"/>
      <c r="E517" s="55"/>
      <c r="F517" s="55"/>
      <c r="G517" s="55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6"/>
      <c r="AQ517" s="56"/>
      <c r="AR517" s="56"/>
      <c r="AS517" s="56"/>
      <c r="AT517" s="56"/>
      <c r="AU517" s="56"/>
      <c r="AV517" s="56"/>
      <c r="AW517" s="56"/>
      <c r="AX517" s="56"/>
      <c r="AY517" s="56"/>
      <c r="AZ517" s="56"/>
      <c r="BA517" s="56"/>
      <c r="BB517" s="56"/>
      <c r="BC517" s="56"/>
    </row>
    <row r="518" customFormat="false" ht="21.75" hidden="false" customHeight="true" outlineLevel="0" collapsed="false">
      <c r="B518" s="54" t="n">
        <v>3</v>
      </c>
      <c r="C518" s="54"/>
      <c r="D518" s="55"/>
      <c r="E518" s="55"/>
      <c r="F518" s="55"/>
      <c r="G518" s="55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6"/>
      <c r="AP518" s="56"/>
      <c r="AQ518" s="56"/>
      <c r="AR518" s="56"/>
      <c r="AS518" s="56"/>
      <c r="AT518" s="56"/>
      <c r="AU518" s="56"/>
      <c r="AV518" s="56"/>
      <c r="AW518" s="56"/>
      <c r="AX518" s="56"/>
      <c r="AY518" s="56"/>
      <c r="AZ518" s="56"/>
      <c r="BA518" s="56"/>
      <c r="BB518" s="56"/>
      <c r="BC518" s="56"/>
    </row>
    <row r="519" customFormat="false" ht="21.75" hidden="false" customHeight="true" outlineLevel="0" collapsed="false">
      <c r="B519" s="54" t="n">
        <v>4</v>
      </c>
      <c r="C519" s="54"/>
      <c r="D519" s="55"/>
      <c r="E519" s="55"/>
      <c r="F519" s="55"/>
      <c r="G519" s="55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6"/>
      <c r="AQ519" s="56"/>
      <c r="AR519" s="56"/>
      <c r="AS519" s="56"/>
      <c r="AT519" s="56"/>
      <c r="AU519" s="56"/>
      <c r="AV519" s="56"/>
      <c r="AW519" s="56"/>
      <c r="AX519" s="56"/>
      <c r="AY519" s="56"/>
      <c r="AZ519" s="56"/>
      <c r="BA519" s="56"/>
      <c r="BB519" s="56"/>
      <c r="BC519" s="56"/>
    </row>
    <row r="520" customFormat="false" ht="21.75" hidden="false" customHeight="true" outlineLevel="0" collapsed="false">
      <c r="B520" s="54" t="n">
        <v>5</v>
      </c>
      <c r="C520" s="54"/>
      <c r="D520" s="55"/>
      <c r="E520" s="55"/>
      <c r="F520" s="55"/>
      <c r="G520" s="55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56"/>
      <c r="AR520" s="56"/>
      <c r="AS520" s="56"/>
      <c r="AT520" s="56"/>
      <c r="AU520" s="56"/>
      <c r="AV520" s="56"/>
      <c r="AW520" s="56"/>
      <c r="AX520" s="56"/>
      <c r="AY520" s="56"/>
      <c r="AZ520" s="56"/>
      <c r="BA520" s="56"/>
      <c r="BB520" s="56"/>
      <c r="BC520" s="56"/>
    </row>
    <row r="521" customFormat="false" ht="21.75" hidden="false" customHeight="true" outlineLevel="0" collapsed="false">
      <c r="B521" s="54" t="n">
        <v>6</v>
      </c>
      <c r="C521" s="54"/>
      <c r="D521" s="55"/>
      <c r="E521" s="55"/>
      <c r="F521" s="55"/>
      <c r="G521" s="55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6"/>
      <c r="AQ521" s="56"/>
      <c r="AR521" s="56"/>
      <c r="AS521" s="56"/>
      <c r="AT521" s="56"/>
      <c r="AU521" s="56"/>
      <c r="AV521" s="56"/>
      <c r="AW521" s="56"/>
      <c r="AX521" s="56"/>
      <c r="AY521" s="56"/>
      <c r="AZ521" s="56"/>
      <c r="BA521" s="56"/>
      <c r="BB521" s="56"/>
      <c r="BC521" s="56"/>
    </row>
    <row r="522" customFormat="false" ht="21.75" hidden="false" customHeight="true" outlineLevel="0" collapsed="false">
      <c r="B522" s="54" t="n">
        <v>7</v>
      </c>
      <c r="C522" s="54"/>
      <c r="D522" s="55"/>
      <c r="E522" s="55"/>
      <c r="F522" s="55"/>
      <c r="G522" s="55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6"/>
      <c r="AQ522" s="56"/>
      <c r="AR522" s="56"/>
      <c r="AS522" s="56"/>
      <c r="AT522" s="56"/>
      <c r="AU522" s="56"/>
      <c r="AV522" s="56"/>
      <c r="AW522" s="56"/>
      <c r="AX522" s="56"/>
      <c r="AY522" s="56"/>
      <c r="AZ522" s="56"/>
      <c r="BA522" s="56"/>
      <c r="BB522" s="56"/>
      <c r="BC522" s="56"/>
    </row>
    <row r="523" customFormat="false" ht="21.75" hidden="false" customHeight="true" outlineLevel="0" collapsed="false">
      <c r="B523" s="54" t="n">
        <v>8</v>
      </c>
      <c r="C523" s="54"/>
      <c r="D523" s="55"/>
      <c r="E523" s="55"/>
      <c r="F523" s="55"/>
      <c r="G523" s="55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6"/>
      <c r="AQ523" s="56"/>
      <c r="AR523" s="56"/>
      <c r="AS523" s="56"/>
      <c r="AT523" s="56"/>
      <c r="AU523" s="56"/>
      <c r="AV523" s="56"/>
      <c r="AW523" s="56"/>
      <c r="AX523" s="56"/>
      <c r="AY523" s="56"/>
      <c r="AZ523" s="56"/>
      <c r="BA523" s="56"/>
      <c r="BB523" s="56"/>
      <c r="BC523" s="56"/>
    </row>
    <row r="524" customFormat="false" ht="21.75" hidden="false" customHeight="true" outlineLevel="0" collapsed="false">
      <c r="B524" s="54" t="n">
        <v>9</v>
      </c>
      <c r="C524" s="54"/>
      <c r="D524" s="55"/>
      <c r="E524" s="55"/>
      <c r="F524" s="55"/>
      <c r="G524" s="55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6"/>
      <c r="AQ524" s="56"/>
      <c r="AR524" s="56"/>
      <c r="AS524" s="56"/>
      <c r="AT524" s="56"/>
      <c r="AU524" s="56"/>
      <c r="AV524" s="56"/>
      <c r="AW524" s="56"/>
      <c r="AX524" s="56"/>
      <c r="AY524" s="56"/>
      <c r="AZ524" s="56"/>
      <c r="BA524" s="56"/>
      <c r="BB524" s="56"/>
      <c r="BC524" s="56"/>
    </row>
    <row r="525" customFormat="false" ht="21.75" hidden="false" customHeight="true" outlineLevel="0" collapsed="false">
      <c r="B525" s="54" t="n">
        <v>10</v>
      </c>
      <c r="C525" s="54"/>
      <c r="D525" s="55"/>
      <c r="E525" s="55"/>
      <c r="F525" s="55"/>
      <c r="G525" s="55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6"/>
      <c r="AQ525" s="56"/>
      <c r="AR525" s="56"/>
      <c r="AS525" s="56"/>
      <c r="AT525" s="56"/>
      <c r="AU525" s="56"/>
      <c r="AV525" s="56"/>
      <c r="AW525" s="56"/>
      <c r="AX525" s="56"/>
      <c r="AY525" s="56"/>
      <c r="AZ525" s="56"/>
      <c r="BA525" s="56"/>
      <c r="BB525" s="56"/>
      <c r="BC525" s="56"/>
    </row>
    <row r="526" customFormat="false" ht="21.75" hidden="false" customHeight="true" outlineLevel="0" collapsed="false">
      <c r="B526" s="54" t="n">
        <v>11</v>
      </c>
      <c r="C526" s="54"/>
      <c r="D526" s="55"/>
      <c r="E526" s="55"/>
      <c r="F526" s="55"/>
      <c r="G526" s="55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6"/>
      <c r="AQ526" s="56"/>
      <c r="AR526" s="56"/>
      <c r="AS526" s="56"/>
      <c r="AT526" s="56"/>
      <c r="AU526" s="56"/>
      <c r="AV526" s="56"/>
      <c r="AW526" s="56"/>
      <c r="AX526" s="56"/>
      <c r="AY526" s="56"/>
      <c r="AZ526" s="56"/>
      <c r="BA526" s="56"/>
      <c r="BB526" s="56"/>
      <c r="BC526" s="56"/>
    </row>
    <row r="527" customFormat="false" ht="21.75" hidden="false" customHeight="true" outlineLevel="0" collapsed="false">
      <c r="B527" s="54" t="n">
        <v>12</v>
      </c>
      <c r="C527" s="54"/>
      <c r="D527" s="55"/>
      <c r="E527" s="55"/>
      <c r="F527" s="55"/>
      <c r="G527" s="55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  <c r="AP527" s="56"/>
      <c r="AQ527" s="56"/>
      <c r="AR527" s="56"/>
      <c r="AS527" s="56"/>
      <c r="AT527" s="56"/>
      <c r="AU527" s="56"/>
      <c r="AV527" s="56"/>
      <c r="AW527" s="56"/>
      <c r="AX527" s="56"/>
      <c r="AY527" s="56"/>
      <c r="AZ527" s="56"/>
      <c r="BA527" s="56"/>
      <c r="BB527" s="56"/>
      <c r="BC527" s="56"/>
    </row>
    <row r="528" customFormat="false" ht="21.75" hidden="false" customHeight="true" outlineLevel="0" collapsed="false">
      <c r="B528" s="54" t="n">
        <v>13</v>
      </c>
      <c r="C528" s="54"/>
      <c r="D528" s="55"/>
      <c r="E528" s="55"/>
      <c r="F528" s="55"/>
      <c r="G528" s="55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6"/>
      <c r="AQ528" s="56"/>
      <c r="AR528" s="56"/>
      <c r="AS528" s="56"/>
      <c r="AT528" s="56"/>
      <c r="AU528" s="56"/>
      <c r="AV528" s="56"/>
      <c r="AW528" s="56"/>
      <c r="AX528" s="56"/>
      <c r="AY528" s="56"/>
      <c r="AZ528" s="56"/>
      <c r="BA528" s="56"/>
      <c r="BB528" s="56"/>
      <c r="BC528" s="56"/>
    </row>
    <row r="529" customFormat="false" ht="21.75" hidden="false" customHeight="true" outlineLevel="0" collapsed="false">
      <c r="B529" s="54" t="n">
        <v>14</v>
      </c>
      <c r="C529" s="54"/>
      <c r="D529" s="55"/>
      <c r="E529" s="55"/>
      <c r="F529" s="55"/>
      <c r="G529" s="55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6"/>
      <c r="AQ529" s="56"/>
      <c r="AR529" s="56"/>
      <c r="AS529" s="56"/>
      <c r="AT529" s="56"/>
      <c r="AU529" s="56"/>
      <c r="AV529" s="56"/>
      <c r="AW529" s="56"/>
      <c r="AX529" s="56"/>
      <c r="AY529" s="56"/>
      <c r="AZ529" s="56"/>
      <c r="BA529" s="56"/>
      <c r="BB529" s="56"/>
      <c r="BC529" s="56"/>
    </row>
    <row r="530" customFormat="false" ht="21.75" hidden="false" customHeight="true" outlineLevel="0" collapsed="false">
      <c r="B530" s="54" t="n">
        <v>15</v>
      </c>
      <c r="C530" s="54"/>
      <c r="D530" s="55"/>
      <c r="E530" s="55"/>
      <c r="F530" s="55"/>
      <c r="G530" s="55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6"/>
      <c r="AQ530" s="56"/>
      <c r="AR530" s="56"/>
      <c r="AS530" s="56"/>
      <c r="AT530" s="56"/>
      <c r="AU530" s="56"/>
      <c r="AV530" s="56"/>
      <c r="AW530" s="56"/>
      <c r="AX530" s="56"/>
      <c r="AY530" s="56"/>
      <c r="AZ530" s="56"/>
      <c r="BA530" s="56"/>
      <c r="BB530" s="56"/>
      <c r="BC530" s="56"/>
    </row>
    <row r="531" customFormat="false" ht="21.75" hidden="false" customHeight="true" outlineLevel="0" collapsed="false">
      <c r="B531" s="54" t="n">
        <v>16</v>
      </c>
      <c r="C531" s="54"/>
      <c r="D531" s="55"/>
      <c r="E531" s="55"/>
      <c r="F531" s="55"/>
      <c r="G531" s="55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56"/>
      <c r="AQ531" s="56"/>
      <c r="AR531" s="56"/>
      <c r="AS531" s="56"/>
      <c r="AT531" s="56"/>
      <c r="AU531" s="56"/>
      <c r="AV531" s="56"/>
      <c r="AW531" s="56"/>
      <c r="AX531" s="56"/>
      <c r="AY531" s="56"/>
      <c r="AZ531" s="56"/>
      <c r="BA531" s="56"/>
      <c r="BB531" s="56"/>
      <c r="BC531" s="56"/>
    </row>
    <row r="532" customFormat="false" ht="21.75" hidden="false" customHeight="true" outlineLevel="0" collapsed="false">
      <c r="B532" s="54" t="n">
        <v>17</v>
      </c>
      <c r="C532" s="54"/>
      <c r="D532" s="55"/>
      <c r="E532" s="55"/>
      <c r="F532" s="55"/>
      <c r="G532" s="55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6"/>
      <c r="AQ532" s="56"/>
      <c r="AR532" s="56"/>
      <c r="AS532" s="56"/>
      <c r="AT532" s="56"/>
      <c r="AU532" s="56"/>
      <c r="AV532" s="56"/>
      <c r="AW532" s="56"/>
      <c r="AX532" s="56"/>
      <c r="AY532" s="56"/>
      <c r="AZ532" s="56"/>
      <c r="BA532" s="56"/>
      <c r="BB532" s="56"/>
      <c r="BC532" s="56"/>
    </row>
    <row r="533" customFormat="false" ht="21.75" hidden="false" customHeight="true" outlineLevel="0" collapsed="false">
      <c r="B533" s="54" t="n">
        <v>18</v>
      </c>
      <c r="C533" s="54"/>
      <c r="D533" s="55"/>
      <c r="E533" s="55"/>
      <c r="F533" s="55"/>
      <c r="G533" s="55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6"/>
      <c r="AQ533" s="56"/>
      <c r="AR533" s="56"/>
      <c r="AS533" s="56"/>
      <c r="AT533" s="56"/>
      <c r="AU533" s="56"/>
      <c r="AV533" s="56"/>
      <c r="AW533" s="56"/>
      <c r="AX533" s="56"/>
      <c r="AY533" s="56"/>
      <c r="AZ533" s="56"/>
      <c r="BA533" s="56"/>
      <c r="BB533" s="56"/>
      <c r="BC533" s="56"/>
    </row>
    <row r="534" customFormat="false" ht="21.75" hidden="false" customHeight="true" outlineLevel="0" collapsed="false">
      <c r="B534" s="54" t="n">
        <v>19</v>
      </c>
      <c r="C534" s="54"/>
      <c r="D534" s="55"/>
      <c r="E534" s="55"/>
      <c r="F534" s="55"/>
      <c r="G534" s="55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  <c r="AP534" s="56"/>
      <c r="AQ534" s="56"/>
      <c r="AR534" s="56"/>
      <c r="AS534" s="56"/>
      <c r="AT534" s="56"/>
      <c r="AU534" s="56"/>
      <c r="AV534" s="56"/>
      <c r="AW534" s="56"/>
      <c r="AX534" s="56"/>
      <c r="AY534" s="56"/>
      <c r="AZ534" s="56"/>
      <c r="BA534" s="56"/>
      <c r="BB534" s="56"/>
      <c r="BC534" s="56"/>
    </row>
    <row r="535" customFormat="false" ht="21.75" hidden="false" customHeight="true" outlineLevel="0" collapsed="false">
      <c r="B535" s="54" t="n">
        <v>20</v>
      </c>
      <c r="C535" s="54"/>
      <c r="D535" s="55"/>
      <c r="E535" s="55"/>
      <c r="F535" s="55"/>
      <c r="G535" s="55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  <c r="AO535" s="56"/>
      <c r="AP535" s="56"/>
      <c r="AQ535" s="56"/>
      <c r="AR535" s="56"/>
      <c r="AS535" s="56"/>
      <c r="AT535" s="56"/>
      <c r="AU535" s="56"/>
      <c r="AV535" s="56"/>
      <c r="AW535" s="56"/>
      <c r="AX535" s="56"/>
      <c r="AY535" s="56"/>
      <c r="AZ535" s="56"/>
      <c r="BA535" s="56"/>
      <c r="BB535" s="56"/>
      <c r="BC535" s="56"/>
    </row>
    <row r="536" customFormat="false" ht="21.75" hidden="false" customHeight="true" outlineLevel="0" collapsed="false">
      <c r="B536" s="54" t="n">
        <v>21</v>
      </c>
      <c r="C536" s="54"/>
      <c r="D536" s="55"/>
      <c r="E536" s="55"/>
      <c r="F536" s="55"/>
      <c r="G536" s="55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56"/>
      <c r="AQ536" s="56"/>
      <c r="AR536" s="56"/>
      <c r="AS536" s="56"/>
      <c r="AT536" s="56"/>
      <c r="AU536" s="56"/>
      <c r="AV536" s="56"/>
      <c r="AW536" s="56"/>
      <c r="AX536" s="56"/>
      <c r="AY536" s="56"/>
      <c r="AZ536" s="56"/>
      <c r="BA536" s="56"/>
      <c r="BB536" s="56"/>
      <c r="BC536" s="56"/>
    </row>
    <row r="537" customFormat="false" ht="21.75" hidden="false" customHeight="true" outlineLevel="0" collapsed="false">
      <c r="B537" s="54" t="n">
        <v>22</v>
      </c>
      <c r="C537" s="54"/>
      <c r="D537" s="55"/>
      <c r="E537" s="55"/>
      <c r="F537" s="55"/>
      <c r="G537" s="55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6"/>
      <c r="AP537" s="56"/>
      <c r="AQ537" s="56"/>
      <c r="AR537" s="56"/>
      <c r="AS537" s="56"/>
      <c r="AT537" s="56"/>
      <c r="AU537" s="56"/>
      <c r="AV537" s="56"/>
      <c r="AW537" s="56"/>
      <c r="AX537" s="56"/>
      <c r="AY537" s="56"/>
      <c r="AZ537" s="56"/>
      <c r="BA537" s="56"/>
      <c r="BB537" s="56"/>
      <c r="BC537" s="56"/>
    </row>
    <row r="538" customFormat="false" ht="21.75" hidden="false" customHeight="true" outlineLevel="0" collapsed="false">
      <c r="B538" s="54" t="n">
        <v>23</v>
      </c>
      <c r="C538" s="54"/>
      <c r="D538" s="55"/>
      <c r="E538" s="55"/>
      <c r="F538" s="55"/>
      <c r="G538" s="55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  <c r="AO538" s="56"/>
      <c r="AP538" s="56"/>
      <c r="AQ538" s="56"/>
      <c r="AR538" s="56"/>
      <c r="AS538" s="56"/>
      <c r="AT538" s="56"/>
      <c r="AU538" s="56"/>
      <c r="AV538" s="56"/>
      <c r="AW538" s="56"/>
      <c r="AX538" s="56"/>
      <c r="AY538" s="56"/>
      <c r="AZ538" s="56"/>
      <c r="BA538" s="56"/>
      <c r="BB538" s="56"/>
      <c r="BC538" s="56"/>
    </row>
    <row r="539" customFormat="false" ht="21.75" hidden="false" customHeight="true" outlineLevel="0" collapsed="false">
      <c r="B539" s="54" t="n">
        <v>24</v>
      </c>
      <c r="C539" s="54"/>
      <c r="D539" s="55"/>
      <c r="E539" s="55"/>
      <c r="F539" s="55"/>
      <c r="G539" s="55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  <c r="AO539" s="56"/>
      <c r="AP539" s="56"/>
      <c r="AQ539" s="56"/>
      <c r="AR539" s="56"/>
      <c r="AS539" s="56"/>
      <c r="AT539" s="56"/>
      <c r="AU539" s="56"/>
      <c r="AV539" s="56"/>
      <c r="AW539" s="56"/>
      <c r="AX539" s="56"/>
      <c r="AY539" s="56"/>
      <c r="AZ539" s="56"/>
      <c r="BA539" s="56"/>
      <c r="BB539" s="56"/>
      <c r="BC539" s="56"/>
    </row>
    <row r="540" customFormat="false" ht="21.75" hidden="false" customHeight="true" outlineLevel="0" collapsed="false">
      <c r="B540" s="54" t="n">
        <v>25</v>
      </c>
      <c r="C540" s="54"/>
      <c r="D540" s="55"/>
      <c r="E540" s="55"/>
      <c r="F540" s="55"/>
      <c r="G540" s="55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6"/>
      <c r="AQ540" s="56"/>
      <c r="AR540" s="56"/>
      <c r="AS540" s="56"/>
      <c r="AT540" s="56"/>
      <c r="AU540" s="56"/>
      <c r="AV540" s="56"/>
      <c r="AW540" s="56"/>
      <c r="AX540" s="56"/>
      <c r="AY540" s="56"/>
      <c r="AZ540" s="56"/>
      <c r="BA540" s="56"/>
      <c r="BB540" s="56"/>
      <c r="BC540" s="56"/>
    </row>
    <row r="541" customFormat="false" ht="21.75" hidden="false" customHeight="true" outlineLevel="0" collapsed="false">
      <c r="B541" s="54" t="n">
        <v>26</v>
      </c>
      <c r="C541" s="54"/>
      <c r="D541" s="55"/>
      <c r="E541" s="55"/>
      <c r="F541" s="55"/>
      <c r="G541" s="55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6"/>
      <c r="AQ541" s="56"/>
      <c r="AR541" s="56"/>
      <c r="AS541" s="56"/>
      <c r="AT541" s="56"/>
      <c r="AU541" s="56"/>
      <c r="AV541" s="56"/>
      <c r="AW541" s="56"/>
      <c r="AX541" s="56"/>
      <c r="AY541" s="56"/>
      <c r="AZ541" s="56"/>
      <c r="BA541" s="56"/>
      <c r="BB541" s="56"/>
      <c r="BC541" s="56"/>
    </row>
    <row r="542" customFormat="false" ht="21.75" hidden="false" customHeight="true" outlineLevel="0" collapsed="false">
      <c r="B542" s="54" t="n">
        <v>27</v>
      </c>
      <c r="C542" s="54"/>
      <c r="D542" s="55"/>
      <c r="E542" s="55"/>
      <c r="F542" s="55"/>
      <c r="G542" s="55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6"/>
      <c r="AQ542" s="56"/>
      <c r="AR542" s="56"/>
      <c r="AS542" s="56"/>
      <c r="AT542" s="56"/>
      <c r="AU542" s="56"/>
      <c r="AV542" s="56"/>
      <c r="AW542" s="56"/>
      <c r="AX542" s="56"/>
      <c r="AY542" s="56"/>
      <c r="AZ542" s="56"/>
      <c r="BA542" s="56"/>
      <c r="BB542" s="56"/>
      <c r="BC542" s="56"/>
    </row>
    <row r="543" customFormat="false" ht="21.75" hidden="false" customHeight="true" outlineLevel="0" collapsed="false">
      <c r="B543" s="54" t="n">
        <v>28</v>
      </c>
      <c r="C543" s="54"/>
      <c r="D543" s="55"/>
      <c r="E543" s="55"/>
      <c r="F543" s="55"/>
      <c r="G543" s="55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56"/>
      <c r="AQ543" s="56"/>
      <c r="AR543" s="56"/>
      <c r="AS543" s="56"/>
      <c r="AT543" s="56"/>
      <c r="AU543" s="56"/>
      <c r="AV543" s="56"/>
      <c r="AW543" s="56"/>
      <c r="AX543" s="56"/>
      <c r="AY543" s="56"/>
      <c r="AZ543" s="56"/>
      <c r="BA543" s="56"/>
      <c r="BB543" s="56"/>
      <c r="BC543" s="56"/>
    </row>
    <row r="544" customFormat="false" ht="21.75" hidden="false" customHeight="true" outlineLevel="0" collapsed="false">
      <c r="B544" s="54" t="n">
        <v>29</v>
      </c>
      <c r="C544" s="54"/>
      <c r="D544" s="55"/>
      <c r="E544" s="55"/>
      <c r="F544" s="55"/>
      <c r="G544" s="55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56"/>
      <c r="AQ544" s="56"/>
      <c r="AR544" s="56"/>
      <c r="AS544" s="56"/>
      <c r="AT544" s="56"/>
      <c r="AU544" s="56"/>
      <c r="AV544" s="56"/>
      <c r="AW544" s="56"/>
      <c r="AX544" s="56"/>
      <c r="AY544" s="56"/>
      <c r="AZ544" s="56"/>
      <c r="BA544" s="56"/>
      <c r="BB544" s="56"/>
      <c r="BC544" s="56"/>
    </row>
    <row r="545" customFormat="false" ht="21.75" hidden="false" customHeight="true" outlineLevel="0" collapsed="false">
      <c r="B545" s="54" t="n">
        <v>30</v>
      </c>
      <c r="C545" s="54"/>
      <c r="D545" s="55"/>
      <c r="E545" s="55"/>
      <c r="F545" s="55"/>
      <c r="G545" s="55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6"/>
      <c r="AQ545" s="56"/>
      <c r="AR545" s="56"/>
      <c r="AS545" s="56"/>
      <c r="AT545" s="56"/>
      <c r="AU545" s="56"/>
      <c r="AV545" s="56"/>
      <c r="AW545" s="56"/>
      <c r="AX545" s="56"/>
      <c r="AY545" s="56"/>
      <c r="AZ545" s="56"/>
      <c r="BA545" s="56"/>
      <c r="BB545" s="56"/>
      <c r="BC545" s="56"/>
    </row>
    <row r="546" customFormat="false" ht="21.75" hidden="false" customHeight="true" outlineLevel="0" collapsed="false">
      <c r="B546" s="54" t="n">
        <v>31</v>
      </c>
      <c r="C546" s="54"/>
      <c r="D546" s="55"/>
      <c r="E546" s="55"/>
      <c r="F546" s="55"/>
      <c r="G546" s="55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56"/>
      <c r="AQ546" s="56"/>
      <c r="AR546" s="56"/>
      <c r="AS546" s="56"/>
      <c r="AT546" s="56"/>
      <c r="AU546" s="56"/>
      <c r="AV546" s="56"/>
      <c r="AW546" s="56"/>
      <c r="AX546" s="56"/>
      <c r="AY546" s="56"/>
      <c r="AZ546" s="56"/>
      <c r="BA546" s="56"/>
      <c r="BB546" s="56"/>
      <c r="BC546" s="56"/>
    </row>
    <row r="547" customFormat="false" ht="21.75" hidden="false" customHeight="true" outlineLevel="0" collapsed="false">
      <c r="B547" s="54" t="n">
        <v>32</v>
      </c>
      <c r="C547" s="54"/>
      <c r="D547" s="55"/>
      <c r="E547" s="55"/>
      <c r="F547" s="55"/>
      <c r="G547" s="55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6"/>
      <c r="AQ547" s="56"/>
      <c r="AR547" s="56"/>
      <c r="AS547" s="56"/>
      <c r="AT547" s="56"/>
      <c r="AU547" s="56"/>
      <c r="AV547" s="56"/>
      <c r="AW547" s="56"/>
      <c r="AX547" s="56"/>
      <c r="AY547" s="56"/>
      <c r="AZ547" s="56"/>
      <c r="BA547" s="56"/>
      <c r="BB547" s="56"/>
      <c r="BC547" s="56"/>
    </row>
    <row r="548" customFormat="false" ht="21.75" hidden="false" customHeight="true" outlineLevel="0" collapsed="false">
      <c r="B548" s="54" t="n">
        <v>33</v>
      </c>
      <c r="C548" s="54"/>
      <c r="D548" s="55"/>
      <c r="E548" s="55"/>
      <c r="F548" s="55"/>
      <c r="G548" s="55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6"/>
      <c r="AQ548" s="56"/>
      <c r="AR548" s="56"/>
      <c r="AS548" s="56"/>
      <c r="AT548" s="56"/>
      <c r="AU548" s="56"/>
      <c r="AV548" s="56"/>
      <c r="AW548" s="56"/>
      <c r="AX548" s="56"/>
      <c r="AY548" s="56"/>
      <c r="AZ548" s="56"/>
      <c r="BA548" s="56"/>
      <c r="BB548" s="56"/>
      <c r="BC548" s="56"/>
    </row>
    <row r="549" customFormat="false" ht="21.75" hidden="false" customHeight="true" outlineLevel="0" collapsed="false">
      <c r="B549" s="54" t="n">
        <v>34</v>
      </c>
      <c r="C549" s="54"/>
      <c r="D549" s="55"/>
      <c r="E549" s="55"/>
      <c r="F549" s="55"/>
      <c r="G549" s="55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6"/>
      <c r="AQ549" s="56"/>
      <c r="AR549" s="56"/>
      <c r="AS549" s="56"/>
      <c r="AT549" s="56"/>
      <c r="AU549" s="56"/>
      <c r="AV549" s="56"/>
      <c r="AW549" s="56"/>
      <c r="AX549" s="56"/>
      <c r="AY549" s="56"/>
      <c r="AZ549" s="56"/>
      <c r="BA549" s="56"/>
      <c r="BB549" s="56"/>
      <c r="BC549" s="56"/>
    </row>
    <row r="550" customFormat="false" ht="21.75" hidden="false" customHeight="true" outlineLevel="0" collapsed="false">
      <c r="B550" s="54" t="n">
        <v>35</v>
      </c>
      <c r="C550" s="54"/>
      <c r="D550" s="55"/>
      <c r="E550" s="55"/>
      <c r="F550" s="55"/>
      <c r="G550" s="55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  <c r="AO550" s="56"/>
      <c r="AP550" s="56"/>
      <c r="AQ550" s="56"/>
      <c r="AR550" s="56"/>
      <c r="AS550" s="56"/>
      <c r="AT550" s="56"/>
      <c r="AU550" s="56"/>
      <c r="AV550" s="56"/>
      <c r="AW550" s="56"/>
      <c r="AX550" s="56"/>
      <c r="AY550" s="56"/>
      <c r="AZ550" s="56"/>
      <c r="BA550" s="56"/>
      <c r="BB550" s="56"/>
      <c r="BC550" s="56"/>
    </row>
    <row r="551" customFormat="false" ht="21.75" hidden="false" customHeight="true" outlineLevel="0" collapsed="false">
      <c r="B551" s="54" t="n">
        <v>36</v>
      </c>
      <c r="C551" s="54"/>
      <c r="D551" s="55"/>
      <c r="E551" s="55"/>
      <c r="F551" s="55"/>
      <c r="G551" s="55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6"/>
      <c r="AQ551" s="56"/>
      <c r="AR551" s="56"/>
      <c r="AS551" s="56"/>
      <c r="AT551" s="56"/>
      <c r="AU551" s="56"/>
      <c r="AV551" s="56"/>
      <c r="AW551" s="56"/>
      <c r="AX551" s="56"/>
      <c r="AY551" s="56"/>
      <c r="AZ551" s="56"/>
      <c r="BA551" s="56"/>
      <c r="BB551" s="56"/>
      <c r="BC551" s="56"/>
    </row>
    <row r="552" customFormat="false" ht="21.75" hidden="false" customHeight="true" outlineLevel="0" collapsed="false">
      <c r="B552" s="54" t="n">
        <v>37</v>
      </c>
      <c r="C552" s="54"/>
      <c r="D552" s="55"/>
      <c r="E552" s="55"/>
      <c r="F552" s="55"/>
      <c r="G552" s="55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56"/>
      <c r="AQ552" s="56"/>
      <c r="AR552" s="56"/>
      <c r="AS552" s="56"/>
      <c r="AT552" s="56"/>
      <c r="AU552" s="56"/>
      <c r="AV552" s="56"/>
      <c r="AW552" s="56"/>
      <c r="AX552" s="56"/>
      <c r="AY552" s="56"/>
      <c r="AZ552" s="56"/>
      <c r="BA552" s="56"/>
      <c r="BB552" s="56"/>
      <c r="BC552" s="56"/>
    </row>
    <row r="553" customFormat="false" ht="21.75" hidden="false" customHeight="true" outlineLevel="0" collapsed="false">
      <c r="B553" s="54" t="n">
        <v>38</v>
      </c>
      <c r="C553" s="54"/>
      <c r="D553" s="55"/>
      <c r="E553" s="55"/>
      <c r="F553" s="55"/>
      <c r="G553" s="55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6"/>
      <c r="AQ553" s="56"/>
      <c r="AR553" s="56"/>
      <c r="AS553" s="56"/>
      <c r="AT553" s="56"/>
      <c r="AU553" s="56"/>
      <c r="AV553" s="56"/>
      <c r="AW553" s="56"/>
      <c r="AX553" s="56"/>
      <c r="AY553" s="56"/>
      <c r="AZ553" s="56"/>
      <c r="BA553" s="56"/>
      <c r="BB553" s="56"/>
      <c r="BC553" s="56"/>
    </row>
    <row r="554" customFormat="false" ht="21.75" hidden="false" customHeight="true" outlineLevel="0" collapsed="false">
      <c r="B554" s="54" t="n">
        <v>39</v>
      </c>
      <c r="C554" s="54"/>
      <c r="D554" s="55"/>
      <c r="E554" s="55"/>
      <c r="F554" s="55"/>
      <c r="G554" s="55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6"/>
      <c r="AQ554" s="56"/>
      <c r="AR554" s="56"/>
      <c r="AS554" s="56"/>
      <c r="AT554" s="56"/>
      <c r="AU554" s="56"/>
      <c r="AV554" s="56"/>
      <c r="AW554" s="56"/>
      <c r="AX554" s="56"/>
      <c r="AY554" s="56"/>
      <c r="AZ554" s="56"/>
      <c r="BA554" s="56"/>
      <c r="BB554" s="56"/>
      <c r="BC554" s="56"/>
    </row>
    <row r="555" customFormat="false" ht="21.75" hidden="false" customHeight="true" outlineLevel="0" collapsed="false">
      <c r="B555" s="54" t="n">
        <v>40</v>
      </c>
      <c r="C555" s="54"/>
      <c r="D555" s="55"/>
      <c r="E555" s="55"/>
      <c r="F555" s="55"/>
      <c r="G555" s="55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6"/>
      <c r="AQ555" s="56"/>
      <c r="AR555" s="56"/>
      <c r="AS555" s="56"/>
      <c r="AT555" s="56"/>
      <c r="AU555" s="56"/>
      <c r="AV555" s="56"/>
      <c r="AW555" s="56"/>
      <c r="AX555" s="56"/>
      <c r="AY555" s="56"/>
      <c r="AZ555" s="56"/>
      <c r="BA555" s="56"/>
      <c r="BB555" s="56"/>
      <c r="BC555" s="56"/>
    </row>
    <row r="556" customFormat="false" ht="24" hidden="false" customHeight="true" outlineLevel="0" collapsed="false">
      <c r="B556" s="57" t="s">
        <v>78</v>
      </c>
      <c r="C556" s="57"/>
      <c r="E556" s="58" t="s">
        <v>106</v>
      </c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  <c r="AD556" s="58"/>
      <c r="AE556" s="58"/>
      <c r="AF556" s="58"/>
      <c r="AG556" s="58"/>
      <c r="AH556" s="58"/>
      <c r="AI556" s="58"/>
      <c r="AJ556" s="58"/>
      <c r="AK556" s="58"/>
      <c r="AL556" s="58"/>
      <c r="AM556" s="58"/>
      <c r="AN556" s="58"/>
      <c r="AO556" s="58"/>
      <c r="AP556" s="58"/>
      <c r="AQ556" s="58"/>
      <c r="AR556" s="58"/>
      <c r="AS556" s="58"/>
      <c r="AT556" s="58"/>
      <c r="AU556" s="58"/>
      <c r="AV556" s="58"/>
      <c r="AW556" s="58"/>
      <c r="AX556" s="58"/>
      <c r="AY556" s="58"/>
      <c r="AZ556" s="58"/>
      <c r="BA556" s="58"/>
      <c r="BB556" s="58"/>
      <c r="BC556" s="58"/>
    </row>
    <row r="557" customFormat="false" ht="12" hidden="false" customHeight="true" outlineLevel="0" collapsed="false"/>
    <row r="558" customFormat="false" ht="21.75" hidden="false" customHeight="true" outlineLevel="0" collapsed="false">
      <c r="B558" s="6"/>
      <c r="C558" s="37" t="s">
        <v>107</v>
      </c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  <c r="AE558" s="37"/>
      <c r="AF558" s="37"/>
      <c r="AG558" s="37"/>
      <c r="AH558" s="37"/>
      <c r="AI558" s="37"/>
      <c r="AJ558" s="37"/>
      <c r="AK558" s="37"/>
      <c r="AL558" s="38" t="s">
        <v>108</v>
      </c>
      <c r="AM558" s="38"/>
      <c r="AN558" s="38"/>
      <c r="AO558" s="38"/>
      <c r="AP558" s="38"/>
      <c r="AQ558" s="38"/>
      <c r="AR558" s="38"/>
      <c r="AS558" s="38"/>
      <c r="AT558" s="38"/>
      <c r="AU558" s="38"/>
      <c r="AV558" s="38"/>
      <c r="AW558" s="38"/>
      <c r="AX558" s="38"/>
      <c r="AY558" s="38"/>
      <c r="AZ558" s="38"/>
      <c r="BA558" s="38"/>
      <c r="BB558" s="38"/>
      <c r="BC558" s="38"/>
    </row>
    <row r="559" customFormat="false" ht="27.75" hidden="false" customHeight="true" outlineLevel="0" collapsed="false">
      <c r="B559" s="52" t="s">
        <v>71</v>
      </c>
      <c r="C559" s="52"/>
      <c r="D559" s="53" t="s">
        <v>4</v>
      </c>
      <c r="E559" s="53"/>
      <c r="F559" s="53"/>
      <c r="G559" s="53"/>
      <c r="H559" s="53" t="s">
        <v>74</v>
      </c>
      <c r="I559" s="53"/>
      <c r="J559" s="53"/>
      <c r="K559" s="53"/>
      <c r="L559" s="53"/>
      <c r="M559" s="53"/>
      <c r="N559" s="53"/>
      <c r="O559" s="53"/>
      <c r="P559" s="53"/>
      <c r="Q559" s="53" t="s">
        <v>73</v>
      </c>
      <c r="R559" s="53"/>
      <c r="S559" s="53"/>
      <c r="T559" s="53"/>
      <c r="U559" s="53"/>
      <c r="V559" s="53"/>
      <c r="W559" s="53"/>
      <c r="X559" s="53" t="s">
        <v>109</v>
      </c>
      <c r="Y559" s="53"/>
      <c r="Z559" s="53"/>
      <c r="AA559" s="53"/>
      <c r="AB559" s="53"/>
      <c r="AC559" s="53" t="s">
        <v>110</v>
      </c>
      <c r="AD559" s="53"/>
      <c r="AE559" s="53"/>
      <c r="AF559" s="53"/>
      <c r="AG559" s="53"/>
      <c r="AH559" s="53" t="s">
        <v>92</v>
      </c>
      <c r="AI559" s="53"/>
      <c r="AJ559" s="53"/>
      <c r="AK559" s="53"/>
      <c r="AL559" s="53" t="s">
        <v>111</v>
      </c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</row>
    <row r="560" customFormat="false" ht="21.75" hidden="false" customHeight="true" outlineLevel="0" collapsed="false">
      <c r="B560" s="54" t="n">
        <v>1</v>
      </c>
      <c r="C560" s="54"/>
      <c r="D560" s="55"/>
      <c r="E560" s="55"/>
      <c r="F560" s="55"/>
      <c r="G560" s="55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6"/>
      <c r="AQ560" s="56"/>
      <c r="AR560" s="56"/>
      <c r="AS560" s="56"/>
      <c r="AT560" s="56"/>
      <c r="AU560" s="56"/>
      <c r="AV560" s="56"/>
      <c r="AW560" s="56"/>
      <c r="AX560" s="56"/>
      <c r="AY560" s="56"/>
      <c r="AZ560" s="56"/>
      <c r="BA560" s="56"/>
      <c r="BB560" s="56"/>
      <c r="BC560" s="56"/>
    </row>
    <row r="561" customFormat="false" ht="21.75" hidden="false" customHeight="true" outlineLevel="0" collapsed="false">
      <c r="B561" s="54" t="n">
        <v>2</v>
      </c>
      <c r="C561" s="54"/>
      <c r="D561" s="55"/>
      <c r="E561" s="55"/>
      <c r="F561" s="55"/>
      <c r="G561" s="55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56"/>
      <c r="AR561" s="56"/>
      <c r="AS561" s="56"/>
      <c r="AT561" s="56"/>
      <c r="AU561" s="56"/>
      <c r="AV561" s="56"/>
      <c r="AW561" s="56"/>
      <c r="AX561" s="56"/>
      <c r="AY561" s="56"/>
      <c r="AZ561" s="56"/>
      <c r="BA561" s="56"/>
      <c r="BB561" s="56"/>
      <c r="BC561" s="56"/>
    </row>
    <row r="562" customFormat="false" ht="21.75" hidden="false" customHeight="true" outlineLevel="0" collapsed="false">
      <c r="B562" s="54" t="n">
        <v>3</v>
      </c>
      <c r="C562" s="54"/>
      <c r="D562" s="55"/>
      <c r="E562" s="55"/>
      <c r="F562" s="55"/>
      <c r="G562" s="55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6"/>
      <c r="AQ562" s="56"/>
      <c r="AR562" s="56"/>
      <c r="AS562" s="56"/>
      <c r="AT562" s="56"/>
      <c r="AU562" s="56"/>
      <c r="AV562" s="56"/>
      <c r="AW562" s="56"/>
      <c r="AX562" s="56"/>
      <c r="AY562" s="56"/>
      <c r="AZ562" s="56"/>
      <c r="BA562" s="56"/>
      <c r="BB562" s="56"/>
      <c r="BC562" s="56"/>
    </row>
    <row r="563" customFormat="false" ht="21.75" hidden="false" customHeight="true" outlineLevel="0" collapsed="false">
      <c r="B563" s="54" t="n">
        <v>4</v>
      </c>
      <c r="C563" s="54"/>
      <c r="D563" s="55"/>
      <c r="E563" s="55"/>
      <c r="F563" s="55"/>
      <c r="G563" s="55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56"/>
      <c r="AS563" s="56"/>
      <c r="AT563" s="56"/>
      <c r="AU563" s="56"/>
      <c r="AV563" s="56"/>
      <c r="AW563" s="56"/>
      <c r="AX563" s="56"/>
      <c r="AY563" s="56"/>
      <c r="AZ563" s="56"/>
      <c r="BA563" s="56"/>
      <c r="BB563" s="56"/>
      <c r="BC563" s="56"/>
    </row>
    <row r="564" customFormat="false" ht="21.75" hidden="false" customHeight="true" outlineLevel="0" collapsed="false">
      <c r="B564" s="54" t="n">
        <v>5</v>
      </c>
      <c r="C564" s="54"/>
      <c r="D564" s="55"/>
      <c r="E564" s="55"/>
      <c r="F564" s="55"/>
      <c r="G564" s="55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6"/>
      <c r="AQ564" s="56"/>
      <c r="AR564" s="56"/>
      <c r="AS564" s="56"/>
      <c r="AT564" s="56"/>
      <c r="AU564" s="56"/>
      <c r="AV564" s="56"/>
      <c r="AW564" s="56"/>
      <c r="AX564" s="56"/>
      <c r="AY564" s="56"/>
      <c r="AZ564" s="56"/>
      <c r="BA564" s="56"/>
      <c r="BB564" s="56"/>
      <c r="BC564" s="56"/>
    </row>
    <row r="565" customFormat="false" ht="21.75" hidden="false" customHeight="true" outlineLevel="0" collapsed="false">
      <c r="B565" s="54" t="n">
        <v>6</v>
      </c>
      <c r="C565" s="54"/>
      <c r="D565" s="55"/>
      <c r="E565" s="55"/>
      <c r="F565" s="55"/>
      <c r="G565" s="55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56"/>
      <c r="AR565" s="56"/>
      <c r="AS565" s="56"/>
      <c r="AT565" s="56"/>
      <c r="AU565" s="56"/>
      <c r="AV565" s="56"/>
      <c r="AW565" s="56"/>
      <c r="AX565" s="56"/>
      <c r="AY565" s="56"/>
      <c r="AZ565" s="56"/>
      <c r="BA565" s="56"/>
      <c r="BB565" s="56"/>
      <c r="BC565" s="56"/>
    </row>
    <row r="566" customFormat="false" ht="21.75" hidden="false" customHeight="true" outlineLevel="0" collapsed="false">
      <c r="B566" s="54" t="n">
        <v>7</v>
      </c>
      <c r="C566" s="54"/>
      <c r="D566" s="55"/>
      <c r="E566" s="55"/>
      <c r="F566" s="55"/>
      <c r="G566" s="55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6"/>
      <c r="AQ566" s="56"/>
      <c r="AR566" s="56"/>
      <c r="AS566" s="56"/>
      <c r="AT566" s="56"/>
      <c r="AU566" s="56"/>
      <c r="AV566" s="56"/>
      <c r="AW566" s="56"/>
      <c r="AX566" s="56"/>
      <c r="AY566" s="56"/>
      <c r="AZ566" s="56"/>
      <c r="BA566" s="56"/>
      <c r="BB566" s="56"/>
      <c r="BC566" s="56"/>
    </row>
    <row r="567" customFormat="false" ht="21.75" hidden="false" customHeight="true" outlineLevel="0" collapsed="false">
      <c r="B567" s="54" t="n">
        <v>8</v>
      </c>
      <c r="C567" s="54"/>
      <c r="D567" s="55"/>
      <c r="E567" s="55"/>
      <c r="F567" s="55"/>
      <c r="G567" s="55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56"/>
      <c r="AR567" s="56"/>
      <c r="AS567" s="56"/>
      <c r="AT567" s="56"/>
      <c r="AU567" s="56"/>
      <c r="AV567" s="56"/>
      <c r="AW567" s="56"/>
      <c r="AX567" s="56"/>
      <c r="AY567" s="56"/>
      <c r="AZ567" s="56"/>
      <c r="BA567" s="56"/>
      <c r="BB567" s="56"/>
      <c r="BC567" s="56"/>
    </row>
    <row r="568" customFormat="false" ht="21.75" hidden="false" customHeight="true" outlineLevel="0" collapsed="false">
      <c r="B568" s="54" t="n">
        <v>9</v>
      </c>
      <c r="C568" s="54"/>
      <c r="D568" s="55"/>
      <c r="E568" s="55"/>
      <c r="F568" s="55"/>
      <c r="G568" s="55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6"/>
      <c r="AQ568" s="56"/>
      <c r="AR568" s="56"/>
      <c r="AS568" s="56"/>
      <c r="AT568" s="56"/>
      <c r="AU568" s="56"/>
      <c r="AV568" s="56"/>
      <c r="AW568" s="56"/>
      <c r="AX568" s="56"/>
      <c r="AY568" s="56"/>
      <c r="AZ568" s="56"/>
      <c r="BA568" s="56"/>
      <c r="BB568" s="56"/>
      <c r="BC568" s="56"/>
    </row>
    <row r="569" customFormat="false" ht="21.75" hidden="false" customHeight="true" outlineLevel="0" collapsed="false">
      <c r="B569" s="54" t="n">
        <v>10</v>
      </c>
      <c r="C569" s="54"/>
      <c r="D569" s="55"/>
      <c r="E569" s="55"/>
      <c r="F569" s="55"/>
      <c r="G569" s="55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56"/>
      <c r="AR569" s="56"/>
      <c r="AS569" s="56"/>
      <c r="AT569" s="56"/>
      <c r="AU569" s="56"/>
      <c r="AV569" s="56"/>
      <c r="AW569" s="56"/>
      <c r="AX569" s="56"/>
      <c r="AY569" s="56"/>
      <c r="AZ569" s="56"/>
      <c r="BA569" s="56"/>
      <c r="BB569" s="56"/>
      <c r="BC569" s="56"/>
    </row>
    <row r="570" customFormat="false" ht="21.75" hidden="false" customHeight="true" outlineLevel="0" collapsed="false">
      <c r="B570" s="54" t="n">
        <v>11</v>
      </c>
      <c r="C570" s="54"/>
      <c r="D570" s="55"/>
      <c r="E570" s="55"/>
      <c r="F570" s="55"/>
      <c r="G570" s="55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6"/>
      <c r="AQ570" s="56"/>
      <c r="AR570" s="56"/>
      <c r="AS570" s="56"/>
      <c r="AT570" s="56"/>
      <c r="AU570" s="56"/>
      <c r="AV570" s="56"/>
      <c r="AW570" s="56"/>
      <c r="AX570" s="56"/>
      <c r="AY570" s="56"/>
      <c r="AZ570" s="56"/>
      <c r="BA570" s="56"/>
      <c r="BB570" s="56"/>
      <c r="BC570" s="56"/>
    </row>
    <row r="571" customFormat="false" ht="21.75" hidden="false" customHeight="true" outlineLevel="0" collapsed="false">
      <c r="B571" s="54" t="n">
        <v>12</v>
      </c>
      <c r="C571" s="54"/>
      <c r="D571" s="55"/>
      <c r="E571" s="55"/>
      <c r="F571" s="55"/>
      <c r="G571" s="55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6"/>
      <c r="AQ571" s="56"/>
      <c r="AR571" s="56"/>
      <c r="AS571" s="56"/>
      <c r="AT571" s="56"/>
      <c r="AU571" s="56"/>
      <c r="AV571" s="56"/>
      <c r="AW571" s="56"/>
      <c r="AX571" s="56"/>
      <c r="AY571" s="56"/>
      <c r="AZ571" s="56"/>
      <c r="BA571" s="56"/>
      <c r="BB571" s="56"/>
      <c r="BC571" s="56"/>
    </row>
    <row r="572" customFormat="false" ht="21.75" hidden="false" customHeight="true" outlineLevel="0" collapsed="false">
      <c r="B572" s="54" t="n">
        <v>13</v>
      </c>
      <c r="C572" s="54"/>
      <c r="D572" s="55"/>
      <c r="E572" s="55"/>
      <c r="F572" s="55"/>
      <c r="G572" s="55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6"/>
      <c r="AQ572" s="56"/>
      <c r="AR572" s="56"/>
      <c r="AS572" s="56"/>
      <c r="AT572" s="56"/>
      <c r="AU572" s="56"/>
      <c r="AV572" s="56"/>
      <c r="AW572" s="56"/>
      <c r="AX572" s="56"/>
      <c r="AY572" s="56"/>
      <c r="AZ572" s="56"/>
      <c r="BA572" s="56"/>
      <c r="BB572" s="56"/>
      <c r="BC572" s="56"/>
    </row>
    <row r="573" customFormat="false" ht="21.75" hidden="false" customHeight="true" outlineLevel="0" collapsed="false">
      <c r="B573" s="54" t="n">
        <v>14</v>
      </c>
      <c r="C573" s="54"/>
      <c r="D573" s="55"/>
      <c r="E573" s="55"/>
      <c r="F573" s="55"/>
      <c r="G573" s="55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6"/>
      <c r="AQ573" s="56"/>
      <c r="AR573" s="56"/>
      <c r="AS573" s="56"/>
      <c r="AT573" s="56"/>
      <c r="AU573" s="56"/>
      <c r="AV573" s="56"/>
      <c r="AW573" s="56"/>
      <c r="AX573" s="56"/>
      <c r="AY573" s="56"/>
      <c r="AZ573" s="56"/>
      <c r="BA573" s="56"/>
      <c r="BB573" s="56"/>
      <c r="BC573" s="56"/>
    </row>
    <row r="574" customFormat="false" ht="21.75" hidden="false" customHeight="true" outlineLevel="0" collapsed="false">
      <c r="B574" s="54" t="n">
        <v>15</v>
      </c>
      <c r="C574" s="54"/>
      <c r="D574" s="55"/>
      <c r="E574" s="55"/>
      <c r="F574" s="55"/>
      <c r="G574" s="55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6"/>
      <c r="AQ574" s="56"/>
      <c r="AR574" s="56"/>
      <c r="AS574" s="56"/>
      <c r="AT574" s="56"/>
      <c r="AU574" s="56"/>
      <c r="AV574" s="56"/>
      <c r="AW574" s="56"/>
      <c r="AX574" s="56"/>
      <c r="AY574" s="56"/>
      <c r="AZ574" s="56"/>
      <c r="BA574" s="56"/>
      <c r="BB574" s="56"/>
      <c r="BC574" s="56"/>
    </row>
    <row r="575" customFormat="false" ht="21.75" hidden="false" customHeight="true" outlineLevel="0" collapsed="false">
      <c r="B575" s="54" t="n">
        <v>16</v>
      </c>
      <c r="C575" s="54"/>
      <c r="D575" s="55"/>
      <c r="E575" s="55"/>
      <c r="F575" s="55"/>
      <c r="G575" s="55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6"/>
      <c r="AQ575" s="56"/>
      <c r="AR575" s="56"/>
      <c r="AS575" s="56"/>
      <c r="AT575" s="56"/>
      <c r="AU575" s="56"/>
      <c r="AV575" s="56"/>
      <c r="AW575" s="56"/>
      <c r="AX575" s="56"/>
      <c r="AY575" s="56"/>
      <c r="AZ575" s="56"/>
      <c r="BA575" s="56"/>
      <c r="BB575" s="56"/>
      <c r="BC575" s="56"/>
    </row>
    <row r="576" customFormat="false" ht="21.75" hidden="false" customHeight="true" outlineLevel="0" collapsed="false">
      <c r="B576" s="54" t="n">
        <v>17</v>
      </c>
      <c r="C576" s="54"/>
      <c r="D576" s="55"/>
      <c r="E576" s="55"/>
      <c r="F576" s="55"/>
      <c r="G576" s="55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6"/>
      <c r="AQ576" s="56"/>
      <c r="AR576" s="56"/>
      <c r="AS576" s="56"/>
      <c r="AT576" s="56"/>
      <c r="AU576" s="56"/>
      <c r="AV576" s="56"/>
      <c r="AW576" s="56"/>
      <c r="AX576" s="56"/>
      <c r="AY576" s="56"/>
      <c r="AZ576" s="56"/>
      <c r="BA576" s="56"/>
      <c r="BB576" s="56"/>
      <c r="BC576" s="56"/>
    </row>
    <row r="577" customFormat="false" ht="21.75" hidden="false" customHeight="true" outlineLevel="0" collapsed="false">
      <c r="B577" s="54" t="n">
        <v>18</v>
      </c>
      <c r="C577" s="54"/>
      <c r="D577" s="55"/>
      <c r="E577" s="55"/>
      <c r="F577" s="55"/>
      <c r="G577" s="55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6"/>
      <c r="AQ577" s="56"/>
      <c r="AR577" s="56"/>
      <c r="AS577" s="56"/>
      <c r="AT577" s="56"/>
      <c r="AU577" s="56"/>
      <c r="AV577" s="56"/>
      <c r="AW577" s="56"/>
      <c r="AX577" s="56"/>
      <c r="AY577" s="56"/>
      <c r="AZ577" s="56"/>
      <c r="BA577" s="56"/>
      <c r="BB577" s="56"/>
      <c r="BC577" s="56"/>
    </row>
    <row r="578" customFormat="false" ht="21.75" hidden="false" customHeight="true" outlineLevel="0" collapsed="false">
      <c r="B578" s="54" t="n">
        <v>19</v>
      </c>
      <c r="C578" s="54"/>
      <c r="D578" s="55"/>
      <c r="E578" s="55"/>
      <c r="F578" s="55"/>
      <c r="G578" s="55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6"/>
      <c r="AQ578" s="56"/>
      <c r="AR578" s="56"/>
      <c r="AS578" s="56"/>
      <c r="AT578" s="56"/>
      <c r="AU578" s="56"/>
      <c r="AV578" s="56"/>
      <c r="AW578" s="56"/>
      <c r="AX578" s="56"/>
      <c r="AY578" s="56"/>
      <c r="AZ578" s="56"/>
      <c r="BA578" s="56"/>
      <c r="BB578" s="56"/>
      <c r="BC578" s="56"/>
    </row>
    <row r="579" customFormat="false" ht="21.75" hidden="false" customHeight="true" outlineLevel="0" collapsed="false">
      <c r="B579" s="54" t="n">
        <v>20</v>
      </c>
      <c r="C579" s="54"/>
      <c r="D579" s="55"/>
      <c r="E579" s="55"/>
      <c r="F579" s="55"/>
      <c r="G579" s="55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6"/>
      <c r="AQ579" s="56"/>
      <c r="AR579" s="56"/>
      <c r="AS579" s="56"/>
      <c r="AT579" s="56"/>
      <c r="AU579" s="56"/>
      <c r="AV579" s="56"/>
      <c r="AW579" s="56"/>
      <c r="AX579" s="56"/>
      <c r="AY579" s="56"/>
      <c r="AZ579" s="56"/>
      <c r="BA579" s="56"/>
      <c r="BB579" s="56"/>
      <c r="BC579" s="56"/>
    </row>
    <row r="580" customFormat="false" ht="21.75" hidden="false" customHeight="true" outlineLevel="0" collapsed="false">
      <c r="B580" s="54" t="n">
        <v>21</v>
      </c>
      <c r="C580" s="54"/>
      <c r="D580" s="55"/>
      <c r="E580" s="55"/>
      <c r="F580" s="55"/>
      <c r="G580" s="55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6"/>
      <c r="AQ580" s="56"/>
      <c r="AR580" s="56"/>
      <c r="AS580" s="56"/>
      <c r="AT580" s="56"/>
      <c r="AU580" s="56"/>
      <c r="AV580" s="56"/>
      <c r="AW580" s="56"/>
      <c r="AX580" s="56"/>
      <c r="AY580" s="56"/>
      <c r="AZ580" s="56"/>
      <c r="BA580" s="56"/>
      <c r="BB580" s="56"/>
      <c r="BC580" s="56"/>
    </row>
    <row r="581" customFormat="false" ht="21.75" hidden="false" customHeight="true" outlineLevel="0" collapsed="false">
      <c r="B581" s="54" t="n">
        <v>22</v>
      </c>
      <c r="C581" s="54"/>
      <c r="D581" s="55"/>
      <c r="E581" s="55"/>
      <c r="F581" s="55"/>
      <c r="G581" s="55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6"/>
      <c r="AQ581" s="56"/>
      <c r="AR581" s="56"/>
      <c r="AS581" s="56"/>
      <c r="AT581" s="56"/>
      <c r="AU581" s="56"/>
      <c r="AV581" s="56"/>
      <c r="AW581" s="56"/>
      <c r="AX581" s="56"/>
      <c r="AY581" s="56"/>
      <c r="AZ581" s="56"/>
      <c r="BA581" s="56"/>
      <c r="BB581" s="56"/>
      <c r="BC581" s="56"/>
    </row>
    <row r="582" customFormat="false" ht="21.75" hidden="false" customHeight="true" outlineLevel="0" collapsed="false">
      <c r="B582" s="54" t="n">
        <v>23</v>
      </c>
      <c r="C582" s="54"/>
      <c r="D582" s="55"/>
      <c r="E582" s="55"/>
      <c r="F582" s="55"/>
      <c r="G582" s="55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6"/>
      <c r="AQ582" s="56"/>
      <c r="AR582" s="56"/>
      <c r="AS582" s="56"/>
      <c r="AT582" s="56"/>
      <c r="AU582" s="56"/>
      <c r="AV582" s="56"/>
      <c r="AW582" s="56"/>
      <c r="AX582" s="56"/>
      <c r="AY582" s="56"/>
      <c r="AZ582" s="56"/>
      <c r="BA582" s="56"/>
      <c r="BB582" s="56"/>
      <c r="BC582" s="56"/>
    </row>
    <row r="583" customFormat="false" ht="21.75" hidden="false" customHeight="true" outlineLevel="0" collapsed="false">
      <c r="B583" s="54" t="n">
        <v>24</v>
      </c>
      <c r="C583" s="54"/>
      <c r="D583" s="55"/>
      <c r="E583" s="55"/>
      <c r="F583" s="55"/>
      <c r="G583" s="55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6"/>
      <c r="AQ583" s="56"/>
      <c r="AR583" s="56"/>
      <c r="AS583" s="56"/>
      <c r="AT583" s="56"/>
      <c r="AU583" s="56"/>
      <c r="AV583" s="56"/>
      <c r="AW583" s="56"/>
      <c r="AX583" s="56"/>
      <c r="AY583" s="56"/>
      <c r="AZ583" s="56"/>
      <c r="BA583" s="56"/>
      <c r="BB583" s="56"/>
      <c r="BC583" s="56"/>
    </row>
    <row r="584" customFormat="false" ht="21.75" hidden="false" customHeight="true" outlineLevel="0" collapsed="false">
      <c r="B584" s="54" t="n">
        <v>25</v>
      </c>
      <c r="C584" s="54"/>
      <c r="D584" s="55"/>
      <c r="E584" s="55"/>
      <c r="F584" s="55"/>
      <c r="G584" s="55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6"/>
      <c r="AQ584" s="56"/>
      <c r="AR584" s="56"/>
      <c r="AS584" s="56"/>
      <c r="AT584" s="56"/>
      <c r="AU584" s="56"/>
      <c r="AV584" s="56"/>
      <c r="AW584" s="56"/>
      <c r="AX584" s="56"/>
      <c r="AY584" s="56"/>
      <c r="AZ584" s="56"/>
      <c r="BA584" s="56"/>
      <c r="BB584" s="56"/>
      <c r="BC584" s="56"/>
    </row>
    <row r="585" customFormat="false" ht="21.75" hidden="false" customHeight="true" outlineLevel="0" collapsed="false">
      <c r="B585" s="54" t="n">
        <v>26</v>
      </c>
      <c r="C585" s="54"/>
      <c r="D585" s="55"/>
      <c r="E585" s="55"/>
      <c r="F585" s="55"/>
      <c r="G585" s="55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6"/>
      <c r="AQ585" s="56"/>
      <c r="AR585" s="56"/>
      <c r="AS585" s="56"/>
      <c r="AT585" s="56"/>
      <c r="AU585" s="56"/>
      <c r="AV585" s="56"/>
      <c r="AW585" s="56"/>
      <c r="AX585" s="56"/>
      <c r="AY585" s="56"/>
      <c r="AZ585" s="56"/>
      <c r="BA585" s="56"/>
      <c r="BB585" s="56"/>
      <c r="BC585" s="56"/>
    </row>
    <row r="586" customFormat="false" ht="21.75" hidden="false" customHeight="true" outlineLevel="0" collapsed="false">
      <c r="B586" s="54" t="n">
        <v>27</v>
      </c>
      <c r="C586" s="54"/>
      <c r="D586" s="55"/>
      <c r="E586" s="55"/>
      <c r="F586" s="55"/>
      <c r="G586" s="55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6"/>
      <c r="AQ586" s="56"/>
      <c r="AR586" s="56"/>
      <c r="AS586" s="56"/>
      <c r="AT586" s="56"/>
      <c r="AU586" s="56"/>
      <c r="AV586" s="56"/>
      <c r="AW586" s="56"/>
      <c r="AX586" s="56"/>
      <c r="AY586" s="56"/>
      <c r="AZ586" s="56"/>
      <c r="BA586" s="56"/>
      <c r="BB586" s="56"/>
      <c r="BC586" s="56"/>
    </row>
    <row r="587" customFormat="false" ht="21.75" hidden="false" customHeight="true" outlineLevel="0" collapsed="false">
      <c r="B587" s="54" t="n">
        <v>28</v>
      </c>
      <c r="C587" s="54"/>
      <c r="D587" s="55"/>
      <c r="E587" s="55"/>
      <c r="F587" s="55"/>
      <c r="G587" s="55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6"/>
      <c r="AQ587" s="56"/>
      <c r="AR587" s="56"/>
      <c r="AS587" s="56"/>
      <c r="AT587" s="56"/>
      <c r="AU587" s="56"/>
      <c r="AV587" s="56"/>
      <c r="AW587" s="56"/>
      <c r="AX587" s="56"/>
      <c r="AY587" s="56"/>
      <c r="AZ587" s="56"/>
      <c r="BA587" s="56"/>
      <c r="BB587" s="56"/>
      <c r="BC587" s="56"/>
    </row>
    <row r="588" customFormat="false" ht="21.75" hidden="false" customHeight="true" outlineLevel="0" collapsed="false">
      <c r="B588" s="54" t="n">
        <v>29</v>
      </c>
      <c r="C588" s="54"/>
      <c r="D588" s="55"/>
      <c r="E588" s="55"/>
      <c r="F588" s="55"/>
      <c r="G588" s="55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6"/>
      <c r="AQ588" s="56"/>
      <c r="AR588" s="56"/>
      <c r="AS588" s="56"/>
      <c r="AT588" s="56"/>
      <c r="AU588" s="56"/>
      <c r="AV588" s="56"/>
      <c r="AW588" s="56"/>
      <c r="AX588" s="56"/>
      <c r="AY588" s="56"/>
      <c r="AZ588" s="56"/>
      <c r="BA588" s="56"/>
      <c r="BB588" s="56"/>
      <c r="BC588" s="56"/>
    </row>
    <row r="589" customFormat="false" ht="21.75" hidden="false" customHeight="true" outlineLevel="0" collapsed="false">
      <c r="B589" s="54" t="n">
        <v>30</v>
      </c>
      <c r="C589" s="54"/>
      <c r="D589" s="55"/>
      <c r="E589" s="55"/>
      <c r="F589" s="55"/>
      <c r="G589" s="55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6"/>
      <c r="AQ589" s="56"/>
      <c r="AR589" s="56"/>
      <c r="AS589" s="56"/>
      <c r="AT589" s="56"/>
      <c r="AU589" s="56"/>
      <c r="AV589" s="56"/>
      <c r="AW589" s="56"/>
      <c r="AX589" s="56"/>
      <c r="AY589" s="56"/>
      <c r="AZ589" s="56"/>
      <c r="BA589" s="56"/>
      <c r="BB589" s="56"/>
      <c r="BC589" s="56"/>
    </row>
    <row r="590" customFormat="false" ht="21.75" hidden="false" customHeight="true" outlineLevel="0" collapsed="false">
      <c r="B590" s="54" t="n">
        <v>31</v>
      </c>
      <c r="C590" s="54"/>
      <c r="D590" s="55"/>
      <c r="E590" s="55"/>
      <c r="F590" s="55"/>
      <c r="G590" s="55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6"/>
      <c r="AQ590" s="56"/>
      <c r="AR590" s="56"/>
      <c r="AS590" s="56"/>
      <c r="AT590" s="56"/>
      <c r="AU590" s="56"/>
      <c r="AV590" s="56"/>
      <c r="AW590" s="56"/>
      <c r="AX590" s="56"/>
      <c r="AY590" s="56"/>
      <c r="AZ590" s="56"/>
      <c r="BA590" s="56"/>
      <c r="BB590" s="56"/>
      <c r="BC590" s="56"/>
    </row>
    <row r="591" customFormat="false" ht="21.75" hidden="false" customHeight="true" outlineLevel="0" collapsed="false">
      <c r="B591" s="54" t="n">
        <v>32</v>
      </c>
      <c r="C591" s="54"/>
      <c r="D591" s="55"/>
      <c r="E591" s="55"/>
      <c r="F591" s="55"/>
      <c r="G591" s="55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56"/>
      <c r="AR591" s="56"/>
      <c r="AS591" s="56"/>
      <c r="AT591" s="56"/>
      <c r="AU591" s="56"/>
      <c r="AV591" s="56"/>
      <c r="AW591" s="56"/>
      <c r="AX591" s="56"/>
      <c r="AY591" s="56"/>
      <c r="AZ591" s="56"/>
      <c r="BA591" s="56"/>
      <c r="BB591" s="56"/>
      <c r="BC591" s="56"/>
    </row>
    <row r="592" customFormat="false" ht="21.75" hidden="false" customHeight="true" outlineLevel="0" collapsed="false">
      <c r="B592" s="54" t="n">
        <v>33</v>
      </c>
      <c r="C592" s="54"/>
      <c r="D592" s="55"/>
      <c r="E592" s="55"/>
      <c r="F592" s="55"/>
      <c r="G592" s="55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6"/>
      <c r="AQ592" s="56"/>
      <c r="AR592" s="56"/>
      <c r="AS592" s="56"/>
      <c r="AT592" s="56"/>
      <c r="AU592" s="56"/>
      <c r="AV592" s="56"/>
      <c r="AW592" s="56"/>
      <c r="AX592" s="56"/>
      <c r="AY592" s="56"/>
      <c r="AZ592" s="56"/>
      <c r="BA592" s="56"/>
      <c r="BB592" s="56"/>
      <c r="BC592" s="56"/>
    </row>
    <row r="593" customFormat="false" ht="21.75" hidden="false" customHeight="true" outlineLevel="0" collapsed="false">
      <c r="B593" s="54" t="n">
        <v>34</v>
      </c>
      <c r="C593" s="54"/>
      <c r="D593" s="55"/>
      <c r="E593" s="55"/>
      <c r="F593" s="55"/>
      <c r="G593" s="55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6"/>
      <c r="AQ593" s="56"/>
      <c r="AR593" s="56"/>
      <c r="AS593" s="56"/>
      <c r="AT593" s="56"/>
      <c r="AU593" s="56"/>
      <c r="AV593" s="56"/>
      <c r="AW593" s="56"/>
      <c r="AX593" s="56"/>
      <c r="AY593" s="56"/>
      <c r="AZ593" s="56"/>
      <c r="BA593" s="56"/>
      <c r="BB593" s="56"/>
      <c r="BC593" s="56"/>
    </row>
    <row r="594" customFormat="false" ht="21.75" hidden="false" customHeight="true" outlineLevel="0" collapsed="false">
      <c r="B594" s="54" t="n">
        <v>35</v>
      </c>
      <c r="C594" s="54"/>
      <c r="D594" s="55"/>
      <c r="E594" s="55"/>
      <c r="F594" s="55"/>
      <c r="G594" s="55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6"/>
      <c r="AQ594" s="56"/>
      <c r="AR594" s="56"/>
      <c r="AS594" s="56"/>
      <c r="AT594" s="56"/>
      <c r="AU594" s="56"/>
      <c r="AV594" s="56"/>
      <c r="AW594" s="56"/>
      <c r="AX594" s="56"/>
      <c r="AY594" s="56"/>
      <c r="AZ594" s="56"/>
      <c r="BA594" s="56"/>
      <c r="BB594" s="56"/>
      <c r="BC594" s="56"/>
    </row>
    <row r="595" customFormat="false" ht="21.75" hidden="false" customHeight="true" outlineLevel="0" collapsed="false">
      <c r="B595" s="54" t="n">
        <v>36</v>
      </c>
      <c r="C595" s="54"/>
      <c r="D595" s="55"/>
      <c r="E595" s="55"/>
      <c r="F595" s="55"/>
      <c r="G595" s="55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6"/>
      <c r="AQ595" s="56"/>
      <c r="AR595" s="56"/>
      <c r="AS595" s="56"/>
      <c r="AT595" s="56"/>
      <c r="AU595" s="56"/>
      <c r="AV595" s="56"/>
      <c r="AW595" s="56"/>
      <c r="AX595" s="56"/>
      <c r="AY595" s="56"/>
      <c r="AZ595" s="56"/>
      <c r="BA595" s="56"/>
      <c r="BB595" s="56"/>
      <c r="BC595" s="56"/>
    </row>
    <row r="596" customFormat="false" ht="21.75" hidden="false" customHeight="true" outlineLevel="0" collapsed="false">
      <c r="B596" s="54" t="n">
        <v>37</v>
      </c>
      <c r="C596" s="54"/>
      <c r="D596" s="55"/>
      <c r="E596" s="55"/>
      <c r="F596" s="55"/>
      <c r="G596" s="55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6"/>
      <c r="AQ596" s="56"/>
      <c r="AR596" s="56"/>
      <c r="AS596" s="56"/>
      <c r="AT596" s="56"/>
      <c r="AU596" s="56"/>
      <c r="AV596" s="56"/>
      <c r="AW596" s="56"/>
      <c r="AX596" s="56"/>
      <c r="AY596" s="56"/>
      <c r="AZ596" s="56"/>
      <c r="BA596" s="56"/>
      <c r="BB596" s="56"/>
      <c r="BC596" s="56"/>
    </row>
    <row r="597" customFormat="false" ht="21.75" hidden="false" customHeight="true" outlineLevel="0" collapsed="false">
      <c r="B597" s="54" t="n">
        <v>38</v>
      </c>
      <c r="C597" s="54"/>
      <c r="D597" s="55"/>
      <c r="E597" s="55"/>
      <c r="F597" s="55"/>
      <c r="G597" s="55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56"/>
      <c r="AR597" s="56"/>
      <c r="AS597" s="56"/>
      <c r="AT597" s="56"/>
      <c r="AU597" s="56"/>
      <c r="AV597" s="56"/>
      <c r="AW597" s="56"/>
      <c r="AX597" s="56"/>
      <c r="AY597" s="56"/>
      <c r="AZ597" s="56"/>
      <c r="BA597" s="56"/>
      <c r="BB597" s="56"/>
      <c r="BC597" s="56"/>
    </row>
    <row r="598" customFormat="false" ht="21.75" hidden="false" customHeight="true" outlineLevel="0" collapsed="false">
      <c r="B598" s="54" t="n">
        <v>39</v>
      </c>
      <c r="C598" s="54"/>
      <c r="D598" s="55"/>
      <c r="E598" s="55"/>
      <c r="F598" s="55"/>
      <c r="G598" s="55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6"/>
      <c r="AQ598" s="56"/>
      <c r="AR598" s="56"/>
      <c r="AS598" s="56"/>
      <c r="AT598" s="56"/>
      <c r="AU598" s="56"/>
      <c r="AV598" s="56"/>
      <c r="AW598" s="56"/>
      <c r="AX598" s="56"/>
      <c r="AY598" s="56"/>
      <c r="AZ598" s="56"/>
      <c r="BA598" s="56"/>
      <c r="BB598" s="56"/>
      <c r="BC598" s="56"/>
    </row>
    <row r="599" customFormat="false" ht="21.75" hidden="false" customHeight="true" outlineLevel="0" collapsed="false">
      <c r="B599" s="54" t="n">
        <v>40</v>
      </c>
      <c r="C599" s="54"/>
      <c r="D599" s="55"/>
      <c r="E599" s="55"/>
      <c r="F599" s="55"/>
      <c r="G599" s="55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56"/>
      <c r="AR599" s="56"/>
      <c r="AS599" s="56"/>
      <c r="AT599" s="56"/>
      <c r="AU599" s="56"/>
      <c r="AV599" s="56"/>
      <c r="AW599" s="56"/>
      <c r="AX599" s="56"/>
      <c r="AY599" s="56"/>
      <c r="AZ599" s="56"/>
      <c r="BA599" s="56"/>
      <c r="BB599" s="56"/>
      <c r="BC599" s="56"/>
    </row>
    <row r="600" customFormat="false" ht="24" hidden="false" customHeight="true" outlineLevel="0" collapsed="false">
      <c r="B600" s="57" t="s">
        <v>78</v>
      </c>
      <c r="C600" s="57"/>
      <c r="E600" s="58" t="s">
        <v>112</v>
      </c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  <c r="AD600" s="58"/>
      <c r="AE600" s="58"/>
      <c r="AF600" s="58"/>
      <c r="AG600" s="58"/>
      <c r="AH600" s="58"/>
      <c r="AI600" s="58"/>
      <c r="AJ600" s="58"/>
      <c r="AK600" s="58"/>
      <c r="AL600" s="58"/>
      <c r="AM600" s="58"/>
      <c r="AN600" s="58"/>
      <c r="AO600" s="58"/>
      <c r="AP600" s="58"/>
      <c r="AQ600" s="58"/>
      <c r="AR600" s="58"/>
      <c r="AS600" s="58"/>
      <c r="AT600" s="58"/>
      <c r="AU600" s="58"/>
      <c r="AV600" s="58"/>
      <c r="AW600" s="58"/>
      <c r="AX600" s="58"/>
      <c r="AY600" s="58"/>
      <c r="AZ600" s="58"/>
      <c r="BA600" s="58"/>
      <c r="BB600" s="58"/>
      <c r="BC600" s="58"/>
    </row>
    <row r="601" customFormat="false" ht="12" hidden="false" customHeight="true" outlineLevel="0" collapsed="false"/>
    <row r="602" customFormat="false" ht="21.75" hidden="false" customHeight="true" outlineLevel="0" collapsed="false">
      <c r="B602" s="6"/>
      <c r="C602" s="37" t="s">
        <v>113</v>
      </c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  <c r="AE602" s="37"/>
      <c r="AF602" s="37"/>
      <c r="AG602" s="37"/>
      <c r="AH602" s="37"/>
      <c r="AI602" s="37"/>
      <c r="AJ602" s="37"/>
      <c r="AK602" s="37"/>
      <c r="AL602" s="38" t="s">
        <v>114</v>
      </c>
      <c r="AM602" s="38"/>
      <c r="AN602" s="38"/>
      <c r="AO602" s="38"/>
      <c r="AP602" s="38"/>
      <c r="AQ602" s="38"/>
      <c r="AR602" s="38"/>
      <c r="AS602" s="38"/>
      <c r="AT602" s="38"/>
      <c r="AU602" s="38"/>
      <c r="AV602" s="38"/>
      <c r="AW602" s="38"/>
      <c r="AX602" s="38"/>
      <c r="AY602" s="38"/>
      <c r="AZ602" s="38"/>
      <c r="BA602" s="38"/>
      <c r="BB602" s="38"/>
      <c r="BC602" s="38"/>
    </row>
    <row r="603" customFormat="false" ht="27.75" hidden="false" customHeight="true" outlineLevel="0" collapsed="false">
      <c r="B603" s="52" t="s">
        <v>71</v>
      </c>
      <c r="C603" s="52"/>
      <c r="D603" s="53" t="s">
        <v>4</v>
      </c>
      <c r="E603" s="53"/>
      <c r="F603" s="53"/>
      <c r="G603" s="53"/>
      <c r="H603" s="53" t="s">
        <v>115</v>
      </c>
      <c r="I603" s="53"/>
      <c r="J603" s="53"/>
      <c r="K603" s="53"/>
      <c r="L603" s="53" t="s">
        <v>102</v>
      </c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 t="s">
        <v>116</v>
      </c>
      <c r="AI603" s="53"/>
      <c r="AJ603" s="53"/>
      <c r="AK603" s="53"/>
      <c r="AL603" s="53" t="s">
        <v>117</v>
      </c>
      <c r="AM603" s="53"/>
      <c r="AN603" s="53"/>
      <c r="AO603" s="53"/>
      <c r="AP603" s="53"/>
      <c r="AQ603" s="53"/>
      <c r="AR603" s="53"/>
      <c r="AS603" s="53"/>
      <c r="AT603" s="53"/>
      <c r="AU603" s="53"/>
      <c r="AV603" s="53" t="s">
        <v>105</v>
      </c>
      <c r="AW603" s="53"/>
      <c r="AX603" s="53"/>
      <c r="AY603" s="53"/>
      <c r="AZ603" s="53"/>
      <c r="BA603" s="53"/>
      <c r="BB603" s="53"/>
      <c r="BC603" s="53"/>
    </row>
    <row r="604" customFormat="false" ht="21.75" hidden="false" customHeight="true" outlineLevel="0" collapsed="false">
      <c r="B604" s="54" t="n">
        <v>1</v>
      </c>
      <c r="C604" s="54"/>
      <c r="D604" s="55" t="n">
        <v>46296</v>
      </c>
      <c r="E604" s="55"/>
      <c r="F604" s="55"/>
      <c r="G604" s="55"/>
      <c r="H604" s="56"/>
      <c r="I604" s="56"/>
      <c r="J604" s="56"/>
      <c r="K604" s="56"/>
      <c r="L604" s="56" t="s">
        <v>118</v>
      </c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6"/>
      <c r="AQ604" s="56"/>
      <c r="AR604" s="56"/>
      <c r="AS604" s="56"/>
      <c r="AT604" s="56"/>
      <c r="AU604" s="56"/>
      <c r="AV604" s="56"/>
      <c r="AW604" s="56"/>
      <c r="AX604" s="56"/>
      <c r="AY604" s="56"/>
      <c r="AZ604" s="56"/>
      <c r="BA604" s="56"/>
      <c r="BB604" s="56"/>
      <c r="BC604" s="56"/>
    </row>
    <row r="605" customFormat="false" ht="21.75" hidden="false" customHeight="true" outlineLevel="0" collapsed="false">
      <c r="B605" s="54" t="n">
        <v>2</v>
      </c>
      <c r="C605" s="54"/>
      <c r="D605" s="55" t="n">
        <v>46298</v>
      </c>
      <c r="E605" s="55"/>
      <c r="F605" s="55"/>
      <c r="G605" s="55"/>
      <c r="H605" s="56" t="s">
        <v>119</v>
      </c>
      <c r="I605" s="56"/>
      <c r="J605" s="56"/>
      <c r="K605" s="56"/>
      <c r="L605" s="56" t="s">
        <v>44</v>
      </c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6"/>
      <c r="AQ605" s="56"/>
      <c r="AR605" s="56"/>
      <c r="AS605" s="56"/>
      <c r="AT605" s="56"/>
      <c r="AU605" s="56"/>
      <c r="AV605" s="56"/>
      <c r="AW605" s="56"/>
      <c r="AX605" s="56"/>
      <c r="AY605" s="56"/>
      <c r="AZ605" s="56"/>
      <c r="BA605" s="56"/>
      <c r="BB605" s="56"/>
      <c r="BC605" s="56"/>
    </row>
    <row r="606" customFormat="false" ht="21.75" hidden="false" customHeight="true" outlineLevel="0" collapsed="false">
      <c r="B606" s="54" t="n">
        <v>3</v>
      </c>
      <c r="C606" s="54"/>
      <c r="D606" s="55"/>
      <c r="E606" s="55"/>
      <c r="F606" s="55"/>
      <c r="G606" s="55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6"/>
      <c r="AP606" s="56"/>
      <c r="AQ606" s="56"/>
      <c r="AR606" s="56"/>
      <c r="AS606" s="56"/>
      <c r="AT606" s="56"/>
      <c r="AU606" s="56"/>
      <c r="AV606" s="56"/>
      <c r="AW606" s="56"/>
      <c r="AX606" s="56"/>
      <c r="AY606" s="56"/>
      <c r="AZ606" s="56"/>
      <c r="BA606" s="56"/>
      <c r="BB606" s="56"/>
      <c r="BC606" s="56"/>
    </row>
    <row r="607" customFormat="false" ht="21.75" hidden="false" customHeight="true" outlineLevel="0" collapsed="false">
      <c r="B607" s="54" t="n">
        <v>4</v>
      </c>
      <c r="C607" s="54"/>
      <c r="D607" s="55"/>
      <c r="E607" s="55"/>
      <c r="F607" s="55"/>
      <c r="G607" s="55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P607" s="56"/>
      <c r="AQ607" s="56"/>
      <c r="AR607" s="56"/>
      <c r="AS607" s="56"/>
      <c r="AT607" s="56"/>
      <c r="AU607" s="56"/>
      <c r="AV607" s="56"/>
      <c r="AW607" s="56"/>
      <c r="AX607" s="56"/>
      <c r="AY607" s="56"/>
      <c r="AZ607" s="56"/>
      <c r="BA607" s="56"/>
      <c r="BB607" s="56"/>
      <c r="BC607" s="56"/>
    </row>
    <row r="608" customFormat="false" ht="21.75" hidden="false" customHeight="true" outlineLevel="0" collapsed="false">
      <c r="B608" s="54" t="n">
        <v>5</v>
      </c>
      <c r="C608" s="54"/>
      <c r="D608" s="55"/>
      <c r="E608" s="55"/>
      <c r="F608" s="55"/>
      <c r="G608" s="55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6"/>
      <c r="AQ608" s="56"/>
      <c r="AR608" s="56"/>
      <c r="AS608" s="56"/>
      <c r="AT608" s="56"/>
      <c r="AU608" s="56"/>
      <c r="AV608" s="56"/>
      <c r="AW608" s="56"/>
      <c r="AX608" s="56"/>
      <c r="AY608" s="56"/>
      <c r="AZ608" s="56"/>
      <c r="BA608" s="56"/>
      <c r="BB608" s="56"/>
      <c r="BC608" s="56"/>
    </row>
    <row r="609" customFormat="false" ht="21.75" hidden="false" customHeight="true" outlineLevel="0" collapsed="false">
      <c r="B609" s="54" t="n">
        <v>6</v>
      </c>
      <c r="C609" s="54"/>
      <c r="D609" s="55"/>
      <c r="E609" s="55"/>
      <c r="F609" s="55"/>
      <c r="G609" s="55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6"/>
      <c r="AQ609" s="56"/>
      <c r="AR609" s="56"/>
      <c r="AS609" s="56"/>
      <c r="AT609" s="56"/>
      <c r="AU609" s="56"/>
      <c r="AV609" s="56"/>
      <c r="AW609" s="56"/>
      <c r="AX609" s="56"/>
      <c r="AY609" s="56"/>
      <c r="AZ609" s="56"/>
      <c r="BA609" s="56"/>
      <c r="BB609" s="56"/>
      <c r="BC609" s="56"/>
    </row>
    <row r="610" customFormat="false" ht="21.75" hidden="false" customHeight="true" outlineLevel="0" collapsed="false">
      <c r="B610" s="54" t="n">
        <v>7</v>
      </c>
      <c r="C610" s="54"/>
      <c r="D610" s="55"/>
      <c r="E610" s="55"/>
      <c r="F610" s="55"/>
      <c r="G610" s="55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6"/>
      <c r="AQ610" s="56"/>
      <c r="AR610" s="56"/>
      <c r="AS610" s="56"/>
      <c r="AT610" s="56"/>
      <c r="AU610" s="56"/>
      <c r="AV610" s="56"/>
      <c r="AW610" s="56"/>
      <c r="AX610" s="56"/>
      <c r="AY610" s="56"/>
      <c r="AZ610" s="56"/>
      <c r="BA610" s="56"/>
      <c r="BB610" s="56"/>
      <c r="BC610" s="56"/>
    </row>
    <row r="611" customFormat="false" ht="21.75" hidden="false" customHeight="true" outlineLevel="0" collapsed="false">
      <c r="B611" s="54" t="n">
        <v>8</v>
      </c>
      <c r="C611" s="54"/>
      <c r="D611" s="55"/>
      <c r="E611" s="55"/>
      <c r="F611" s="55"/>
      <c r="G611" s="55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6"/>
      <c r="AQ611" s="56"/>
      <c r="AR611" s="56"/>
      <c r="AS611" s="56"/>
      <c r="AT611" s="56"/>
      <c r="AU611" s="56"/>
      <c r="AV611" s="56"/>
      <c r="AW611" s="56"/>
      <c r="AX611" s="56"/>
      <c r="AY611" s="56"/>
      <c r="AZ611" s="56"/>
      <c r="BA611" s="56"/>
      <c r="BB611" s="56"/>
      <c r="BC611" s="56"/>
    </row>
    <row r="612" customFormat="false" ht="21.75" hidden="false" customHeight="true" outlineLevel="0" collapsed="false">
      <c r="B612" s="54" t="n">
        <v>9</v>
      </c>
      <c r="C612" s="54"/>
      <c r="D612" s="55"/>
      <c r="E612" s="55"/>
      <c r="F612" s="55"/>
      <c r="G612" s="55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6"/>
      <c r="AQ612" s="56"/>
      <c r="AR612" s="56"/>
      <c r="AS612" s="56"/>
      <c r="AT612" s="56"/>
      <c r="AU612" s="56"/>
      <c r="AV612" s="56"/>
      <c r="AW612" s="56"/>
      <c r="AX612" s="56"/>
      <c r="AY612" s="56"/>
      <c r="AZ612" s="56"/>
      <c r="BA612" s="56"/>
      <c r="BB612" s="56"/>
      <c r="BC612" s="56"/>
    </row>
    <row r="613" customFormat="false" ht="21.75" hidden="false" customHeight="true" outlineLevel="0" collapsed="false">
      <c r="B613" s="54" t="n">
        <v>10</v>
      </c>
      <c r="C613" s="54"/>
      <c r="D613" s="55"/>
      <c r="E613" s="55"/>
      <c r="F613" s="55"/>
      <c r="G613" s="55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56"/>
      <c r="AQ613" s="56"/>
      <c r="AR613" s="56"/>
      <c r="AS613" s="56"/>
      <c r="AT613" s="56"/>
      <c r="AU613" s="56"/>
      <c r="AV613" s="56"/>
      <c r="AW613" s="56"/>
      <c r="AX613" s="56"/>
      <c r="AY613" s="56"/>
      <c r="AZ613" s="56"/>
      <c r="BA613" s="56"/>
      <c r="BB613" s="56"/>
      <c r="BC613" s="56"/>
    </row>
    <row r="614" customFormat="false" ht="21.75" hidden="false" customHeight="true" outlineLevel="0" collapsed="false">
      <c r="B614" s="54" t="n">
        <v>11</v>
      </c>
      <c r="C614" s="54"/>
      <c r="D614" s="55"/>
      <c r="E614" s="55"/>
      <c r="F614" s="55"/>
      <c r="G614" s="55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56"/>
      <c r="AQ614" s="56"/>
      <c r="AR614" s="56"/>
      <c r="AS614" s="56"/>
      <c r="AT614" s="56"/>
      <c r="AU614" s="56"/>
      <c r="AV614" s="56"/>
      <c r="AW614" s="56"/>
      <c r="AX614" s="56"/>
      <c r="AY614" s="56"/>
      <c r="AZ614" s="56"/>
      <c r="BA614" s="56"/>
      <c r="BB614" s="56"/>
      <c r="BC614" s="56"/>
    </row>
    <row r="615" customFormat="false" ht="21.75" hidden="false" customHeight="true" outlineLevel="0" collapsed="false">
      <c r="B615" s="54" t="n">
        <v>12</v>
      </c>
      <c r="C615" s="54"/>
      <c r="D615" s="55"/>
      <c r="E615" s="55"/>
      <c r="F615" s="55"/>
      <c r="G615" s="55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6"/>
      <c r="AQ615" s="56"/>
      <c r="AR615" s="56"/>
      <c r="AS615" s="56"/>
      <c r="AT615" s="56"/>
      <c r="AU615" s="56"/>
      <c r="AV615" s="56"/>
      <c r="AW615" s="56"/>
      <c r="AX615" s="56"/>
      <c r="AY615" s="56"/>
      <c r="AZ615" s="56"/>
      <c r="BA615" s="56"/>
      <c r="BB615" s="56"/>
      <c r="BC615" s="56"/>
    </row>
    <row r="616" customFormat="false" ht="21.75" hidden="false" customHeight="true" outlineLevel="0" collapsed="false">
      <c r="B616" s="54" t="n">
        <v>13</v>
      </c>
      <c r="C616" s="54"/>
      <c r="D616" s="55"/>
      <c r="E616" s="55"/>
      <c r="F616" s="55"/>
      <c r="G616" s="55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6"/>
      <c r="AQ616" s="56"/>
      <c r="AR616" s="56"/>
      <c r="AS616" s="56"/>
      <c r="AT616" s="56"/>
      <c r="AU616" s="56"/>
      <c r="AV616" s="56"/>
      <c r="AW616" s="56"/>
      <c r="AX616" s="56"/>
      <c r="AY616" s="56"/>
      <c r="AZ616" s="56"/>
      <c r="BA616" s="56"/>
      <c r="BB616" s="56"/>
      <c r="BC616" s="56"/>
    </row>
    <row r="617" customFormat="false" ht="21.75" hidden="false" customHeight="true" outlineLevel="0" collapsed="false">
      <c r="B617" s="54" t="n">
        <v>14</v>
      </c>
      <c r="C617" s="54"/>
      <c r="D617" s="55"/>
      <c r="E617" s="55"/>
      <c r="F617" s="55"/>
      <c r="G617" s="55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6"/>
      <c r="AQ617" s="56"/>
      <c r="AR617" s="56"/>
      <c r="AS617" s="56"/>
      <c r="AT617" s="56"/>
      <c r="AU617" s="56"/>
      <c r="AV617" s="56"/>
      <c r="AW617" s="56"/>
      <c r="AX617" s="56"/>
      <c r="AY617" s="56"/>
      <c r="AZ617" s="56"/>
      <c r="BA617" s="56"/>
      <c r="BB617" s="56"/>
      <c r="BC617" s="56"/>
    </row>
    <row r="618" customFormat="false" ht="21.75" hidden="false" customHeight="true" outlineLevel="0" collapsed="false">
      <c r="B618" s="54" t="n">
        <v>15</v>
      </c>
      <c r="C618" s="54"/>
      <c r="D618" s="55"/>
      <c r="E618" s="55"/>
      <c r="F618" s="55"/>
      <c r="G618" s="55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6"/>
      <c r="AQ618" s="56"/>
      <c r="AR618" s="56"/>
      <c r="AS618" s="56"/>
      <c r="AT618" s="56"/>
      <c r="AU618" s="56"/>
      <c r="AV618" s="56"/>
      <c r="AW618" s="56"/>
      <c r="AX618" s="56"/>
      <c r="AY618" s="56"/>
      <c r="AZ618" s="56"/>
      <c r="BA618" s="56"/>
      <c r="BB618" s="56"/>
      <c r="BC618" s="56"/>
    </row>
    <row r="619" customFormat="false" ht="21.75" hidden="false" customHeight="true" outlineLevel="0" collapsed="false">
      <c r="B619" s="54" t="n">
        <v>16</v>
      </c>
      <c r="C619" s="54"/>
      <c r="D619" s="55"/>
      <c r="E619" s="55"/>
      <c r="F619" s="55"/>
      <c r="G619" s="55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6"/>
      <c r="AP619" s="56"/>
      <c r="AQ619" s="56"/>
      <c r="AR619" s="56"/>
      <c r="AS619" s="56"/>
      <c r="AT619" s="56"/>
      <c r="AU619" s="56"/>
      <c r="AV619" s="56"/>
      <c r="AW619" s="56"/>
      <c r="AX619" s="56"/>
      <c r="AY619" s="56"/>
      <c r="AZ619" s="56"/>
      <c r="BA619" s="56"/>
      <c r="BB619" s="56"/>
      <c r="BC619" s="56"/>
    </row>
    <row r="620" customFormat="false" ht="21.75" hidden="false" customHeight="true" outlineLevel="0" collapsed="false">
      <c r="B620" s="54" t="n">
        <v>17</v>
      </c>
      <c r="C620" s="54"/>
      <c r="D620" s="55"/>
      <c r="E620" s="55"/>
      <c r="F620" s="55"/>
      <c r="G620" s="55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6"/>
      <c r="AP620" s="56"/>
      <c r="AQ620" s="56"/>
      <c r="AR620" s="56"/>
      <c r="AS620" s="56"/>
      <c r="AT620" s="56"/>
      <c r="AU620" s="56"/>
      <c r="AV620" s="56"/>
      <c r="AW620" s="56"/>
      <c r="AX620" s="56"/>
      <c r="AY620" s="56"/>
      <c r="AZ620" s="56"/>
      <c r="BA620" s="56"/>
      <c r="BB620" s="56"/>
      <c r="BC620" s="56"/>
    </row>
    <row r="621" customFormat="false" ht="21.75" hidden="false" customHeight="true" outlineLevel="0" collapsed="false">
      <c r="B621" s="54" t="n">
        <v>18</v>
      </c>
      <c r="C621" s="54"/>
      <c r="D621" s="55"/>
      <c r="E621" s="55"/>
      <c r="F621" s="55"/>
      <c r="G621" s="55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6"/>
      <c r="AQ621" s="56"/>
      <c r="AR621" s="56"/>
      <c r="AS621" s="56"/>
      <c r="AT621" s="56"/>
      <c r="AU621" s="56"/>
      <c r="AV621" s="56"/>
      <c r="AW621" s="56"/>
      <c r="AX621" s="56"/>
      <c r="AY621" s="56"/>
      <c r="AZ621" s="56"/>
      <c r="BA621" s="56"/>
      <c r="BB621" s="56"/>
      <c r="BC621" s="56"/>
    </row>
    <row r="622" customFormat="false" ht="21.75" hidden="false" customHeight="true" outlineLevel="0" collapsed="false">
      <c r="B622" s="54" t="n">
        <v>19</v>
      </c>
      <c r="C622" s="54"/>
      <c r="D622" s="55"/>
      <c r="E622" s="55"/>
      <c r="F622" s="55"/>
      <c r="G622" s="55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6"/>
      <c r="AQ622" s="56"/>
      <c r="AR622" s="56"/>
      <c r="AS622" s="56"/>
      <c r="AT622" s="56"/>
      <c r="AU622" s="56"/>
      <c r="AV622" s="56"/>
      <c r="AW622" s="56"/>
      <c r="AX622" s="56"/>
      <c r="AY622" s="56"/>
      <c r="AZ622" s="56"/>
      <c r="BA622" s="56"/>
      <c r="BB622" s="56"/>
      <c r="BC622" s="56"/>
    </row>
    <row r="623" customFormat="false" ht="21.75" hidden="false" customHeight="true" outlineLevel="0" collapsed="false">
      <c r="B623" s="54" t="n">
        <v>20</v>
      </c>
      <c r="C623" s="54"/>
      <c r="D623" s="55"/>
      <c r="E623" s="55"/>
      <c r="F623" s="55"/>
      <c r="G623" s="55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6"/>
      <c r="AQ623" s="56"/>
      <c r="AR623" s="56"/>
      <c r="AS623" s="56"/>
      <c r="AT623" s="56"/>
      <c r="AU623" s="56"/>
      <c r="AV623" s="56"/>
      <c r="AW623" s="56"/>
      <c r="AX623" s="56"/>
      <c r="AY623" s="56"/>
      <c r="AZ623" s="56"/>
      <c r="BA623" s="56"/>
      <c r="BB623" s="56"/>
      <c r="BC623" s="56"/>
    </row>
    <row r="624" customFormat="false" ht="21.75" hidden="false" customHeight="true" outlineLevel="0" collapsed="false">
      <c r="B624" s="54" t="n">
        <v>21</v>
      </c>
      <c r="C624" s="54"/>
      <c r="D624" s="55"/>
      <c r="E624" s="55"/>
      <c r="F624" s="55"/>
      <c r="G624" s="55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56"/>
      <c r="AQ624" s="56"/>
      <c r="AR624" s="56"/>
      <c r="AS624" s="56"/>
      <c r="AT624" s="56"/>
      <c r="AU624" s="56"/>
      <c r="AV624" s="56"/>
      <c r="AW624" s="56"/>
      <c r="AX624" s="56"/>
      <c r="AY624" s="56"/>
      <c r="AZ624" s="56"/>
      <c r="BA624" s="56"/>
      <c r="BB624" s="56"/>
      <c r="BC624" s="56"/>
    </row>
    <row r="625" customFormat="false" ht="21.75" hidden="false" customHeight="true" outlineLevel="0" collapsed="false">
      <c r="B625" s="54" t="n">
        <v>22</v>
      </c>
      <c r="C625" s="54"/>
      <c r="D625" s="55"/>
      <c r="E625" s="55"/>
      <c r="F625" s="55"/>
      <c r="G625" s="55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6"/>
      <c r="AQ625" s="56"/>
      <c r="AR625" s="56"/>
      <c r="AS625" s="56"/>
      <c r="AT625" s="56"/>
      <c r="AU625" s="56"/>
      <c r="AV625" s="56"/>
      <c r="AW625" s="56"/>
      <c r="AX625" s="56"/>
      <c r="AY625" s="56"/>
      <c r="AZ625" s="56"/>
      <c r="BA625" s="56"/>
      <c r="BB625" s="56"/>
      <c r="BC625" s="56"/>
    </row>
    <row r="626" customFormat="false" ht="21.75" hidden="false" customHeight="true" outlineLevel="0" collapsed="false">
      <c r="B626" s="54" t="n">
        <v>23</v>
      </c>
      <c r="C626" s="54"/>
      <c r="D626" s="55"/>
      <c r="E626" s="55"/>
      <c r="F626" s="55"/>
      <c r="G626" s="55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56"/>
      <c r="AQ626" s="56"/>
      <c r="AR626" s="56"/>
      <c r="AS626" s="56"/>
      <c r="AT626" s="56"/>
      <c r="AU626" s="56"/>
      <c r="AV626" s="56"/>
      <c r="AW626" s="56"/>
      <c r="AX626" s="56"/>
      <c r="AY626" s="56"/>
      <c r="AZ626" s="56"/>
      <c r="BA626" s="56"/>
      <c r="BB626" s="56"/>
      <c r="BC626" s="56"/>
    </row>
    <row r="627" customFormat="false" ht="21.75" hidden="false" customHeight="true" outlineLevel="0" collapsed="false">
      <c r="B627" s="54" t="n">
        <v>24</v>
      </c>
      <c r="C627" s="54"/>
      <c r="D627" s="55"/>
      <c r="E627" s="55"/>
      <c r="F627" s="55"/>
      <c r="G627" s="55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6"/>
      <c r="AQ627" s="56"/>
      <c r="AR627" s="56"/>
      <c r="AS627" s="56"/>
      <c r="AT627" s="56"/>
      <c r="AU627" s="56"/>
      <c r="AV627" s="56"/>
      <c r="AW627" s="56"/>
      <c r="AX627" s="56"/>
      <c r="AY627" s="56"/>
      <c r="AZ627" s="56"/>
      <c r="BA627" s="56"/>
      <c r="BB627" s="56"/>
      <c r="BC627" s="56"/>
    </row>
    <row r="628" customFormat="false" ht="21.75" hidden="false" customHeight="true" outlineLevel="0" collapsed="false">
      <c r="B628" s="54" t="n">
        <v>25</v>
      </c>
      <c r="C628" s="54"/>
      <c r="D628" s="55"/>
      <c r="E628" s="55"/>
      <c r="F628" s="55"/>
      <c r="G628" s="55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  <c r="AO628" s="56"/>
      <c r="AP628" s="56"/>
      <c r="AQ628" s="56"/>
      <c r="AR628" s="56"/>
      <c r="AS628" s="56"/>
      <c r="AT628" s="56"/>
      <c r="AU628" s="56"/>
      <c r="AV628" s="56"/>
      <c r="AW628" s="56"/>
      <c r="AX628" s="56"/>
      <c r="AY628" s="56"/>
      <c r="AZ628" s="56"/>
      <c r="BA628" s="56"/>
      <c r="BB628" s="56"/>
      <c r="BC628" s="56"/>
    </row>
    <row r="629" customFormat="false" ht="21.75" hidden="false" customHeight="true" outlineLevel="0" collapsed="false">
      <c r="B629" s="54" t="n">
        <v>26</v>
      </c>
      <c r="C629" s="54"/>
      <c r="D629" s="55"/>
      <c r="E629" s="55"/>
      <c r="F629" s="55"/>
      <c r="G629" s="55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6"/>
      <c r="AQ629" s="56"/>
      <c r="AR629" s="56"/>
      <c r="AS629" s="56"/>
      <c r="AT629" s="56"/>
      <c r="AU629" s="56"/>
      <c r="AV629" s="56"/>
      <c r="AW629" s="56"/>
      <c r="AX629" s="56"/>
      <c r="AY629" s="56"/>
      <c r="AZ629" s="56"/>
      <c r="BA629" s="56"/>
      <c r="BB629" s="56"/>
      <c r="BC629" s="56"/>
    </row>
    <row r="630" customFormat="false" ht="21.75" hidden="false" customHeight="true" outlineLevel="0" collapsed="false">
      <c r="B630" s="54" t="n">
        <v>27</v>
      </c>
      <c r="C630" s="54"/>
      <c r="D630" s="55"/>
      <c r="E630" s="55"/>
      <c r="F630" s="55"/>
      <c r="G630" s="55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  <c r="AO630" s="56"/>
      <c r="AP630" s="56"/>
      <c r="AQ630" s="56"/>
      <c r="AR630" s="56"/>
      <c r="AS630" s="56"/>
      <c r="AT630" s="56"/>
      <c r="AU630" s="56"/>
      <c r="AV630" s="56"/>
      <c r="AW630" s="56"/>
      <c r="AX630" s="56"/>
      <c r="AY630" s="56"/>
      <c r="AZ630" s="56"/>
      <c r="BA630" s="56"/>
      <c r="BB630" s="56"/>
      <c r="BC630" s="56"/>
    </row>
    <row r="631" customFormat="false" ht="21.75" hidden="false" customHeight="true" outlineLevel="0" collapsed="false">
      <c r="B631" s="54" t="n">
        <v>28</v>
      </c>
      <c r="C631" s="54"/>
      <c r="D631" s="55"/>
      <c r="E631" s="55"/>
      <c r="F631" s="55"/>
      <c r="G631" s="55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56"/>
      <c r="AP631" s="56"/>
      <c r="AQ631" s="56"/>
      <c r="AR631" s="56"/>
      <c r="AS631" s="56"/>
      <c r="AT631" s="56"/>
      <c r="AU631" s="56"/>
      <c r="AV631" s="56"/>
      <c r="AW631" s="56"/>
      <c r="AX631" s="56"/>
      <c r="AY631" s="56"/>
      <c r="AZ631" s="56"/>
      <c r="BA631" s="56"/>
      <c r="BB631" s="56"/>
      <c r="BC631" s="56"/>
    </row>
    <row r="632" customFormat="false" ht="21.75" hidden="false" customHeight="true" outlineLevel="0" collapsed="false">
      <c r="B632" s="54" t="n">
        <v>29</v>
      </c>
      <c r="C632" s="54"/>
      <c r="D632" s="55"/>
      <c r="E632" s="55"/>
      <c r="F632" s="55"/>
      <c r="G632" s="55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56"/>
      <c r="AP632" s="56"/>
      <c r="AQ632" s="56"/>
      <c r="AR632" s="56"/>
      <c r="AS632" s="56"/>
      <c r="AT632" s="56"/>
      <c r="AU632" s="56"/>
      <c r="AV632" s="56"/>
      <c r="AW632" s="56"/>
      <c r="AX632" s="56"/>
      <c r="AY632" s="56"/>
      <c r="AZ632" s="56"/>
      <c r="BA632" s="56"/>
      <c r="BB632" s="56"/>
      <c r="BC632" s="56"/>
    </row>
    <row r="633" customFormat="false" ht="21.75" hidden="false" customHeight="true" outlineLevel="0" collapsed="false">
      <c r="B633" s="54" t="n">
        <v>30</v>
      </c>
      <c r="C633" s="54"/>
      <c r="D633" s="55"/>
      <c r="E633" s="55"/>
      <c r="F633" s="55"/>
      <c r="G633" s="55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  <c r="AO633" s="56"/>
      <c r="AP633" s="56"/>
      <c r="AQ633" s="56"/>
      <c r="AR633" s="56"/>
      <c r="AS633" s="56"/>
      <c r="AT633" s="56"/>
      <c r="AU633" s="56"/>
      <c r="AV633" s="56"/>
      <c r="AW633" s="56"/>
      <c r="AX633" s="56"/>
      <c r="AY633" s="56"/>
      <c r="AZ633" s="56"/>
      <c r="BA633" s="56"/>
      <c r="BB633" s="56"/>
      <c r="BC633" s="56"/>
    </row>
    <row r="634" customFormat="false" ht="21.75" hidden="false" customHeight="true" outlineLevel="0" collapsed="false">
      <c r="B634" s="54" t="n">
        <v>31</v>
      </c>
      <c r="C634" s="54"/>
      <c r="D634" s="55"/>
      <c r="E634" s="55"/>
      <c r="F634" s="55"/>
      <c r="G634" s="55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  <c r="AO634" s="56"/>
      <c r="AP634" s="56"/>
      <c r="AQ634" s="56"/>
      <c r="AR634" s="56"/>
      <c r="AS634" s="56"/>
      <c r="AT634" s="56"/>
      <c r="AU634" s="56"/>
      <c r="AV634" s="56"/>
      <c r="AW634" s="56"/>
      <c r="AX634" s="56"/>
      <c r="AY634" s="56"/>
      <c r="AZ634" s="56"/>
      <c r="BA634" s="56"/>
      <c r="BB634" s="56"/>
      <c r="BC634" s="56"/>
    </row>
    <row r="635" customFormat="false" ht="21.75" hidden="false" customHeight="true" outlineLevel="0" collapsed="false">
      <c r="B635" s="54" t="n">
        <v>32</v>
      </c>
      <c r="C635" s="54"/>
      <c r="D635" s="55"/>
      <c r="E635" s="55"/>
      <c r="F635" s="55"/>
      <c r="G635" s="55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  <c r="AO635" s="56"/>
      <c r="AP635" s="56"/>
      <c r="AQ635" s="56"/>
      <c r="AR635" s="56"/>
      <c r="AS635" s="56"/>
      <c r="AT635" s="56"/>
      <c r="AU635" s="56"/>
      <c r="AV635" s="56"/>
      <c r="AW635" s="56"/>
      <c r="AX635" s="56"/>
      <c r="AY635" s="56"/>
      <c r="AZ635" s="56"/>
      <c r="BA635" s="56"/>
      <c r="BB635" s="56"/>
      <c r="BC635" s="56"/>
    </row>
    <row r="636" customFormat="false" ht="21.75" hidden="false" customHeight="true" outlineLevel="0" collapsed="false">
      <c r="B636" s="54" t="n">
        <v>33</v>
      </c>
      <c r="C636" s="54"/>
      <c r="D636" s="55"/>
      <c r="E636" s="55"/>
      <c r="F636" s="55"/>
      <c r="G636" s="55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  <c r="AO636" s="56"/>
      <c r="AP636" s="56"/>
      <c r="AQ636" s="56"/>
      <c r="AR636" s="56"/>
      <c r="AS636" s="56"/>
      <c r="AT636" s="56"/>
      <c r="AU636" s="56"/>
      <c r="AV636" s="56"/>
      <c r="AW636" s="56"/>
      <c r="AX636" s="56"/>
      <c r="AY636" s="56"/>
      <c r="AZ636" s="56"/>
      <c r="BA636" s="56"/>
      <c r="BB636" s="56"/>
      <c r="BC636" s="56"/>
    </row>
    <row r="637" customFormat="false" ht="21.75" hidden="false" customHeight="true" outlineLevel="0" collapsed="false">
      <c r="B637" s="54" t="n">
        <v>34</v>
      </c>
      <c r="C637" s="54"/>
      <c r="D637" s="55"/>
      <c r="E637" s="55"/>
      <c r="F637" s="55"/>
      <c r="G637" s="55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6"/>
      <c r="AP637" s="56"/>
      <c r="AQ637" s="56"/>
      <c r="AR637" s="56"/>
      <c r="AS637" s="56"/>
      <c r="AT637" s="56"/>
      <c r="AU637" s="56"/>
      <c r="AV637" s="56"/>
      <c r="AW637" s="56"/>
      <c r="AX637" s="56"/>
      <c r="AY637" s="56"/>
      <c r="AZ637" s="56"/>
      <c r="BA637" s="56"/>
      <c r="BB637" s="56"/>
      <c r="BC637" s="56"/>
    </row>
    <row r="638" customFormat="false" ht="21.75" hidden="false" customHeight="true" outlineLevel="0" collapsed="false">
      <c r="B638" s="54" t="n">
        <v>35</v>
      </c>
      <c r="C638" s="54"/>
      <c r="D638" s="55"/>
      <c r="E638" s="55"/>
      <c r="F638" s="55"/>
      <c r="G638" s="55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  <c r="AP638" s="56"/>
      <c r="AQ638" s="56"/>
      <c r="AR638" s="56"/>
      <c r="AS638" s="56"/>
      <c r="AT638" s="56"/>
      <c r="AU638" s="56"/>
      <c r="AV638" s="56"/>
      <c r="AW638" s="56"/>
      <c r="AX638" s="56"/>
      <c r="AY638" s="56"/>
      <c r="AZ638" s="56"/>
      <c r="BA638" s="56"/>
      <c r="BB638" s="56"/>
      <c r="BC638" s="56"/>
    </row>
    <row r="639" customFormat="false" ht="21.75" hidden="false" customHeight="true" outlineLevel="0" collapsed="false">
      <c r="B639" s="54" t="n">
        <v>36</v>
      </c>
      <c r="C639" s="54"/>
      <c r="D639" s="55"/>
      <c r="E639" s="55"/>
      <c r="F639" s="55"/>
      <c r="G639" s="55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6"/>
      <c r="AQ639" s="56"/>
      <c r="AR639" s="56"/>
      <c r="AS639" s="56"/>
      <c r="AT639" s="56"/>
      <c r="AU639" s="56"/>
      <c r="AV639" s="56"/>
      <c r="AW639" s="56"/>
      <c r="AX639" s="56"/>
      <c r="AY639" s="56"/>
      <c r="AZ639" s="56"/>
      <c r="BA639" s="56"/>
      <c r="BB639" s="56"/>
      <c r="BC639" s="56"/>
    </row>
    <row r="640" customFormat="false" ht="21.75" hidden="false" customHeight="true" outlineLevel="0" collapsed="false">
      <c r="B640" s="54" t="n">
        <v>37</v>
      </c>
      <c r="C640" s="54"/>
      <c r="D640" s="55"/>
      <c r="E640" s="55"/>
      <c r="F640" s="55"/>
      <c r="G640" s="55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56"/>
      <c r="AQ640" s="56"/>
      <c r="AR640" s="56"/>
      <c r="AS640" s="56"/>
      <c r="AT640" s="56"/>
      <c r="AU640" s="56"/>
      <c r="AV640" s="56"/>
      <c r="AW640" s="56"/>
      <c r="AX640" s="56"/>
      <c r="AY640" s="56"/>
      <c r="AZ640" s="56"/>
      <c r="BA640" s="56"/>
      <c r="BB640" s="56"/>
      <c r="BC640" s="56"/>
    </row>
    <row r="641" customFormat="false" ht="21.75" hidden="false" customHeight="true" outlineLevel="0" collapsed="false">
      <c r="B641" s="54" t="n">
        <v>38</v>
      </c>
      <c r="C641" s="54"/>
      <c r="D641" s="55"/>
      <c r="E641" s="55"/>
      <c r="F641" s="55"/>
      <c r="G641" s="55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  <c r="AP641" s="56"/>
      <c r="AQ641" s="56"/>
      <c r="AR641" s="56"/>
      <c r="AS641" s="56"/>
      <c r="AT641" s="56"/>
      <c r="AU641" s="56"/>
      <c r="AV641" s="56"/>
      <c r="AW641" s="56"/>
      <c r="AX641" s="56"/>
      <c r="AY641" s="56"/>
      <c r="AZ641" s="56"/>
      <c r="BA641" s="56"/>
      <c r="BB641" s="56"/>
      <c r="BC641" s="56"/>
    </row>
    <row r="642" customFormat="false" ht="21.75" hidden="false" customHeight="true" outlineLevel="0" collapsed="false">
      <c r="B642" s="54" t="n">
        <v>39</v>
      </c>
      <c r="C642" s="54"/>
      <c r="D642" s="55"/>
      <c r="E642" s="55"/>
      <c r="F642" s="55"/>
      <c r="G642" s="55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6"/>
      <c r="AP642" s="56"/>
      <c r="AQ642" s="56"/>
      <c r="AR642" s="56"/>
      <c r="AS642" s="56"/>
      <c r="AT642" s="56"/>
      <c r="AU642" s="56"/>
      <c r="AV642" s="56"/>
      <c r="AW642" s="56"/>
      <c r="AX642" s="56"/>
      <c r="AY642" s="56"/>
      <c r="AZ642" s="56"/>
      <c r="BA642" s="56"/>
      <c r="BB642" s="56"/>
      <c r="BC642" s="56"/>
    </row>
    <row r="643" customFormat="false" ht="21.75" hidden="false" customHeight="true" outlineLevel="0" collapsed="false">
      <c r="B643" s="54" t="n">
        <v>40</v>
      </c>
      <c r="C643" s="54"/>
      <c r="D643" s="55"/>
      <c r="E643" s="55"/>
      <c r="F643" s="55"/>
      <c r="G643" s="55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  <c r="AO643" s="56"/>
      <c r="AP643" s="56"/>
      <c r="AQ643" s="56"/>
      <c r="AR643" s="56"/>
      <c r="AS643" s="56"/>
      <c r="AT643" s="56"/>
      <c r="AU643" s="56"/>
      <c r="AV643" s="56"/>
      <c r="AW643" s="56"/>
      <c r="AX643" s="56"/>
      <c r="AY643" s="56"/>
      <c r="AZ643" s="56"/>
      <c r="BA643" s="56"/>
      <c r="BB643" s="56"/>
      <c r="BC643" s="56"/>
    </row>
    <row r="644" customFormat="false" ht="24" hidden="false" customHeight="true" outlineLevel="0" collapsed="false">
      <c r="B644" s="57" t="s">
        <v>78</v>
      </c>
      <c r="C644" s="57"/>
      <c r="E644" s="58" t="s">
        <v>120</v>
      </c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  <c r="AD644" s="58"/>
      <c r="AE644" s="58"/>
      <c r="AF644" s="58"/>
      <c r="AG644" s="58"/>
      <c r="AH644" s="58"/>
      <c r="AI644" s="58"/>
      <c r="AJ644" s="58"/>
      <c r="AK644" s="58"/>
      <c r="AL644" s="58"/>
      <c r="AM644" s="58"/>
      <c r="AN644" s="58"/>
      <c r="AO644" s="58"/>
      <c r="AP644" s="58"/>
      <c r="AQ644" s="58"/>
      <c r="AR644" s="58"/>
      <c r="AS644" s="58"/>
      <c r="AT644" s="58"/>
      <c r="AU644" s="58"/>
      <c r="AV644" s="58"/>
      <c r="AW644" s="58"/>
      <c r="AX644" s="58"/>
      <c r="AY644" s="58"/>
      <c r="AZ644" s="58"/>
      <c r="BA644" s="58"/>
      <c r="BB644" s="58"/>
      <c r="BC644" s="58"/>
    </row>
    <row r="645" customFormat="false" ht="12" hidden="false" customHeight="true" outlineLevel="0" collapsed="false"/>
    <row r="646" customFormat="false" ht="21.75" hidden="false" customHeight="true" outlineLevel="0" collapsed="false">
      <c r="B646" s="6"/>
      <c r="C646" s="37" t="s">
        <v>121</v>
      </c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  <c r="AF646" s="37"/>
      <c r="AG646" s="37"/>
      <c r="AH646" s="37"/>
      <c r="AI646" s="37"/>
      <c r="AJ646" s="37"/>
      <c r="AK646" s="37"/>
      <c r="AL646" s="38" t="s">
        <v>122</v>
      </c>
      <c r="AM646" s="38"/>
      <c r="AN646" s="38"/>
      <c r="AO646" s="38"/>
      <c r="AP646" s="38"/>
      <c r="AQ646" s="38"/>
      <c r="AR646" s="38"/>
      <c r="AS646" s="38"/>
      <c r="AT646" s="38"/>
      <c r="AU646" s="38"/>
      <c r="AV646" s="38"/>
      <c r="AW646" s="38"/>
      <c r="AX646" s="38"/>
      <c r="AY646" s="38"/>
      <c r="AZ646" s="38"/>
      <c r="BA646" s="38"/>
      <c r="BB646" s="38"/>
      <c r="BC646" s="38"/>
    </row>
    <row r="647" customFormat="false" ht="27.75" hidden="false" customHeight="true" outlineLevel="0" collapsed="false">
      <c r="B647" s="52" t="s">
        <v>71</v>
      </c>
      <c r="C647" s="52"/>
      <c r="D647" s="53" t="s">
        <v>4</v>
      </c>
      <c r="E647" s="53"/>
      <c r="F647" s="53"/>
      <c r="G647" s="53"/>
      <c r="H647" s="53" t="s">
        <v>123</v>
      </c>
      <c r="I647" s="53"/>
      <c r="J647" s="53"/>
      <c r="K647" s="53"/>
      <c r="L647" s="53"/>
      <c r="M647" s="53"/>
      <c r="N647" s="53"/>
      <c r="O647" s="53"/>
      <c r="P647" s="53" t="s">
        <v>124</v>
      </c>
      <c r="Q647" s="53"/>
      <c r="R647" s="53"/>
      <c r="S647" s="53"/>
      <c r="T647" s="53" t="s">
        <v>125</v>
      </c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 t="s">
        <v>126</v>
      </c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</row>
    <row r="648" customFormat="false" ht="21.75" hidden="false" customHeight="true" outlineLevel="0" collapsed="false">
      <c r="B648" s="54" t="n">
        <v>1</v>
      </c>
      <c r="C648" s="54"/>
      <c r="D648" s="55" t="n">
        <v>46296</v>
      </c>
      <c r="E648" s="55"/>
      <c r="F648" s="55"/>
      <c r="G648" s="55"/>
      <c r="H648" s="56" t="s">
        <v>37</v>
      </c>
      <c r="I648" s="56"/>
      <c r="J648" s="56"/>
      <c r="K648" s="56"/>
      <c r="L648" s="56"/>
      <c r="M648" s="56"/>
      <c r="N648" s="56"/>
      <c r="O648" s="56"/>
      <c r="P648" s="56" t="n">
        <v>0</v>
      </c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  <c r="AP648" s="56"/>
      <c r="AQ648" s="56"/>
      <c r="AR648" s="56"/>
      <c r="AS648" s="56"/>
      <c r="AT648" s="56"/>
      <c r="AU648" s="56"/>
      <c r="AV648" s="56"/>
      <c r="AW648" s="56"/>
      <c r="AX648" s="56"/>
      <c r="AY648" s="56"/>
      <c r="AZ648" s="56"/>
      <c r="BA648" s="56"/>
      <c r="BB648" s="56"/>
      <c r="BC648" s="56"/>
    </row>
    <row r="649" customFormat="false" ht="21.75" hidden="false" customHeight="true" outlineLevel="0" collapsed="false">
      <c r="B649" s="54" t="n">
        <v>2</v>
      </c>
      <c r="C649" s="54"/>
      <c r="D649" s="55" t="n">
        <v>46297</v>
      </c>
      <c r="E649" s="55"/>
      <c r="F649" s="55"/>
      <c r="G649" s="55"/>
      <c r="H649" s="56" t="s">
        <v>41</v>
      </c>
      <c r="I649" s="56"/>
      <c r="J649" s="56"/>
      <c r="K649" s="56"/>
      <c r="L649" s="56"/>
      <c r="M649" s="56"/>
      <c r="N649" s="56"/>
      <c r="O649" s="56"/>
      <c r="P649" s="56" t="s">
        <v>127</v>
      </c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  <c r="AO649" s="56"/>
      <c r="AP649" s="56"/>
      <c r="AQ649" s="56"/>
      <c r="AR649" s="56"/>
      <c r="AS649" s="56"/>
      <c r="AT649" s="56"/>
      <c r="AU649" s="56"/>
      <c r="AV649" s="56"/>
      <c r="AW649" s="56"/>
      <c r="AX649" s="56"/>
      <c r="AY649" s="56"/>
      <c r="AZ649" s="56"/>
      <c r="BA649" s="56"/>
      <c r="BB649" s="56"/>
      <c r="BC649" s="56"/>
    </row>
    <row r="650" customFormat="false" ht="21.75" hidden="false" customHeight="true" outlineLevel="0" collapsed="false">
      <c r="B650" s="54" t="n">
        <v>3</v>
      </c>
      <c r="C650" s="54"/>
      <c r="D650" s="55" t="n">
        <v>46298</v>
      </c>
      <c r="E650" s="55"/>
      <c r="F650" s="55"/>
      <c r="G650" s="55"/>
      <c r="H650" s="56" t="s">
        <v>42</v>
      </c>
      <c r="I650" s="56"/>
      <c r="J650" s="56"/>
      <c r="K650" s="56"/>
      <c r="L650" s="56"/>
      <c r="M650" s="56"/>
      <c r="N650" s="56"/>
      <c r="O650" s="56"/>
      <c r="P650" s="56" t="n">
        <v>0</v>
      </c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6"/>
      <c r="AP650" s="56"/>
      <c r="AQ650" s="56"/>
      <c r="AR650" s="56"/>
      <c r="AS650" s="56"/>
      <c r="AT650" s="56"/>
      <c r="AU650" s="56"/>
      <c r="AV650" s="56"/>
      <c r="AW650" s="56"/>
      <c r="AX650" s="56"/>
      <c r="AY650" s="56"/>
      <c r="AZ650" s="56"/>
      <c r="BA650" s="56"/>
      <c r="BB650" s="56"/>
      <c r="BC650" s="56"/>
    </row>
    <row r="651" customFormat="false" ht="21.75" hidden="false" customHeight="true" outlineLevel="0" collapsed="false">
      <c r="B651" s="54" t="n">
        <v>4</v>
      </c>
      <c r="C651" s="54"/>
      <c r="D651" s="55"/>
      <c r="E651" s="55"/>
      <c r="F651" s="55"/>
      <c r="G651" s="55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  <c r="AO651" s="56"/>
      <c r="AP651" s="56"/>
      <c r="AQ651" s="56"/>
      <c r="AR651" s="56"/>
      <c r="AS651" s="56"/>
      <c r="AT651" s="56"/>
      <c r="AU651" s="56"/>
      <c r="AV651" s="56"/>
      <c r="AW651" s="56"/>
      <c r="AX651" s="56"/>
      <c r="AY651" s="56"/>
      <c r="AZ651" s="56"/>
      <c r="BA651" s="56"/>
      <c r="BB651" s="56"/>
      <c r="BC651" s="56"/>
    </row>
    <row r="652" customFormat="false" ht="21.75" hidden="false" customHeight="true" outlineLevel="0" collapsed="false">
      <c r="B652" s="54" t="n">
        <v>5</v>
      </c>
      <c r="C652" s="54"/>
      <c r="D652" s="55"/>
      <c r="E652" s="55"/>
      <c r="F652" s="55"/>
      <c r="G652" s="55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  <c r="AP652" s="56"/>
      <c r="AQ652" s="56"/>
      <c r="AR652" s="56"/>
      <c r="AS652" s="56"/>
      <c r="AT652" s="56"/>
      <c r="AU652" s="56"/>
      <c r="AV652" s="56"/>
      <c r="AW652" s="56"/>
      <c r="AX652" s="56"/>
      <c r="AY652" s="56"/>
      <c r="AZ652" s="56"/>
      <c r="BA652" s="56"/>
      <c r="BB652" s="56"/>
      <c r="BC652" s="56"/>
    </row>
    <row r="653" customFormat="false" ht="21.75" hidden="false" customHeight="true" outlineLevel="0" collapsed="false">
      <c r="B653" s="54" t="n">
        <v>6</v>
      </c>
      <c r="C653" s="54"/>
      <c r="D653" s="55"/>
      <c r="E653" s="55"/>
      <c r="F653" s="55"/>
      <c r="G653" s="55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  <c r="AO653" s="56"/>
      <c r="AP653" s="56"/>
      <c r="AQ653" s="56"/>
      <c r="AR653" s="56"/>
      <c r="AS653" s="56"/>
      <c r="AT653" s="56"/>
      <c r="AU653" s="56"/>
      <c r="AV653" s="56"/>
      <c r="AW653" s="56"/>
      <c r="AX653" s="56"/>
      <c r="AY653" s="56"/>
      <c r="AZ653" s="56"/>
      <c r="BA653" s="56"/>
      <c r="BB653" s="56"/>
      <c r="BC653" s="56"/>
    </row>
    <row r="654" customFormat="false" ht="21.75" hidden="false" customHeight="true" outlineLevel="0" collapsed="false">
      <c r="B654" s="54" t="n">
        <v>7</v>
      </c>
      <c r="C654" s="54"/>
      <c r="D654" s="55"/>
      <c r="E654" s="55"/>
      <c r="F654" s="55"/>
      <c r="G654" s="55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  <c r="AO654" s="56"/>
      <c r="AP654" s="56"/>
      <c r="AQ654" s="56"/>
      <c r="AR654" s="56"/>
      <c r="AS654" s="56"/>
      <c r="AT654" s="56"/>
      <c r="AU654" s="56"/>
      <c r="AV654" s="56"/>
      <c r="AW654" s="56"/>
      <c r="AX654" s="56"/>
      <c r="AY654" s="56"/>
      <c r="AZ654" s="56"/>
      <c r="BA654" s="56"/>
      <c r="BB654" s="56"/>
      <c r="BC654" s="56"/>
    </row>
    <row r="655" customFormat="false" ht="21.75" hidden="false" customHeight="true" outlineLevel="0" collapsed="false">
      <c r="B655" s="54" t="n">
        <v>8</v>
      </c>
      <c r="C655" s="54"/>
      <c r="D655" s="55"/>
      <c r="E655" s="55"/>
      <c r="F655" s="55"/>
      <c r="G655" s="55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6"/>
      <c r="AQ655" s="56"/>
      <c r="AR655" s="56"/>
      <c r="AS655" s="56"/>
      <c r="AT655" s="56"/>
      <c r="AU655" s="56"/>
      <c r="AV655" s="56"/>
      <c r="AW655" s="56"/>
      <c r="AX655" s="56"/>
      <c r="AY655" s="56"/>
      <c r="AZ655" s="56"/>
      <c r="BA655" s="56"/>
      <c r="BB655" s="56"/>
      <c r="BC655" s="56"/>
    </row>
    <row r="656" customFormat="false" ht="21.75" hidden="false" customHeight="true" outlineLevel="0" collapsed="false">
      <c r="B656" s="54" t="n">
        <v>9</v>
      </c>
      <c r="C656" s="54"/>
      <c r="D656" s="55"/>
      <c r="E656" s="55"/>
      <c r="F656" s="55"/>
      <c r="G656" s="55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56"/>
      <c r="AP656" s="56"/>
      <c r="AQ656" s="56"/>
      <c r="AR656" s="56"/>
      <c r="AS656" s="56"/>
      <c r="AT656" s="56"/>
      <c r="AU656" s="56"/>
      <c r="AV656" s="56"/>
      <c r="AW656" s="56"/>
      <c r="AX656" s="56"/>
      <c r="AY656" s="56"/>
      <c r="AZ656" s="56"/>
      <c r="BA656" s="56"/>
      <c r="BB656" s="56"/>
      <c r="BC656" s="56"/>
    </row>
    <row r="657" customFormat="false" ht="21.75" hidden="false" customHeight="true" outlineLevel="0" collapsed="false">
      <c r="B657" s="54" t="n">
        <v>10</v>
      </c>
      <c r="C657" s="54"/>
      <c r="D657" s="55"/>
      <c r="E657" s="55"/>
      <c r="F657" s="55"/>
      <c r="G657" s="55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6"/>
      <c r="AQ657" s="56"/>
      <c r="AR657" s="56"/>
      <c r="AS657" s="56"/>
      <c r="AT657" s="56"/>
      <c r="AU657" s="56"/>
      <c r="AV657" s="56"/>
      <c r="AW657" s="56"/>
      <c r="AX657" s="56"/>
      <c r="AY657" s="56"/>
      <c r="AZ657" s="56"/>
      <c r="BA657" s="56"/>
      <c r="BB657" s="56"/>
      <c r="BC657" s="56"/>
    </row>
    <row r="658" customFormat="false" ht="21.75" hidden="false" customHeight="true" outlineLevel="0" collapsed="false">
      <c r="B658" s="54" t="n">
        <v>11</v>
      </c>
      <c r="C658" s="54"/>
      <c r="D658" s="55"/>
      <c r="E658" s="55"/>
      <c r="F658" s="55"/>
      <c r="G658" s="55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6"/>
      <c r="AP658" s="56"/>
      <c r="AQ658" s="56"/>
      <c r="AR658" s="56"/>
      <c r="AS658" s="56"/>
      <c r="AT658" s="56"/>
      <c r="AU658" s="56"/>
      <c r="AV658" s="56"/>
      <c r="AW658" s="56"/>
      <c r="AX658" s="56"/>
      <c r="AY658" s="56"/>
      <c r="AZ658" s="56"/>
      <c r="BA658" s="56"/>
      <c r="BB658" s="56"/>
      <c r="BC658" s="56"/>
    </row>
    <row r="659" customFormat="false" ht="21.75" hidden="false" customHeight="true" outlineLevel="0" collapsed="false">
      <c r="B659" s="54" t="n">
        <v>12</v>
      </c>
      <c r="C659" s="54"/>
      <c r="D659" s="55"/>
      <c r="E659" s="55"/>
      <c r="F659" s="55"/>
      <c r="G659" s="55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  <c r="AP659" s="56"/>
      <c r="AQ659" s="56"/>
      <c r="AR659" s="56"/>
      <c r="AS659" s="56"/>
      <c r="AT659" s="56"/>
      <c r="AU659" s="56"/>
      <c r="AV659" s="56"/>
      <c r="AW659" s="56"/>
      <c r="AX659" s="56"/>
      <c r="AY659" s="56"/>
      <c r="AZ659" s="56"/>
      <c r="BA659" s="56"/>
      <c r="BB659" s="56"/>
      <c r="BC659" s="56"/>
    </row>
    <row r="660" customFormat="false" ht="21.75" hidden="false" customHeight="true" outlineLevel="0" collapsed="false">
      <c r="B660" s="54" t="n">
        <v>13</v>
      </c>
      <c r="C660" s="54"/>
      <c r="D660" s="55"/>
      <c r="E660" s="55"/>
      <c r="F660" s="55"/>
      <c r="G660" s="55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  <c r="AO660" s="56"/>
      <c r="AP660" s="56"/>
      <c r="AQ660" s="56"/>
      <c r="AR660" s="56"/>
      <c r="AS660" s="56"/>
      <c r="AT660" s="56"/>
      <c r="AU660" s="56"/>
      <c r="AV660" s="56"/>
      <c r="AW660" s="56"/>
      <c r="AX660" s="56"/>
      <c r="AY660" s="56"/>
      <c r="AZ660" s="56"/>
      <c r="BA660" s="56"/>
      <c r="BB660" s="56"/>
      <c r="BC660" s="56"/>
    </row>
    <row r="661" customFormat="false" ht="21.75" hidden="false" customHeight="true" outlineLevel="0" collapsed="false">
      <c r="B661" s="54" t="n">
        <v>14</v>
      </c>
      <c r="C661" s="54"/>
      <c r="D661" s="55"/>
      <c r="E661" s="55"/>
      <c r="F661" s="55"/>
      <c r="G661" s="55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6"/>
      <c r="AP661" s="56"/>
      <c r="AQ661" s="56"/>
      <c r="AR661" s="56"/>
      <c r="AS661" s="56"/>
      <c r="AT661" s="56"/>
      <c r="AU661" s="56"/>
      <c r="AV661" s="56"/>
      <c r="AW661" s="56"/>
      <c r="AX661" s="56"/>
      <c r="AY661" s="56"/>
      <c r="AZ661" s="56"/>
      <c r="BA661" s="56"/>
      <c r="BB661" s="56"/>
      <c r="BC661" s="56"/>
    </row>
    <row r="662" customFormat="false" ht="21.75" hidden="false" customHeight="true" outlineLevel="0" collapsed="false">
      <c r="B662" s="54" t="n">
        <v>15</v>
      </c>
      <c r="C662" s="54"/>
      <c r="D662" s="55"/>
      <c r="E662" s="55"/>
      <c r="F662" s="55"/>
      <c r="G662" s="55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  <c r="AO662" s="56"/>
      <c r="AP662" s="56"/>
      <c r="AQ662" s="56"/>
      <c r="AR662" s="56"/>
      <c r="AS662" s="56"/>
      <c r="AT662" s="56"/>
      <c r="AU662" s="56"/>
      <c r="AV662" s="56"/>
      <c r="AW662" s="56"/>
      <c r="AX662" s="56"/>
      <c r="AY662" s="56"/>
      <c r="AZ662" s="56"/>
      <c r="BA662" s="56"/>
      <c r="BB662" s="56"/>
      <c r="BC662" s="56"/>
    </row>
    <row r="663" customFormat="false" ht="21.75" hidden="false" customHeight="true" outlineLevel="0" collapsed="false">
      <c r="B663" s="54" t="n">
        <v>16</v>
      </c>
      <c r="C663" s="54"/>
      <c r="D663" s="55"/>
      <c r="E663" s="55"/>
      <c r="F663" s="55"/>
      <c r="G663" s="55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6"/>
      <c r="AQ663" s="56"/>
      <c r="AR663" s="56"/>
      <c r="AS663" s="56"/>
      <c r="AT663" s="56"/>
      <c r="AU663" s="56"/>
      <c r="AV663" s="56"/>
      <c r="AW663" s="56"/>
      <c r="AX663" s="56"/>
      <c r="AY663" s="56"/>
      <c r="AZ663" s="56"/>
      <c r="BA663" s="56"/>
      <c r="BB663" s="56"/>
      <c r="BC663" s="56"/>
    </row>
    <row r="664" customFormat="false" ht="21.75" hidden="false" customHeight="true" outlineLevel="0" collapsed="false">
      <c r="B664" s="54" t="n">
        <v>17</v>
      </c>
      <c r="C664" s="54"/>
      <c r="D664" s="55"/>
      <c r="E664" s="55"/>
      <c r="F664" s="55"/>
      <c r="G664" s="55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56"/>
      <c r="AQ664" s="56"/>
      <c r="AR664" s="56"/>
      <c r="AS664" s="56"/>
      <c r="AT664" s="56"/>
      <c r="AU664" s="56"/>
      <c r="AV664" s="56"/>
      <c r="AW664" s="56"/>
      <c r="AX664" s="56"/>
      <c r="AY664" s="56"/>
      <c r="AZ664" s="56"/>
      <c r="BA664" s="56"/>
      <c r="BB664" s="56"/>
      <c r="BC664" s="56"/>
    </row>
    <row r="665" customFormat="false" ht="21.75" hidden="false" customHeight="true" outlineLevel="0" collapsed="false">
      <c r="B665" s="54" t="n">
        <v>18</v>
      </c>
      <c r="C665" s="54"/>
      <c r="D665" s="55"/>
      <c r="E665" s="55"/>
      <c r="F665" s="55"/>
      <c r="G665" s="55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6"/>
      <c r="AQ665" s="56"/>
      <c r="AR665" s="56"/>
      <c r="AS665" s="56"/>
      <c r="AT665" s="56"/>
      <c r="AU665" s="56"/>
      <c r="AV665" s="56"/>
      <c r="AW665" s="56"/>
      <c r="AX665" s="56"/>
      <c r="AY665" s="56"/>
      <c r="AZ665" s="56"/>
      <c r="BA665" s="56"/>
      <c r="BB665" s="56"/>
      <c r="BC665" s="56"/>
    </row>
    <row r="666" customFormat="false" ht="21.75" hidden="false" customHeight="true" outlineLevel="0" collapsed="false">
      <c r="B666" s="54" t="n">
        <v>19</v>
      </c>
      <c r="C666" s="54"/>
      <c r="D666" s="55"/>
      <c r="E666" s="55"/>
      <c r="F666" s="55"/>
      <c r="G666" s="55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  <c r="AP666" s="56"/>
      <c r="AQ666" s="56"/>
      <c r="AR666" s="56"/>
      <c r="AS666" s="56"/>
      <c r="AT666" s="56"/>
      <c r="AU666" s="56"/>
      <c r="AV666" s="56"/>
      <c r="AW666" s="56"/>
      <c r="AX666" s="56"/>
      <c r="AY666" s="56"/>
      <c r="AZ666" s="56"/>
      <c r="BA666" s="56"/>
      <c r="BB666" s="56"/>
      <c r="BC666" s="56"/>
    </row>
    <row r="667" customFormat="false" ht="21.75" hidden="false" customHeight="true" outlineLevel="0" collapsed="false">
      <c r="B667" s="54" t="n">
        <v>20</v>
      </c>
      <c r="C667" s="54"/>
      <c r="D667" s="55"/>
      <c r="E667" s="55"/>
      <c r="F667" s="55"/>
      <c r="G667" s="55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  <c r="AO667" s="56"/>
      <c r="AP667" s="56"/>
      <c r="AQ667" s="56"/>
      <c r="AR667" s="56"/>
      <c r="AS667" s="56"/>
      <c r="AT667" s="56"/>
      <c r="AU667" s="56"/>
      <c r="AV667" s="56"/>
      <c r="AW667" s="56"/>
      <c r="AX667" s="56"/>
      <c r="AY667" s="56"/>
      <c r="AZ667" s="56"/>
      <c r="BA667" s="56"/>
      <c r="BB667" s="56"/>
      <c r="BC667" s="56"/>
    </row>
    <row r="668" customFormat="false" ht="21.75" hidden="false" customHeight="true" outlineLevel="0" collapsed="false">
      <c r="B668" s="54" t="n">
        <v>21</v>
      </c>
      <c r="C668" s="54"/>
      <c r="D668" s="55"/>
      <c r="E668" s="55"/>
      <c r="F668" s="55"/>
      <c r="G668" s="55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6"/>
      <c r="AP668" s="56"/>
      <c r="AQ668" s="56"/>
      <c r="AR668" s="56"/>
      <c r="AS668" s="56"/>
      <c r="AT668" s="56"/>
      <c r="AU668" s="56"/>
      <c r="AV668" s="56"/>
      <c r="AW668" s="56"/>
      <c r="AX668" s="56"/>
      <c r="AY668" s="56"/>
      <c r="AZ668" s="56"/>
      <c r="BA668" s="56"/>
      <c r="BB668" s="56"/>
      <c r="BC668" s="56"/>
    </row>
    <row r="669" customFormat="false" ht="21.75" hidden="false" customHeight="true" outlineLevel="0" collapsed="false">
      <c r="B669" s="54" t="n">
        <v>22</v>
      </c>
      <c r="C669" s="54"/>
      <c r="D669" s="55"/>
      <c r="E669" s="55"/>
      <c r="F669" s="55"/>
      <c r="G669" s="55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  <c r="AP669" s="56"/>
      <c r="AQ669" s="56"/>
      <c r="AR669" s="56"/>
      <c r="AS669" s="56"/>
      <c r="AT669" s="56"/>
      <c r="AU669" s="56"/>
      <c r="AV669" s="56"/>
      <c r="AW669" s="56"/>
      <c r="AX669" s="56"/>
      <c r="AY669" s="56"/>
      <c r="AZ669" s="56"/>
      <c r="BA669" s="56"/>
      <c r="BB669" s="56"/>
      <c r="BC669" s="56"/>
    </row>
    <row r="670" customFormat="false" ht="21.75" hidden="false" customHeight="true" outlineLevel="0" collapsed="false">
      <c r="B670" s="54" t="n">
        <v>23</v>
      </c>
      <c r="C670" s="54"/>
      <c r="D670" s="55"/>
      <c r="E670" s="55"/>
      <c r="F670" s="55"/>
      <c r="G670" s="55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6"/>
      <c r="AQ670" s="56"/>
      <c r="AR670" s="56"/>
      <c r="AS670" s="56"/>
      <c r="AT670" s="56"/>
      <c r="AU670" s="56"/>
      <c r="AV670" s="56"/>
      <c r="AW670" s="56"/>
      <c r="AX670" s="56"/>
      <c r="AY670" s="56"/>
      <c r="AZ670" s="56"/>
      <c r="BA670" s="56"/>
      <c r="BB670" s="56"/>
      <c r="BC670" s="56"/>
    </row>
    <row r="671" customFormat="false" ht="21.75" hidden="false" customHeight="true" outlineLevel="0" collapsed="false">
      <c r="B671" s="54" t="n">
        <v>24</v>
      </c>
      <c r="C671" s="54"/>
      <c r="D671" s="55"/>
      <c r="E671" s="55"/>
      <c r="F671" s="55"/>
      <c r="G671" s="55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6"/>
      <c r="AQ671" s="56"/>
      <c r="AR671" s="56"/>
      <c r="AS671" s="56"/>
      <c r="AT671" s="56"/>
      <c r="AU671" s="56"/>
      <c r="AV671" s="56"/>
      <c r="AW671" s="56"/>
      <c r="AX671" s="56"/>
      <c r="AY671" s="56"/>
      <c r="AZ671" s="56"/>
      <c r="BA671" s="56"/>
      <c r="BB671" s="56"/>
      <c r="BC671" s="56"/>
    </row>
    <row r="672" customFormat="false" ht="21.75" hidden="false" customHeight="true" outlineLevel="0" collapsed="false">
      <c r="B672" s="54" t="n">
        <v>25</v>
      </c>
      <c r="C672" s="54"/>
      <c r="D672" s="55"/>
      <c r="E672" s="55"/>
      <c r="F672" s="55"/>
      <c r="G672" s="55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  <c r="AO672" s="56"/>
      <c r="AP672" s="56"/>
      <c r="AQ672" s="56"/>
      <c r="AR672" s="56"/>
      <c r="AS672" s="56"/>
      <c r="AT672" s="56"/>
      <c r="AU672" s="56"/>
      <c r="AV672" s="56"/>
      <c r="AW672" s="56"/>
      <c r="AX672" s="56"/>
      <c r="AY672" s="56"/>
      <c r="AZ672" s="56"/>
      <c r="BA672" s="56"/>
      <c r="BB672" s="56"/>
      <c r="BC672" s="56"/>
    </row>
    <row r="673" customFormat="false" ht="21.75" hidden="false" customHeight="true" outlineLevel="0" collapsed="false">
      <c r="B673" s="54" t="n">
        <v>26</v>
      </c>
      <c r="C673" s="54"/>
      <c r="D673" s="55"/>
      <c r="E673" s="55"/>
      <c r="F673" s="55"/>
      <c r="G673" s="55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  <c r="AO673" s="56"/>
      <c r="AP673" s="56"/>
      <c r="AQ673" s="56"/>
      <c r="AR673" s="56"/>
      <c r="AS673" s="56"/>
      <c r="AT673" s="56"/>
      <c r="AU673" s="56"/>
      <c r="AV673" s="56"/>
      <c r="AW673" s="56"/>
      <c r="AX673" s="56"/>
      <c r="AY673" s="56"/>
      <c r="AZ673" s="56"/>
      <c r="BA673" s="56"/>
      <c r="BB673" s="56"/>
      <c r="BC673" s="56"/>
    </row>
    <row r="674" customFormat="false" ht="21.75" hidden="false" customHeight="true" outlineLevel="0" collapsed="false">
      <c r="B674" s="54" t="n">
        <v>27</v>
      </c>
      <c r="C674" s="54"/>
      <c r="D674" s="55"/>
      <c r="E674" s="55"/>
      <c r="F674" s="55"/>
      <c r="G674" s="55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  <c r="AO674" s="56"/>
      <c r="AP674" s="56"/>
      <c r="AQ674" s="56"/>
      <c r="AR674" s="56"/>
      <c r="AS674" s="56"/>
      <c r="AT674" s="56"/>
      <c r="AU674" s="56"/>
      <c r="AV674" s="56"/>
      <c r="AW674" s="56"/>
      <c r="AX674" s="56"/>
      <c r="AY674" s="56"/>
      <c r="AZ674" s="56"/>
      <c r="BA674" s="56"/>
      <c r="BB674" s="56"/>
      <c r="BC674" s="56"/>
    </row>
    <row r="675" customFormat="false" ht="21.75" hidden="false" customHeight="true" outlineLevel="0" collapsed="false">
      <c r="B675" s="54" t="n">
        <v>28</v>
      </c>
      <c r="C675" s="54"/>
      <c r="D675" s="55"/>
      <c r="E675" s="55"/>
      <c r="F675" s="55"/>
      <c r="G675" s="55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  <c r="AO675" s="56"/>
      <c r="AP675" s="56"/>
      <c r="AQ675" s="56"/>
      <c r="AR675" s="56"/>
      <c r="AS675" s="56"/>
      <c r="AT675" s="56"/>
      <c r="AU675" s="56"/>
      <c r="AV675" s="56"/>
      <c r="AW675" s="56"/>
      <c r="AX675" s="56"/>
      <c r="AY675" s="56"/>
      <c r="AZ675" s="56"/>
      <c r="BA675" s="56"/>
      <c r="BB675" s="56"/>
      <c r="BC675" s="56"/>
    </row>
    <row r="676" customFormat="false" ht="21.75" hidden="false" customHeight="true" outlineLevel="0" collapsed="false">
      <c r="B676" s="54" t="n">
        <v>29</v>
      </c>
      <c r="C676" s="54"/>
      <c r="D676" s="55"/>
      <c r="E676" s="55"/>
      <c r="F676" s="55"/>
      <c r="G676" s="55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  <c r="AO676" s="56"/>
      <c r="AP676" s="56"/>
      <c r="AQ676" s="56"/>
      <c r="AR676" s="56"/>
      <c r="AS676" s="56"/>
      <c r="AT676" s="56"/>
      <c r="AU676" s="56"/>
      <c r="AV676" s="56"/>
      <c r="AW676" s="56"/>
      <c r="AX676" s="56"/>
      <c r="AY676" s="56"/>
      <c r="AZ676" s="56"/>
      <c r="BA676" s="56"/>
      <c r="BB676" s="56"/>
      <c r="BC676" s="56"/>
    </row>
    <row r="677" customFormat="false" ht="21.75" hidden="false" customHeight="true" outlineLevel="0" collapsed="false">
      <c r="B677" s="54" t="n">
        <v>30</v>
      </c>
      <c r="C677" s="54"/>
      <c r="D677" s="55"/>
      <c r="E677" s="55"/>
      <c r="F677" s="55"/>
      <c r="G677" s="55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6"/>
      <c r="AP677" s="56"/>
      <c r="AQ677" s="56"/>
      <c r="AR677" s="56"/>
      <c r="AS677" s="56"/>
      <c r="AT677" s="56"/>
      <c r="AU677" s="56"/>
      <c r="AV677" s="56"/>
      <c r="AW677" s="56"/>
      <c r="AX677" s="56"/>
      <c r="AY677" s="56"/>
      <c r="AZ677" s="56"/>
      <c r="BA677" s="56"/>
      <c r="BB677" s="56"/>
      <c r="BC677" s="56"/>
    </row>
    <row r="678" customFormat="false" ht="21.75" hidden="false" customHeight="true" outlineLevel="0" collapsed="false">
      <c r="B678" s="54" t="n">
        <v>31</v>
      </c>
      <c r="C678" s="54"/>
      <c r="D678" s="55"/>
      <c r="E678" s="55"/>
      <c r="F678" s="55"/>
      <c r="G678" s="55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6"/>
      <c r="AP678" s="56"/>
      <c r="AQ678" s="56"/>
      <c r="AR678" s="56"/>
      <c r="AS678" s="56"/>
      <c r="AT678" s="56"/>
      <c r="AU678" s="56"/>
      <c r="AV678" s="56"/>
      <c r="AW678" s="56"/>
      <c r="AX678" s="56"/>
      <c r="AY678" s="56"/>
      <c r="AZ678" s="56"/>
      <c r="BA678" s="56"/>
      <c r="BB678" s="56"/>
      <c r="BC678" s="56"/>
    </row>
    <row r="679" customFormat="false" ht="21.75" hidden="false" customHeight="true" outlineLevel="0" collapsed="false">
      <c r="B679" s="54" t="n">
        <v>32</v>
      </c>
      <c r="C679" s="54"/>
      <c r="D679" s="55"/>
      <c r="E679" s="55"/>
      <c r="F679" s="55"/>
      <c r="G679" s="55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  <c r="AO679" s="56"/>
      <c r="AP679" s="56"/>
      <c r="AQ679" s="56"/>
      <c r="AR679" s="56"/>
      <c r="AS679" s="56"/>
      <c r="AT679" s="56"/>
      <c r="AU679" s="56"/>
      <c r="AV679" s="56"/>
      <c r="AW679" s="56"/>
      <c r="AX679" s="56"/>
      <c r="AY679" s="56"/>
      <c r="AZ679" s="56"/>
      <c r="BA679" s="56"/>
      <c r="BB679" s="56"/>
      <c r="BC679" s="56"/>
    </row>
    <row r="680" customFormat="false" ht="21.75" hidden="false" customHeight="true" outlineLevel="0" collapsed="false">
      <c r="B680" s="54" t="n">
        <v>33</v>
      </c>
      <c r="C680" s="54"/>
      <c r="D680" s="55"/>
      <c r="E680" s="55"/>
      <c r="F680" s="55"/>
      <c r="G680" s="55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  <c r="AP680" s="56"/>
      <c r="AQ680" s="56"/>
      <c r="AR680" s="56"/>
      <c r="AS680" s="56"/>
      <c r="AT680" s="56"/>
      <c r="AU680" s="56"/>
      <c r="AV680" s="56"/>
      <c r="AW680" s="56"/>
      <c r="AX680" s="56"/>
      <c r="AY680" s="56"/>
      <c r="AZ680" s="56"/>
      <c r="BA680" s="56"/>
      <c r="BB680" s="56"/>
      <c r="BC680" s="56"/>
    </row>
    <row r="681" customFormat="false" ht="21.75" hidden="false" customHeight="true" outlineLevel="0" collapsed="false">
      <c r="B681" s="54" t="n">
        <v>34</v>
      </c>
      <c r="C681" s="54"/>
      <c r="D681" s="55"/>
      <c r="E681" s="55"/>
      <c r="F681" s="55"/>
      <c r="G681" s="55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  <c r="AP681" s="56"/>
      <c r="AQ681" s="56"/>
      <c r="AR681" s="56"/>
      <c r="AS681" s="56"/>
      <c r="AT681" s="56"/>
      <c r="AU681" s="56"/>
      <c r="AV681" s="56"/>
      <c r="AW681" s="56"/>
      <c r="AX681" s="56"/>
      <c r="AY681" s="56"/>
      <c r="AZ681" s="56"/>
      <c r="BA681" s="56"/>
      <c r="BB681" s="56"/>
      <c r="BC681" s="56"/>
    </row>
    <row r="682" customFormat="false" ht="21.75" hidden="false" customHeight="true" outlineLevel="0" collapsed="false">
      <c r="B682" s="54" t="n">
        <v>35</v>
      </c>
      <c r="C682" s="54"/>
      <c r="D682" s="55"/>
      <c r="E682" s="55"/>
      <c r="F682" s="55"/>
      <c r="G682" s="55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  <c r="AO682" s="56"/>
      <c r="AP682" s="56"/>
      <c r="AQ682" s="56"/>
      <c r="AR682" s="56"/>
      <c r="AS682" s="56"/>
      <c r="AT682" s="56"/>
      <c r="AU682" s="56"/>
      <c r="AV682" s="56"/>
      <c r="AW682" s="56"/>
      <c r="AX682" s="56"/>
      <c r="AY682" s="56"/>
      <c r="AZ682" s="56"/>
      <c r="BA682" s="56"/>
      <c r="BB682" s="56"/>
      <c r="BC682" s="56"/>
    </row>
    <row r="683" customFormat="false" ht="21.75" hidden="false" customHeight="true" outlineLevel="0" collapsed="false">
      <c r="B683" s="54" t="n">
        <v>36</v>
      </c>
      <c r="C683" s="54"/>
      <c r="D683" s="55"/>
      <c r="E683" s="55"/>
      <c r="F683" s="55"/>
      <c r="G683" s="55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6"/>
      <c r="AP683" s="56"/>
      <c r="AQ683" s="56"/>
      <c r="AR683" s="56"/>
      <c r="AS683" s="56"/>
      <c r="AT683" s="56"/>
      <c r="AU683" s="56"/>
      <c r="AV683" s="56"/>
      <c r="AW683" s="56"/>
      <c r="AX683" s="56"/>
      <c r="AY683" s="56"/>
      <c r="AZ683" s="56"/>
      <c r="BA683" s="56"/>
      <c r="BB683" s="56"/>
      <c r="BC683" s="56"/>
    </row>
    <row r="684" customFormat="false" ht="21.75" hidden="false" customHeight="true" outlineLevel="0" collapsed="false">
      <c r="B684" s="54" t="n">
        <v>37</v>
      </c>
      <c r="C684" s="54"/>
      <c r="D684" s="55"/>
      <c r="E684" s="55"/>
      <c r="F684" s="55"/>
      <c r="G684" s="55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6"/>
      <c r="AP684" s="56"/>
      <c r="AQ684" s="56"/>
      <c r="AR684" s="56"/>
      <c r="AS684" s="56"/>
      <c r="AT684" s="56"/>
      <c r="AU684" s="56"/>
      <c r="AV684" s="56"/>
      <c r="AW684" s="56"/>
      <c r="AX684" s="56"/>
      <c r="AY684" s="56"/>
      <c r="AZ684" s="56"/>
      <c r="BA684" s="56"/>
      <c r="BB684" s="56"/>
      <c r="BC684" s="56"/>
    </row>
    <row r="685" customFormat="false" ht="21.75" hidden="false" customHeight="true" outlineLevel="0" collapsed="false">
      <c r="B685" s="54" t="n">
        <v>38</v>
      </c>
      <c r="C685" s="54"/>
      <c r="D685" s="55"/>
      <c r="E685" s="55"/>
      <c r="F685" s="55"/>
      <c r="G685" s="55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  <c r="AP685" s="56"/>
      <c r="AQ685" s="56"/>
      <c r="AR685" s="56"/>
      <c r="AS685" s="56"/>
      <c r="AT685" s="56"/>
      <c r="AU685" s="56"/>
      <c r="AV685" s="56"/>
      <c r="AW685" s="56"/>
      <c r="AX685" s="56"/>
      <c r="AY685" s="56"/>
      <c r="AZ685" s="56"/>
      <c r="BA685" s="56"/>
      <c r="BB685" s="56"/>
      <c r="BC685" s="56"/>
    </row>
    <row r="686" customFormat="false" ht="21.75" hidden="false" customHeight="true" outlineLevel="0" collapsed="false">
      <c r="B686" s="54" t="n">
        <v>39</v>
      </c>
      <c r="C686" s="54"/>
      <c r="D686" s="55"/>
      <c r="E686" s="55"/>
      <c r="F686" s="55"/>
      <c r="G686" s="55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  <c r="AO686" s="56"/>
      <c r="AP686" s="56"/>
      <c r="AQ686" s="56"/>
      <c r="AR686" s="56"/>
      <c r="AS686" s="56"/>
      <c r="AT686" s="56"/>
      <c r="AU686" s="56"/>
      <c r="AV686" s="56"/>
      <c r="AW686" s="56"/>
      <c r="AX686" s="56"/>
      <c r="AY686" s="56"/>
      <c r="AZ686" s="56"/>
      <c r="BA686" s="56"/>
      <c r="BB686" s="56"/>
      <c r="BC686" s="56"/>
    </row>
    <row r="687" customFormat="false" ht="21.75" hidden="false" customHeight="true" outlineLevel="0" collapsed="false">
      <c r="B687" s="54" t="n">
        <v>40</v>
      </c>
      <c r="C687" s="54"/>
      <c r="D687" s="55"/>
      <c r="E687" s="55"/>
      <c r="F687" s="55"/>
      <c r="G687" s="55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6"/>
      <c r="AP687" s="56"/>
      <c r="AQ687" s="56"/>
      <c r="AR687" s="56"/>
      <c r="AS687" s="56"/>
      <c r="AT687" s="56"/>
      <c r="AU687" s="56"/>
      <c r="AV687" s="56"/>
      <c r="AW687" s="56"/>
      <c r="AX687" s="56"/>
      <c r="AY687" s="56"/>
      <c r="AZ687" s="56"/>
      <c r="BA687" s="56"/>
      <c r="BB687" s="56"/>
      <c r="BC687" s="56"/>
    </row>
    <row r="688" customFormat="false" ht="24" hidden="false" customHeight="true" outlineLevel="0" collapsed="false">
      <c r="B688" s="57" t="s">
        <v>78</v>
      </c>
      <c r="C688" s="57"/>
      <c r="E688" s="58" t="s">
        <v>128</v>
      </c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  <c r="AD688" s="58"/>
      <c r="AE688" s="58"/>
      <c r="AF688" s="58"/>
      <c r="AG688" s="58"/>
      <c r="AH688" s="58"/>
      <c r="AI688" s="58"/>
      <c r="AJ688" s="58"/>
      <c r="AK688" s="58"/>
      <c r="AL688" s="58"/>
      <c r="AM688" s="58"/>
      <c r="AN688" s="58"/>
      <c r="AO688" s="58"/>
      <c r="AP688" s="58"/>
      <c r="AQ688" s="58"/>
      <c r="AR688" s="58"/>
      <c r="AS688" s="58"/>
      <c r="AT688" s="58"/>
      <c r="AU688" s="58"/>
      <c r="AV688" s="58"/>
      <c r="AW688" s="58"/>
      <c r="AX688" s="58"/>
      <c r="AY688" s="58"/>
      <c r="AZ688" s="58"/>
      <c r="BA688" s="58"/>
      <c r="BB688" s="58"/>
      <c r="BC688" s="58"/>
    </row>
    <row r="689" customFormat="false" ht="12" hidden="false" customHeight="true" outlineLevel="0" collapsed="false"/>
    <row r="690" customFormat="false" ht="21.75" hidden="false" customHeight="true" outlineLevel="0" collapsed="false">
      <c r="B690" s="6"/>
      <c r="C690" s="37" t="s">
        <v>129</v>
      </c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  <c r="AF690" s="37"/>
      <c r="AG690" s="37"/>
      <c r="AH690" s="37"/>
      <c r="AI690" s="37"/>
      <c r="AJ690" s="37"/>
      <c r="AK690" s="37"/>
      <c r="AL690" s="38" t="s">
        <v>130</v>
      </c>
      <c r="AM690" s="38"/>
      <c r="AN690" s="38"/>
      <c r="AO690" s="38"/>
      <c r="AP690" s="38"/>
      <c r="AQ690" s="38"/>
      <c r="AR690" s="38"/>
      <c r="AS690" s="38"/>
      <c r="AT690" s="38"/>
      <c r="AU690" s="38"/>
      <c r="AV690" s="38"/>
      <c r="AW690" s="38"/>
      <c r="AX690" s="38"/>
      <c r="AY690" s="38"/>
      <c r="AZ690" s="38"/>
      <c r="BA690" s="38"/>
      <c r="BB690" s="38"/>
      <c r="BC690" s="38"/>
    </row>
    <row r="691" customFormat="false" ht="27.75" hidden="false" customHeight="true" outlineLevel="0" collapsed="false">
      <c r="B691" s="52" t="s">
        <v>71</v>
      </c>
      <c r="C691" s="52"/>
      <c r="D691" s="53" t="s">
        <v>74</v>
      </c>
      <c r="E691" s="53"/>
      <c r="F691" s="53"/>
      <c r="G691" s="53"/>
      <c r="H691" s="53"/>
      <c r="I691" s="53"/>
      <c r="J691" s="53"/>
      <c r="K691" s="53"/>
      <c r="L691" s="53"/>
      <c r="M691" s="53" t="s">
        <v>73</v>
      </c>
      <c r="N691" s="53"/>
      <c r="O691" s="53"/>
      <c r="P691" s="53"/>
      <c r="Q691" s="53"/>
      <c r="R691" s="53"/>
      <c r="S691" s="53"/>
      <c r="T691" s="53"/>
      <c r="U691" s="53" t="s">
        <v>131</v>
      </c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 t="s">
        <v>132</v>
      </c>
      <c r="AS691" s="53"/>
      <c r="AT691" s="53"/>
      <c r="AU691" s="53"/>
      <c r="AV691" s="53"/>
      <c r="AW691" s="53"/>
      <c r="AX691" s="53"/>
      <c r="AY691" s="53"/>
      <c r="AZ691" s="53" t="s">
        <v>133</v>
      </c>
      <c r="BA691" s="53"/>
      <c r="BB691" s="53"/>
      <c r="BC691" s="53"/>
    </row>
    <row r="692" customFormat="false" ht="21.75" hidden="false" customHeight="true" outlineLevel="0" collapsed="false">
      <c r="B692" s="54" t="n">
        <v>1</v>
      </c>
      <c r="C692" s="54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6"/>
      <c r="AG692" s="56"/>
      <c r="AH692" s="56"/>
      <c r="AI692" s="56"/>
      <c r="AJ692" s="56"/>
      <c r="AK692" s="56"/>
      <c r="AL692" s="56"/>
      <c r="AM692" s="56"/>
      <c r="AN692" s="56"/>
      <c r="AO692" s="56"/>
      <c r="AP692" s="56"/>
      <c r="AQ692" s="56"/>
      <c r="AR692" s="55"/>
      <c r="AS692" s="55"/>
      <c r="AT692" s="55"/>
      <c r="AU692" s="55"/>
      <c r="AV692" s="55"/>
      <c r="AW692" s="55"/>
      <c r="AX692" s="55"/>
      <c r="AY692" s="55"/>
      <c r="AZ692" s="56"/>
      <c r="BA692" s="56"/>
      <c r="BB692" s="56"/>
      <c r="BC692" s="56"/>
    </row>
    <row r="693" customFormat="false" ht="21.75" hidden="false" customHeight="true" outlineLevel="0" collapsed="false">
      <c r="B693" s="54" t="n">
        <v>2</v>
      </c>
      <c r="C693" s="54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6"/>
      <c r="AG693" s="56"/>
      <c r="AH693" s="56"/>
      <c r="AI693" s="56"/>
      <c r="AJ693" s="56"/>
      <c r="AK693" s="56"/>
      <c r="AL693" s="56"/>
      <c r="AM693" s="56"/>
      <c r="AN693" s="56"/>
      <c r="AO693" s="56"/>
      <c r="AP693" s="56"/>
      <c r="AQ693" s="56"/>
      <c r="AR693" s="55"/>
      <c r="AS693" s="55"/>
      <c r="AT693" s="55"/>
      <c r="AU693" s="55"/>
      <c r="AV693" s="55"/>
      <c r="AW693" s="55"/>
      <c r="AX693" s="55"/>
      <c r="AY693" s="55"/>
      <c r="AZ693" s="56"/>
      <c r="BA693" s="56"/>
      <c r="BB693" s="56"/>
      <c r="BC693" s="56"/>
    </row>
    <row r="694" customFormat="false" ht="21.75" hidden="false" customHeight="true" outlineLevel="0" collapsed="false">
      <c r="B694" s="54" t="n">
        <v>3</v>
      </c>
      <c r="C694" s="54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  <c r="AG694" s="56"/>
      <c r="AH694" s="56"/>
      <c r="AI694" s="56"/>
      <c r="AJ694" s="56"/>
      <c r="AK694" s="56"/>
      <c r="AL694" s="56"/>
      <c r="AM694" s="56"/>
      <c r="AN694" s="56"/>
      <c r="AO694" s="56"/>
      <c r="AP694" s="56"/>
      <c r="AQ694" s="56"/>
      <c r="AR694" s="55"/>
      <c r="AS694" s="55"/>
      <c r="AT694" s="55"/>
      <c r="AU694" s="55"/>
      <c r="AV694" s="55"/>
      <c r="AW694" s="55"/>
      <c r="AX694" s="55"/>
      <c r="AY694" s="55"/>
      <c r="AZ694" s="56"/>
      <c r="BA694" s="56"/>
      <c r="BB694" s="56"/>
      <c r="BC694" s="56"/>
    </row>
    <row r="695" customFormat="false" ht="21.75" hidden="false" customHeight="true" outlineLevel="0" collapsed="false">
      <c r="B695" s="54" t="n">
        <v>4</v>
      </c>
      <c r="C695" s="54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6"/>
      <c r="AG695" s="56"/>
      <c r="AH695" s="56"/>
      <c r="AI695" s="56"/>
      <c r="AJ695" s="56"/>
      <c r="AK695" s="56"/>
      <c r="AL695" s="56"/>
      <c r="AM695" s="56"/>
      <c r="AN695" s="56"/>
      <c r="AO695" s="56"/>
      <c r="AP695" s="56"/>
      <c r="AQ695" s="56"/>
      <c r="AR695" s="55"/>
      <c r="AS695" s="55"/>
      <c r="AT695" s="55"/>
      <c r="AU695" s="55"/>
      <c r="AV695" s="55"/>
      <c r="AW695" s="55"/>
      <c r="AX695" s="55"/>
      <c r="AY695" s="55"/>
      <c r="AZ695" s="56"/>
      <c r="BA695" s="56"/>
      <c r="BB695" s="56"/>
      <c r="BC695" s="56"/>
    </row>
    <row r="696" customFormat="false" ht="21.75" hidden="false" customHeight="true" outlineLevel="0" collapsed="false">
      <c r="B696" s="54" t="n">
        <v>5</v>
      </c>
      <c r="C696" s="54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6"/>
      <c r="AG696" s="56"/>
      <c r="AH696" s="56"/>
      <c r="AI696" s="56"/>
      <c r="AJ696" s="56"/>
      <c r="AK696" s="56"/>
      <c r="AL696" s="56"/>
      <c r="AM696" s="56"/>
      <c r="AN696" s="56"/>
      <c r="AO696" s="56"/>
      <c r="AP696" s="56"/>
      <c r="AQ696" s="56"/>
      <c r="AR696" s="55"/>
      <c r="AS696" s="55"/>
      <c r="AT696" s="55"/>
      <c r="AU696" s="55"/>
      <c r="AV696" s="55"/>
      <c r="AW696" s="55"/>
      <c r="AX696" s="55"/>
      <c r="AY696" s="55"/>
      <c r="AZ696" s="56"/>
      <c r="BA696" s="56"/>
      <c r="BB696" s="56"/>
      <c r="BC696" s="56"/>
    </row>
    <row r="697" customFormat="false" ht="21.75" hidden="false" customHeight="true" outlineLevel="0" collapsed="false">
      <c r="B697" s="54" t="n">
        <v>6</v>
      </c>
      <c r="C697" s="54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6"/>
      <c r="AG697" s="56"/>
      <c r="AH697" s="56"/>
      <c r="AI697" s="56"/>
      <c r="AJ697" s="56"/>
      <c r="AK697" s="56"/>
      <c r="AL697" s="56"/>
      <c r="AM697" s="56"/>
      <c r="AN697" s="56"/>
      <c r="AO697" s="56"/>
      <c r="AP697" s="56"/>
      <c r="AQ697" s="56"/>
      <c r="AR697" s="55"/>
      <c r="AS697" s="55"/>
      <c r="AT697" s="55"/>
      <c r="AU697" s="55"/>
      <c r="AV697" s="55"/>
      <c r="AW697" s="55"/>
      <c r="AX697" s="55"/>
      <c r="AY697" s="55"/>
      <c r="AZ697" s="56"/>
      <c r="BA697" s="56"/>
      <c r="BB697" s="56"/>
      <c r="BC697" s="56"/>
    </row>
    <row r="698" customFormat="false" ht="21.75" hidden="false" customHeight="true" outlineLevel="0" collapsed="false">
      <c r="B698" s="54" t="n">
        <v>7</v>
      </c>
      <c r="C698" s="54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  <c r="AF698" s="56"/>
      <c r="AG698" s="56"/>
      <c r="AH698" s="56"/>
      <c r="AI698" s="56"/>
      <c r="AJ698" s="56"/>
      <c r="AK698" s="56"/>
      <c r="AL698" s="56"/>
      <c r="AM698" s="56"/>
      <c r="AN698" s="56"/>
      <c r="AO698" s="56"/>
      <c r="AP698" s="56"/>
      <c r="AQ698" s="56"/>
      <c r="AR698" s="55"/>
      <c r="AS698" s="55"/>
      <c r="AT698" s="55"/>
      <c r="AU698" s="55"/>
      <c r="AV698" s="55"/>
      <c r="AW698" s="55"/>
      <c r="AX698" s="55"/>
      <c r="AY698" s="55"/>
      <c r="AZ698" s="56"/>
      <c r="BA698" s="56"/>
      <c r="BB698" s="56"/>
      <c r="BC698" s="56"/>
    </row>
    <row r="699" customFormat="false" ht="21.75" hidden="false" customHeight="true" outlineLevel="0" collapsed="false">
      <c r="B699" s="54" t="n">
        <v>8</v>
      </c>
      <c r="C699" s="54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6"/>
      <c r="AG699" s="56"/>
      <c r="AH699" s="56"/>
      <c r="AI699" s="56"/>
      <c r="AJ699" s="56"/>
      <c r="AK699" s="56"/>
      <c r="AL699" s="56"/>
      <c r="AM699" s="56"/>
      <c r="AN699" s="56"/>
      <c r="AO699" s="56"/>
      <c r="AP699" s="56"/>
      <c r="AQ699" s="56"/>
      <c r="AR699" s="55"/>
      <c r="AS699" s="55"/>
      <c r="AT699" s="55"/>
      <c r="AU699" s="55"/>
      <c r="AV699" s="55"/>
      <c r="AW699" s="55"/>
      <c r="AX699" s="55"/>
      <c r="AY699" s="55"/>
      <c r="AZ699" s="56"/>
      <c r="BA699" s="56"/>
      <c r="BB699" s="56"/>
      <c r="BC699" s="56"/>
    </row>
    <row r="700" customFormat="false" ht="21.75" hidden="false" customHeight="true" outlineLevel="0" collapsed="false">
      <c r="B700" s="54" t="n">
        <v>9</v>
      </c>
      <c r="C700" s="54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6"/>
      <c r="AG700" s="56"/>
      <c r="AH700" s="56"/>
      <c r="AI700" s="56"/>
      <c r="AJ700" s="56"/>
      <c r="AK700" s="56"/>
      <c r="AL700" s="56"/>
      <c r="AM700" s="56"/>
      <c r="AN700" s="56"/>
      <c r="AO700" s="56"/>
      <c r="AP700" s="56"/>
      <c r="AQ700" s="56"/>
      <c r="AR700" s="55"/>
      <c r="AS700" s="55"/>
      <c r="AT700" s="55"/>
      <c r="AU700" s="55"/>
      <c r="AV700" s="55"/>
      <c r="AW700" s="55"/>
      <c r="AX700" s="55"/>
      <c r="AY700" s="55"/>
      <c r="AZ700" s="56"/>
      <c r="BA700" s="56"/>
      <c r="BB700" s="56"/>
      <c r="BC700" s="56"/>
    </row>
    <row r="701" customFormat="false" ht="21.75" hidden="false" customHeight="true" outlineLevel="0" collapsed="false">
      <c r="B701" s="54" t="n">
        <v>10</v>
      </c>
      <c r="C701" s="54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  <c r="AG701" s="56"/>
      <c r="AH701" s="56"/>
      <c r="AI701" s="56"/>
      <c r="AJ701" s="56"/>
      <c r="AK701" s="56"/>
      <c r="AL701" s="56"/>
      <c r="AM701" s="56"/>
      <c r="AN701" s="56"/>
      <c r="AO701" s="56"/>
      <c r="AP701" s="56"/>
      <c r="AQ701" s="56"/>
      <c r="AR701" s="55"/>
      <c r="AS701" s="55"/>
      <c r="AT701" s="55"/>
      <c r="AU701" s="55"/>
      <c r="AV701" s="55"/>
      <c r="AW701" s="55"/>
      <c r="AX701" s="55"/>
      <c r="AY701" s="55"/>
      <c r="AZ701" s="56"/>
      <c r="BA701" s="56"/>
      <c r="BB701" s="56"/>
      <c r="BC701" s="56"/>
    </row>
    <row r="702" customFormat="false" ht="21.75" hidden="false" customHeight="true" outlineLevel="0" collapsed="false">
      <c r="B702" s="54" t="n">
        <v>11</v>
      </c>
      <c r="C702" s="54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6"/>
      <c r="AG702" s="56"/>
      <c r="AH702" s="56"/>
      <c r="AI702" s="56"/>
      <c r="AJ702" s="56"/>
      <c r="AK702" s="56"/>
      <c r="AL702" s="56"/>
      <c r="AM702" s="56"/>
      <c r="AN702" s="56"/>
      <c r="AO702" s="56"/>
      <c r="AP702" s="56"/>
      <c r="AQ702" s="56"/>
      <c r="AR702" s="55"/>
      <c r="AS702" s="55"/>
      <c r="AT702" s="55"/>
      <c r="AU702" s="55"/>
      <c r="AV702" s="55"/>
      <c r="AW702" s="55"/>
      <c r="AX702" s="55"/>
      <c r="AY702" s="55"/>
      <c r="AZ702" s="56"/>
      <c r="BA702" s="56"/>
      <c r="BB702" s="56"/>
      <c r="BC702" s="56"/>
    </row>
    <row r="703" customFormat="false" ht="21.75" hidden="false" customHeight="true" outlineLevel="0" collapsed="false">
      <c r="B703" s="54" t="n">
        <v>12</v>
      </c>
      <c r="C703" s="54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  <c r="AG703" s="56"/>
      <c r="AH703" s="56"/>
      <c r="AI703" s="56"/>
      <c r="AJ703" s="56"/>
      <c r="AK703" s="56"/>
      <c r="AL703" s="56"/>
      <c r="AM703" s="56"/>
      <c r="AN703" s="56"/>
      <c r="AO703" s="56"/>
      <c r="AP703" s="56"/>
      <c r="AQ703" s="56"/>
      <c r="AR703" s="55"/>
      <c r="AS703" s="55"/>
      <c r="AT703" s="55"/>
      <c r="AU703" s="55"/>
      <c r="AV703" s="55"/>
      <c r="AW703" s="55"/>
      <c r="AX703" s="55"/>
      <c r="AY703" s="55"/>
      <c r="AZ703" s="56"/>
      <c r="BA703" s="56"/>
      <c r="BB703" s="56"/>
      <c r="BC703" s="56"/>
    </row>
    <row r="704" customFormat="false" ht="21.75" hidden="false" customHeight="true" outlineLevel="0" collapsed="false">
      <c r="B704" s="54" t="n">
        <v>13</v>
      </c>
      <c r="C704" s="54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  <c r="AG704" s="56"/>
      <c r="AH704" s="56"/>
      <c r="AI704" s="56"/>
      <c r="AJ704" s="56"/>
      <c r="AK704" s="56"/>
      <c r="AL704" s="56"/>
      <c r="AM704" s="56"/>
      <c r="AN704" s="56"/>
      <c r="AO704" s="56"/>
      <c r="AP704" s="56"/>
      <c r="AQ704" s="56"/>
      <c r="AR704" s="55"/>
      <c r="AS704" s="55"/>
      <c r="AT704" s="55"/>
      <c r="AU704" s="55"/>
      <c r="AV704" s="55"/>
      <c r="AW704" s="55"/>
      <c r="AX704" s="55"/>
      <c r="AY704" s="55"/>
      <c r="AZ704" s="56"/>
      <c r="BA704" s="56"/>
      <c r="BB704" s="56"/>
      <c r="BC704" s="56"/>
    </row>
    <row r="705" customFormat="false" ht="21.75" hidden="false" customHeight="true" outlineLevel="0" collapsed="false">
      <c r="B705" s="54" t="n">
        <v>14</v>
      </c>
      <c r="C705" s="54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  <c r="AG705" s="56"/>
      <c r="AH705" s="56"/>
      <c r="AI705" s="56"/>
      <c r="AJ705" s="56"/>
      <c r="AK705" s="56"/>
      <c r="AL705" s="56"/>
      <c r="AM705" s="56"/>
      <c r="AN705" s="56"/>
      <c r="AO705" s="56"/>
      <c r="AP705" s="56"/>
      <c r="AQ705" s="56"/>
      <c r="AR705" s="55"/>
      <c r="AS705" s="55"/>
      <c r="AT705" s="55"/>
      <c r="AU705" s="55"/>
      <c r="AV705" s="55"/>
      <c r="AW705" s="55"/>
      <c r="AX705" s="55"/>
      <c r="AY705" s="55"/>
      <c r="AZ705" s="56"/>
      <c r="BA705" s="56"/>
      <c r="BB705" s="56"/>
      <c r="BC705" s="56"/>
    </row>
    <row r="706" customFormat="false" ht="21.75" hidden="false" customHeight="true" outlineLevel="0" collapsed="false">
      <c r="B706" s="54" t="n">
        <v>15</v>
      </c>
      <c r="C706" s="54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  <c r="AG706" s="56"/>
      <c r="AH706" s="56"/>
      <c r="AI706" s="56"/>
      <c r="AJ706" s="56"/>
      <c r="AK706" s="56"/>
      <c r="AL706" s="56"/>
      <c r="AM706" s="56"/>
      <c r="AN706" s="56"/>
      <c r="AO706" s="56"/>
      <c r="AP706" s="56"/>
      <c r="AQ706" s="56"/>
      <c r="AR706" s="55"/>
      <c r="AS706" s="55"/>
      <c r="AT706" s="55"/>
      <c r="AU706" s="55"/>
      <c r="AV706" s="55"/>
      <c r="AW706" s="55"/>
      <c r="AX706" s="55"/>
      <c r="AY706" s="55"/>
      <c r="AZ706" s="56"/>
      <c r="BA706" s="56"/>
      <c r="BB706" s="56"/>
      <c r="BC706" s="56"/>
    </row>
    <row r="707" customFormat="false" ht="21.75" hidden="false" customHeight="true" outlineLevel="0" collapsed="false">
      <c r="B707" s="54" t="n">
        <v>16</v>
      </c>
      <c r="C707" s="54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  <c r="AG707" s="56"/>
      <c r="AH707" s="56"/>
      <c r="AI707" s="56"/>
      <c r="AJ707" s="56"/>
      <c r="AK707" s="56"/>
      <c r="AL707" s="56"/>
      <c r="AM707" s="56"/>
      <c r="AN707" s="56"/>
      <c r="AO707" s="56"/>
      <c r="AP707" s="56"/>
      <c r="AQ707" s="56"/>
      <c r="AR707" s="55"/>
      <c r="AS707" s="55"/>
      <c r="AT707" s="55"/>
      <c r="AU707" s="55"/>
      <c r="AV707" s="55"/>
      <c r="AW707" s="55"/>
      <c r="AX707" s="55"/>
      <c r="AY707" s="55"/>
      <c r="AZ707" s="56"/>
      <c r="BA707" s="56"/>
      <c r="BB707" s="56"/>
      <c r="BC707" s="56"/>
    </row>
    <row r="708" customFormat="false" ht="21.75" hidden="false" customHeight="true" outlineLevel="0" collapsed="false">
      <c r="B708" s="54" t="n">
        <v>17</v>
      </c>
      <c r="C708" s="54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  <c r="AG708" s="56"/>
      <c r="AH708" s="56"/>
      <c r="AI708" s="56"/>
      <c r="AJ708" s="56"/>
      <c r="AK708" s="56"/>
      <c r="AL708" s="56"/>
      <c r="AM708" s="56"/>
      <c r="AN708" s="56"/>
      <c r="AO708" s="56"/>
      <c r="AP708" s="56"/>
      <c r="AQ708" s="56"/>
      <c r="AR708" s="55"/>
      <c r="AS708" s="55"/>
      <c r="AT708" s="55"/>
      <c r="AU708" s="55"/>
      <c r="AV708" s="55"/>
      <c r="AW708" s="55"/>
      <c r="AX708" s="55"/>
      <c r="AY708" s="55"/>
      <c r="AZ708" s="56"/>
      <c r="BA708" s="56"/>
      <c r="BB708" s="56"/>
      <c r="BC708" s="56"/>
    </row>
    <row r="709" customFormat="false" ht="21.75" hidden="false" customHeight="true" outlineLevel="0" collapsed="false">
      <c r="B709" s="54" t="n">
        <v>18</v>
      </c>
      <c r="C709" s="54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  <c r="AG709" s="56"/>
      <c r="AH709" s="56"/>
      <c r="AI709" s="56"/>
      <c r="AJ709" s="56"/>
      <c r="AK709" s="56"/>
      <c r="AL709" s="56"/>
      <c r="AM709" s="56"/>
      <c r="AN709" s="56"/>
      <c r="AO709" s="56"/>
      <c r="AP709" s="56"/>
      <c r="AQ709" s="56"/>
      <c r="AR709" s="55"/>
      <c r="AS709" s="55"/>
      <c r="AT709" s="55"/>
      <c r="AU709" s="55"/>
      <c r="AV709" s="55"/>
      <c r="AW709" s="55"/>
      <c r="AX709" s="55"/>
      <c r="AY709" s="55"/>
      <c r="AZ709" s="56"/>
      <c r="BA709" s="56"/>
      <c r="BB709" s="56"/>
      <c r="BC709" s="56"/>
    </row>
    <row r="710" customFormat="false" ht="21.75" hidden="false" customHeight="true" outlineLevel="0" collapsed="false">
      <c r="B710" s="54" t="n">
        <v>19</v>
      </c>
      <c r="C710" s="54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  <c r="AM710" s="56"/>
      <c r="AN710" s="56"/>
      <c r="AO710" s="56"/>
      <c r="AP710" s="56"/>
      <c r="AQ710" s="56"/>
      <c r="AR710" s="55"/>
      <c r="AS710" s="55"/>
      <c r="AT710" s="55"/>
      <c r="AU710" s="55"/>
      <c r="AV710" s="55"/>
      <c r="AW710" s="55"/>
      <c r="AX710" s="55"/>
      <c r="AY710" s="55"/>
      <c r="AZ710" s="56"/>
      <c r="BA710" s="56"/>
      <c r="BB710" s="56"/>
      <c r="BC710" s="56"/>
    </row>
    <row r="711" customFormat="false" ht="21.75" hidden="false" customHeight="true" outlineLevel="0" collapsed="false">
      <c r="B711" s="54" t="n">
        <v>20</v>
      </c>
      <c r="C711" s="54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6"/>
      <c r="AG711" s="56"/>
      <c r="AH711" s="56"/>
      <c r="AI711" s="56"/>
      <c r="AJ711" s="56"/>
      <c r="AK711" s="56"/>
      <c r="AL711" s="56"/>
      <c r="AM711" s="56"/>
      <c r="AN711" s="56"/>
      <c r="AO711" s="56"/>
      <c r="AP711" s="56"/>
      <c r="AQ711" s="56"/>
      <c r="AR711" s="55"/>
      <c r="AS711" s="55"/>
      <c r="AT711" s="55"/>
      <c r="AU711" s="55"/>
      <c r="AV711" s="55"/>
      <c r="AW711" s="55"/>
      <c r="AX711" s="55"/>
      <c r="AY711" s="55"/>
      <c r="AZ711" s="56"/>
      <c r="BA711" s="56"/>
      <c r="BB711" s="56"/>
      <c r="BC711" s="56"/>
    </row>
    <row r="712" customFormat="false" ht="21.75" hidden="false" customHeight="true" outlineLevel="0" collapsed="false">
      <c r="B712" s="54" t="n">
        <v>21</v>
      </c>
      <c r="C712" s="54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  <c r="AG712" s="56"/>
      <c r="AH712" s="56"/>
      <c r="AI712" s="56"/>
      <c r="AJ712" s="56"/>
      <c r="AK712" s="56"/>
      <c r="AL712" s="56"/>
      <c r="AM712" s="56"/>
      <c r="AN712" s="56"/>
      <c r="AO712" s="56"/>
      <c r="AP712" s="56"/>
      <c r="AQ712" s="56"/>
      <c r="AR712" s="55"/>
      <c r="AS712" s="55"/>
      <c r="AT712" s="55"/>
      <c r="AU712" s="55"/>
      <c r="AV712" s="55"/>
      <c r="AW712" s="55"/>
      <c r="AX712" s="55"/>
      <c r="AY712" s="55"/>
      <c r="AZ712" s="56"/>
      <c r="BA712" s="56"/>
      <c r="BB712" s="56"/>
      <c r="BC712" s="56"/>
    </row>
    <row r="713" customFormat="false" ht="21.75" hidden="false" customHeight="true" outlineLevel="0" collapsed="false">
      <c r="B713" s="54" t="n">
        <v>22</v>
      </c>
      <c r="C713" s="54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  <c r="AG713" s="56"/>
      <c r="AH713" s="56"/>
      <c r="AI713" s="56"/>
      <c r="AJ713" s="56"/>
      <c r="AK713" s="56"/>
      <c r="AL713" s="56"/>
      <c r="AM713" s="56"/>
      <c r="AN713" s="56"/>
      <c r="AO713" s="56"/>
      <c r="AP713" s="56"/>
      <c r="AQ713" s="56"/>
      <c r="AR713" s="55"/>
      <c r="AS713" s="55"/>
      <c r="AT713" s="55"/>
      <c r="AU713" s="55"/>
      <c r="AV713" s="55"/>
      <c r="AW713" s="55"/>
      <c r="AX713" s="55"/>
      <c r="AY713" s="55"/>
      <c r="AZ713" s="56"/>
      <c r="BA713" s="56"/>
      <c r="BB713" s="56"/>
      <c r="BC713" s="56"/>
    </row>
    <row r="714" customFormat="false" ht="21.75" hidden="false" customHeight="true" outlineLevel="0" collapsed="false">
      <c r="B714" s="54" t="n">
        <v>23</v>
      </c>
      <c r="C714" s="54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6"/>
      <c r="AG714" s="56"/>
      <c r="AH714" s="56"/>
      <c r="AI714" s="56"/>
      <c r="AJ714" s="56"/>
      <c r="AK714" s="56"/>
      <c r="AL714" s="56"/>
      <c r="AM714" s="56"/>
      <c r="AN714" s="56"/>
      <c r="AO714" s="56"/>
      <c r="AP714" s="56"/>
      <c r="AQ714" s="56"/>
      <c r="AR714" s="55"/>
      <c r="AS714" s="55"/>
      <c r="AT714" s="55"/>
      <c r="AU714" s="55"/>
      <c r="AV714" s="55"/>
      <c r="AW714" s="55"/>
      <c r="AX714" s="55"/>
      <c r="AY714" s="55"/>
      <c r="AZ714" s="56"/>
      <c r="BA714" s="56"/>
      <c r="BB714" s="56"/>
      <c r="BC714" s="56"/>
    </row>
    <row r="715" customFormat="false" ht="21.75" hidden="false" customHeight="true" outlineLevel="0" collapsed="false">
      <c r="B715" s="54" t="n">
        <v>24</v>
      </c>
      <c r="C715" s="54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  <c r="AF715" s="56"/>
      <c r="AG715" s="56"/>
      <c r="AH715" s="56"/>
      <c r="AI715" s="56"/>
      <c r="AJ715" s="56"/>
      <c r="AK715" s="56"/>
      <c r="AL715" s="56"/>
      <c r="AM715" s="56"/>
      <c r="AN715" s="56"/>
      <c r="AO715" s="56"/>
      <c r="AP715" s="56"/>
      <c r="AQ715" s="56"/>
      <c r="AR715" s="55"/>
      <c r="AS715" s="55"/>
      <c r="AT715" s="55"/>
      <c r="AU715" s="55"/>
      <c r="AV715" s="55"/>
      <c r="AW715" s="55"/>
      <c r="AX715" s="55"/>
      <c r="AY715" s="55"/>
      <c r="AZ715" s="56"/>
      <c r="BA715" s="56"/>
      <c r="BB715" s="56"/>
      <c r="BC715" s="56"/>
    </row>
    <row r="716" customFormat="false" ht="21.75" hidden="false" customHeight="true" outlineLevel="0" collapsed="false">
      <c r="B716" s="54" t="n">
        <v>25</v>
      </c>
      <c r="C716" s="54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6"/>
      <c r="AG716" s="56"/>
      <c r="AH716" s="56"/>
      <c r="AI716" s="56"/>
      <c r="AJ716" s="56"/>
      <c r="AK716" s="56"/>
      <c r="AL716" s="56"/>
      <c r="AM716" s="56"/>
      <c r="AN716" s="56"/>
      <c r="AO716" s="56"/>
      <c r="AP716" s="56"/>
      <c r="AQ716" s="56"/>
      <c r="AR716" s="55"/>
      <c r="AS716" s="55"/>
      <c r="AT716" s="55"/>
      <c r="AU716" s="55"/>
      <c r="AV716" s="55"/>
      <c r="AW716" s="55"/>
      <c r="AX716" s="55"/>
      <c r="AY716" s="55"/>
      <c r="AZ716" s="56"/>
      <c r="BA716" s="56"/>
      <c r="BB716" s="56"/>
      <c r="BC716" s="56"/>
    </row>
    <row r="717" customFormat="false" ht="21.75" hidden="false" customHeight="true" outlineLevel="0" collapsed="false">
      <c r="B717" s="54" t="n">
        <v>26</v>
      </c>
      <c r="C717" s="54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  <c r="AG717" s="56"/>
      <c r="AH717" s="56"/>
      <c r="AI717" s="56"/>
      <c r="AJ717" s="56"/>
      <c r="AK717" s="56"/>
      <c r="AL717" s="56"/>
      <c r="AM717" s="56"/>
      <c r="AN717" s="56"/>
      <c r="AO717" s="56"/>
      <c r="AP717" s="56"/>
      <c r="AQ717" s="56"/>
      <c r="AR717" s="55"/>
      <c r="AS717" s="55"/>
      <c r="AT717" s="55"/>
      <c r="AU717" s="55"/>
      <c r="AV717" s="55"/>
      <c r="AW717" s="55"/>
      <c r="AX717" s="55"/>
      <c r="AY717" s="55"/>
      <c r="AZ717" s="56"/>
      <c r="BA717" s="56"/>
      <c r="BB717" s="56"/>
      <c r="BC717" s="56"/>
    </row>
    <row r="718" customFormat="false" ht="21.75" hidden="false" customHeight="true" outlineLevel="0" collapsed="false">
      <c r="B718" s="54" t="n">
        <v>27</v>
      </c>
      <c r="C718" s="54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6"/>
      <c r="AG718" s="56"/>
      <c r="AH718" s="56"/>
      <c r="AI718" s="56"/>
      <c r="AJ718" s="56"/>
      <c r="AK718" s="56"/>
      <c r="AL718" s="56"/>
      <c r="AM718" s="56"/>
      <c r="AN718" s="56"/>
      <c r="AO718" s="56"/>
      <c r="AP718" s="56"/>
      <c r="AQ718" s="56"/>
      <c r="AR718" s="55"/>
      <c r="AS718" s="55"/>
      <c r="AT718" s="55"/>
      <c r="AU718" s="55"/>
      <c r="AV718" s="55"/>
      <c r="AW718" s="55"/>
      <c r="AX718" s="55"/>
      <c r="AY718" s="55"/>
      <c r="AZ718" s="56"/>
      <c r="BA718" s="56"/>
      <c r="BB718" s="56"/>
      <c r="BC718" s="56"/>
    </row>
    <row r="719" customFormat="false" ht="21.75" hidden="false" customHeight="true" outlineLevel="0" collapsed="false">
      <c r="B719" s="54" t="n">
        <v>28</v>
      </c>
      <c r="C719" s="54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6"/>
      <c r="AG719" s="56"/>
      <c r="AH719" s="56"/>
      <c r="AI719" s="56"/>
      <c r="AJ719" s="56"/>
      <c r="AK719" s="56"/>
      <c r="AL719" s="56"/>
      <c r="AM719" s="56"/>
      <c r="AN719" s="56"/>
      <c r="AO719" s="56"/>
      <c r="AP719" s="56"/>
      <c r="AQ719" s="56"/>
      <c r="AR719" s="55"/>
      <c r="AS719" s="55"/>
      <c r="AT719" s="55"/>
      <c r="AU719" s="55"/>
      <c r="AV719" s="55"/>
      <c r="AW719" s="55"/>
      <c r="AX719" s="55"/>
      <c r="AY719" s="55"/>
      <c r="AZ719" s="56"/>
      <c r="BA719" s="56"/>
      <c r="BB719" s="56"/>
      <c r="BC719" s="56"/>
    </row>
    <row r="720" customFormat="false" ht="21.75" hidden="false" customHeight="true" outlineLevel="0" collapsed="false">
      <c r="B720" s="54" t="n">
        <v>29</v>
      </c>
      <c r="C720" s="54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6"/>
      <c r="AG720" s="56"/>
      <c r="AH720" s="56"/>
      <c r="AI720" s="56"/>
      <c r="AJ720" s="56"/>
      <c r="AK720" s="56"/>
      <c r="AL720" s="56"/>
      <c r="AM720" s="56"/>
      <c r="AN720" s="56"/>
      <c r="AO720" s="56"/>
      <c r="AP720" s="56"/>
      <c r="AQ720" s="56"/>
      <c r="AR720" s="55"/>
      <c r="AS720" s="55"/>
      <c r="AT720" s="55"/>
      <c r="AU720" s="55"/>
      <c r="AV720" s="55"/>
      <c r="AW720" s="55"/>
      <c r="AX720" s="55"/>
      <c r="AY720" s="55"/>
      <c r="AZ720" s="56"/>
      <c r="BA720" s="56"/>
      <c r="BB720" s="56"/>
      <c r="BC720" s="56"/>
    </row>
    <row r="721" customFormat="false" ht="21.75" hidden="false" customHeight="true" outlineLevel="0" collapsed="false">
      <c r="B721" s="54" t="n">
        <v>30</v>
      </c>
      <c r="C721" s="54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6"/>
      <c r="AG721" s="56"/>
      <c r="AH721" s="56"/>
      <c r="AI721" s="56"/>
      <c r="AJ721" s="56"/>
      <c r="AK721" s="56"/>
      <c r="AL721" s="56"/>
      <c r="AM721" s="56"/>
      <c r="AN721" s="56"/>
      <c r="AO721" s="56"/>
      <c r="AP721" s="56"/>
      <c r="AQ721" s="56"/>
      <c r="AR721" s="55"/>
      <c r="AS721" s="55"/>
      <c r="AT721" s="55"/>
      <c r="AU721" s="55"/>
      <c r="AV721" s="55"/>
      <c r="AW721" s="55"/>
      <c r="AX721" s="55"/>
      <c r="AY721" s="55"/>
      <c r="AZ721" s="56"/>
      <c r="BA721" s="56"/>
      <c r="BB721" s="56"/>
      <c r="BC721" s="56"/>
    </row>
    <row r="722" customFormat="false" ht="21.75" hidden="false" customHeight="true" outlineLevel="0" collapsed="false">
      <c r="B722" s="54" t="n">
        <v>31</v>
      </c>
      <c r="C722" s="54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6"/>
      <c r="AG722" s="56"/>
      <c r="AH722" s="56"/>
      <c r="AI722" s="56"/>
      <c r="AJ722" s="56"/>
      <c r="AK722" s="56"/>
      <c r="AL722" s="56"/>
      <c r="AM722" s="56"/>
      <c r="AN722" s="56"/>
      <c r="AO722" s="56"/>
      <c r="AP722" s="56"/>
      <c r="AQ722" s="56"/>
      <c r="AR722" s="55"/>
      <c r="AS722" s="55"/>
      <c r="AT722" s="55"/>
      <c r="AU722" s="55"/>
      <c r="AV722" s="55"/>
      <c r="AW722" s="55"/>
      <c r="AX722" s="55"/>
      <c r="AY722" s="55"/>
      <c r="AZ722" s="56"/>
      <c r="BA722" s="56"/>
      <c r="BB722" s="56"/>
      <c r="BC722" s="56"/>
    </row>
    <row r="723" customFormat="false" ht="21.75" hidden="false" customHeight="true" outlineLevel="0" collapsed="false">
      <c r="B723" s="54" t="n">
        <v>32</v>
      </c>
      <c r="C723" s="54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6"/>
      <c r="AG723" s="56"/>
      <c r="AH723" s="56"/>
      <c r="AI723" s="56"/>
      <c r="AJ723" s="56"/>
      <c r="AK723" s="56"/>
      <c r="AL723" s="56"/>
      <c r="AM723" s="56"/>
      <c r="AN723" s="56"/>
      <c r="AO723" s="56"/>
      <c r="AP723" s="56"/>
      <c r="AQ723" s="56"/>
      <c r="AR723" s="55"/>
      <c r="AS723" s="55"/>
      <c r="AT723" s="55"/>
      <c r="AU723" s="55"/>
      <c r="AV723" s="55"/>
      <c r="AW723" s="55"/>
      <c r="AX723" s="55"/>
      <c r="AY723" s="55"/>
      <c r="AZ723" s="56"/>
      <c r="BA723" s="56"/>
      <c r="BB723" s="56"/>
      <c r="BC723" s="56"/>
    </row>
    <row r="724" customFormat="false" ht="21.75" hidden="false" customHeight="true" outlineLevel="0" collapsed="false">
      <c r="B724" s="54" t="n">
        <v>33</v>
      </c>
      <c r="C724" s="54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  <c r="AG724" s="56"/>
      <c r="AH724" s="56"/>
      <c r="AI724" s="56"/>
      <c r="AJ724" s="56"/>
      <c r="AK724" s="56"/>
      <c r="AL724" s="56"/>
      <c r="AM724" s="56"/>
      <c r="AN724" s="56"/>
      <c r="AO724" s="56"/>
      <c r="AP724" s="56"/>
      <c r="AQ724" s="56"/>
      <c r="AR724" s="55"/>
      <c r="AS724" s="55"/>
      <c r="AT724" s="55"/>
      <c r="AU724" s="55"/>
      <c r="AV724" s="55"/>
      <c r="AW724" s="55"/>
      <c r="AX724" s="55"/>
      <c r="AY724" s="55"/>
      <c r="AZ724" s="56"/>
      <c r="BA724" s="56"/>
      <c r="BB724" s="56"/>
      <c r="BC724" s="56"/>
    </row>
    <row r="725" customFormat="false" ht="21.75" hidden="false" customHeight="true" outlineLevel="0" collapsed="false">
      <c r="B725" s="54" t="n">
        <v>34</v>
      </c>
      <c r="C725" s="54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  <c r="AG725" s="56"/>
      <c r="AH725" s="56"/>
      <c r="AI725" s="56"/>
      <c r="AJ725" s="56"/>
      <c r="AK725" s="56"/>
      <c r="AL725" s="56"/>
      <c r="AM725" s="56"/>
      <c r="AN725" s="56"/>
      <c r="AO725" s="56"/>
      <c r="AP725" s="56"/>
      <c r="AQ725" s="56"/>
      <c r="AR725" s="55"/>
      <c r="AS725" s="55"/>
      <c r="AT725" s="55"/>
      <c r="AU725" s="55"/>
      <c r="AV725" s="55"/>
      <c r="AW725" s="55"/>
      <c r="AX725" s="55"/>
      <c r="AY725" s="55"/>
      <c r="AZ725" s="56"/>
      <c r="BA725" s="56"/>
      <c r="BB725" s="56"/>
      <c r="BC725" s="56"/>
    </row>
    <row r="726" customFormat="false" ht="21.75" hidden="false" customHeight="true" outlineLevel="0" collapsed="false">
      <c r="B726" s="54" t="n">
        <v>35</v>
      </c>
      <c r="C726" s="54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  <c r="AG726" s="56"/>
      <c r="AH726" s="56"/>
      <c r="AI726" s="56"/>
      <c r="AJ726" s="56"/>
      <c r="AK726" s="56"/>
      <c r="AL726" s="56"/>
      <c r="AM726" s="56"/>
      <c r="AN726" s="56"/>
      <c r="AO726" s="56"/>
      <c r="AP726" s="56"/>
      <c r="AQ726" s="56"/>
      <c r="AR726" s="55"/>
      <c r="AS726" s="55"/>
      <c r="AT726" s="55"/>
      <c r="AU726" s="55"/>
      <c r="AV726" s="55"/>
      <c r="AW726" s="55"/>
      <c r="AX726" s="55"/>
      <c r="AY726" s="55"/>
      <c r="AZ726" s="56"/>
      <c r="BA726" s="56"/>
      <c r="BB726" s="56"/>
      <c r="BC726" s="56"/>
    </row>
    <row r="727" customFormat="false" ht="21.75" hidden="false" customHeight="true" outlineLevel="0" collapsed="false">
      <c r="B727" s="54" t="n">
        <v>36</v>
      </c>
      <c r="C727" s="54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6"/>
      <c r="AG727" s="56"/>
      <c r="AH727" s="56"/>
      <c r="AI727" s="56"/>
      <c r="AJ727" s="56"/>
      <c r="AK727" s="56"/>
      <c r="AL727" s="56"/>
      <c r="AM727" s="56"/>
      <c r="AN727" s="56"/>
      <c r="AO727" s="56"/>
      <c r="AP727" s="56"/>
      <c r="AQ727" s="56"/>
      <c r="AR727" s="55"/>
      <c r="AS727" s="55"/>
      <c r="AT727" s="55"/>
      <c r="AU727" s="55"/>
      <c r="AV727" s="55"/>
      <c r="AW727" s="55"/>
      <c r="AX727" s="55"/>
      <c r="AY727" s="55"/>
      <c r="AZ727" s="56"/>
      <c r="BA727" s="56"/>
      <c r="BB727" s="56"/>
      <c r="BC727" s="56"/>
    </row>
    <row r="728" customFormat="false" ht="21.75" hidden="false" customHeight="true" outlineLevel="0" collapsed="false">
      <c r="B728" s="54" t="n">
        <v>37</v>
      </c>
      <c r="C728" s="54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6"/>
      <c r="AG728" s="56"/>
      <c r="AH728" s="56"/>
      <c r="AI728" s="56"/>
      <c r="AJ728" s="56"/>
      <c r="AK728" s="56"/>
      <c r="AL728" s="56"/>
      <c r="AM728" s="56"/>
      <c r="AN728" s="56"/>
      <c r="AO728" s="56"/>
      <c r="AP728" s="56"/>
      <c r="AQ728" s="56"/>
      <c r="AR728" s="55"/>
      <c r="AS728" s="55"/>
      <c r="AT728" s="55"/>
      <c r="AU728" s="55"/>
      <c r="AV728" s="55"/>
      <c r="AW728" s="55"/>
      <c r="AX728" s="55"/>
      <c r="AY728" s="55"/>
      <c r="AZ728" s="56"/>
      <c r="BA728" s="56"/>
      <c r="BB728" s="56"/>
      <c r="BC728" s="56"/>
    </row>
    <row r="729" customFormat="false" ht="21.75" hidden="false" customHeight="true" outlineLevel="0" collapsed="false">
      <c r="B729" s="54" t="n">
        <v>38</v>
      </c>
      <c r="C729" s="54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  <c r="AG729" s="56"/>
      <c r="AH729" s="56"/>
      <c r="AI729" s="56"/>
      <c r="AJ729" s="56"/>
      <c r="AK729" s="56"/>
      <c r="AL729" s="56"/>
      <c r="AM729" s="56"/>
      <c r="AN729" s="56"/>
      <c r="AO729" s="56"/>
      <c r="AP729" s="56"/>
      <c r="AQ729" s="56"/>
      <c r="AR729" s="55"/>
      <c r="AS729" s="55"/>
      <c r="AT729" s="55"/>
      <c r="AU729" s="55"/>
      <c r="AV729" s="55"/>
      <c r="AW729" s="55"/>
      <c r="AX729" s="55"/>
      <c r="AY729" s="55"/>
      <c r="AZ729" s="56"/>
      <c r="BA729" s="56"/>
      <c r="BB729" s="56"/>
      <c r="BC729" s="56"/>
    </row>
    <row r="730" customFormat="false" ht="21.75" hidden="false" customHeight="true" outlineLevel="0" collapsed="false">
      <c r="B730" s="54" t="n">
        <v>39</v>
      </c>
      <c r="C730" s="54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  <c r="AG730" s="56"/>
      <c r="AH730" s="56"/>
      <c r="AI730" s="56"/>
      <c r="AJ730" s="56"/>
      <c r="AK730" s="56"/>
      <c r="AL730" s="56"/>
      <c r="AM730" s="56"/>
      <c r="AN730" s="56"/>
      <c r="AO730" s="56"/>
      <c r="AP730" s="56"/>
      <c r="AQ730" s="56"/>
      <c r="AR730" s="55"/>
      <c r="AS730" s="55"/>
      <c r="AT730" s="55"/>
      <c r="AU730" s="55"/>
      <c r="AV730" s="55"/>
      <c r="AW730" s="55"/>
      <c r="AX730" s="55"/>
      <c r="AY730" s="55"/>
      <c r="AZ730" s="56"/>
      <c r="BA730" s="56"/>
      <c r="BB730" s="56"/>
      <c r="BC730" s="56"/>
    </row>
    <row r="731" customFormat="false" ht="21.75" hidden="false" customHeight="true" outlineLevel="0" collapsed="false">
      <c r="B731" s="54" t="n">
        <v>40</v>
      </c>
      <c r="C731" s="54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6"/>
      <c r="AG731" s="56"/>
      <c r="AH731" s="56"/>
      <c r="AI731" s="56"/>
      <c r="AJ731" s="56"/>
      <c r="AK731" s="56"/>
      <c r="AL731" s="56"/>
      <c r="AM731" s="56"/>
      <c r="AN731" s="56"/>
      <c r="AO731" s="56"/>
      <c r="AP731" s="56"/>
      <c r="AQ731" s="56"/>
      <c r="AR731" s="55"/>
      <c r="AS731" s="55"/>
      <c r="AT731" s="55"/>
      <c r="AU731" s="55"/>
      <c r="AV731" s="55"/>
      <c r="AW731" s="55"/>
      <c r="AX731" s="55"/>
      <c r="AY731" s="55"/>
      <c r="AZ731" s="56"/>
      <c r="BA731" s="56"/>
      <c r="BB731" s="56"/>
      <c r="BC731" s="56"/>
    </row>
    <row r="732" customFormat="false" ht="21.75" hidden="false" customHeight="true" outlineLevel="0" collapsed="false">
      <c r="B732" s="54" t="n">
        <v>41</v>
      </c>
      <c r="C732" s="54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  <c r="AG732" s="56"/>
      <c r="AH732" s="56"/>
      <c r="AI732" s="56"/>
      <c r="AJ732" s="56"/>
      <c r="AK732" s="56"/>
      <c r="AL732" s="56"/>
      <c r="AM732" s="56"/>
      <c r="AN732" s="56"/>
      <c r="AO732" s="56"/>
      <c r="AP732" s="56"/>
      <c r="AQ732" s="56"/>
      <c r="AR732" s="55"/>
      <c r="AS732" s="55"/>
      <c r="AT732" s="55"/>
      <c r="AU732" s="55"/>
      <c r="AV732" s="55"/>
      <c r="AW732" s="55"/>
      <c r="AX732" s="55"/>
      <c r="AY732" s="55"/>
      <c r="AZ732" s="56"/>
      <c r="BA732" s="56"/>
      <c r="BB732" s="56"/>
      <c r="BC732" s="56"/>
    </row>
    <row r="733" customFormat="false" ht="21.75" hidden="false" customHeight="true" outlineLevel="0" collapsed="false">
      <c r="B733" s="54" t="n">
        <v>42</v>
      </c>
      <c r="C733" s="54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  <c r="AG733" s="56"/>
      <c r="AH733" s="56"/>
      <c r="AI733" s="56"/>
      <c r="AJ733" s="56"/>
      <c r="AK733" s="56"/>
      <c r="AL733" s="56"/>
      <c r="AM733" s="56"/>
      <c r="AN733" s="56"/>
      <c r="AO733" s="56"/>
      <c r="AP733" s="56"/>
      <c r="AQ733" s="56"/>
      <c r="AR733" s="55"/>
      <c r="AS733" s="55"/>
      <c r="AT733" s="55"/>
      <c r="AU733" s="55"/>
      <c r="AV733" s="55"/>
      <c r="AW733" s="55"/>
      <c r="AX733" s="55"/>
      <c r="AY733" s="55"/>
      <c r="AZ733" s="56"/>
      <c r="BA733" s="56"/>
      <c r="BB733" s="56"/>
      <c r="BC733" s="56"/>
    </row>
    <row r="734" customFormat="false" ht="21.75" hidden="false" customHeight="true" outlineLevel="0" collapsed="false">
      <c r="B734" s="54" t="n">
        <v>43</v>
      </c>
      <c r="C734" s="54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6"/>
      <c r="AG734" s="56"/>
      <c r="AH734" s="56"/>
      <c r="AI734" s="56"/>
      <c r="AJ734" s="56"/>
      <c r="AK734" s="56"/>
      <c r="AL734" s="56"/>
      <c r="AM734" s="56"/>
      <c r="AN734" s="56"/>
      <c r="AO734" s="56"/>
      <c r="AP734" s="56"/>
      <c r="AQ734" s="56"/>
      <c r="AR734" s="55"/>
      <c r="AS734" s="55"/>
      <c r="AT734" s="55"/>
      <c r="AU734" s="55"/>
      <c r="AV734" s="55"/>
      <c r="AW734" s="55"/>
      <c r="AX734" s="55"/>
      <c r="AY734" s="55"/>
      <c r="AZ734" s="56"/>
      <c r="BA734" s="56"/>
      <c r="BB734" s="56"/>
      <c r="BC734" s="56"/>
    </row>
    <row r="735" customFormat="false" ht="21.75" hidden="false" customHeight="true" outlineLevel="0" collapsed="false">
      <c r="B735" s="54" t="n">
        <v>44</v>
      </c>
      <c r="C735" s="54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6"/>
      <c r="AG735" s="56"/>
      <c r="AH735" s="56"/>
      <c r="AI735" s="56"/>
      <c r="AJ735" s="56"/>
      <c r="AK735" s="56"/>
      <c r="AL735" s="56"/>
      <c r="AM735" s="56"/>
      <c r="AN735" s="56"/>
      <c r="AO735" s="56"/>
      <c r="AP735" s="56"/>
      <c r="AQ735" s="56"/>
      <c r="AR735" s="55"/>
      <c r="AS735" s="55"/>
      <c r="AT735" s="55"/>
      <c r="AU735" s="55"/>
      <c r="AV735" s="55"/>
      <c r="AW735" s="55"/>
      <c r="AX735" s="55"/>
      <c r="AY735" s="55"/>
      <c r="AZ735" s="56"/>
      <c r="BA735" s="56"/>
      <c r="BB735" s="56"/>
      <c r="BC735" s="56"/>
    </row>
    <row r="736" customFormat="false" ht="21.75" hidden="false" customHeight="true" outlineLevel="0" collapsed="false">
      <c r="B736" s="54" t="n">
        <v>45</v>
      </c>
      <c r="C736" s="54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  <c r="AG736" s="56"/>
      <c r="AH736" s="56"/>
      <c r="AI736" s="56"/>
      <c r="AJ736" s="56"/>
      <c r="AK736" s="56"/>
      <c r="AL736" s="56"/>
      <c r="AM736" s="56"/>
      <c r="AN736" s="56"/>
      <c r="AO736" s="56"/>
      <c r="AP736" s="56"/>
      <c r="AQ736" s="56"/>
      <c r="AR736" s="55"/>
      <c r="AS736" s="55"/>
      <c r="AT736" s="55"/>
      <c r="AU736" s="55"/>
      <c r="AV736" s="55"/>
      <c r="AW736" s="55"/>
      <c r="AX736" s="55"/>
      <c r="AY736" s="55"/>
      <c r="AZ736" s="56"/>
      <c r="BA736" s="56"/>
      <c r="BB736" s="56"/>
      <c r="BC736" s="56"/>
    </row>
    <row r="737" customFormat="false" ht="21.75" hidden="false" customHeight="true" outlineLevel="0" collapsed="false">
      <c r="B737" s="54" t="n">
        <v>46</v>
      </c>
      <c r="C737" s="54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  <c r="AG737" s="56"/>
      <c r="AH737" s="56"/>
      <c r="AI737" s="56"/>
      <c r="AJ737" s="56"/>
      <c r="AK737" s="56"/>
      <c r="AL737" s="56"/>
      <c r="AM737" s="56"/>
      <c r="AN737" s="56"/>
      <c r="AO737" s="56"/>
      <c r="AP737" s="56"/>
      <c r="AQ737" s="56"/>
      <c r="AR737" s="55"/>
      <c r="AS737" s="55"/>
      <c r="AT737" s="55"/>
      <c r="AU737" s="55"/>
      <c r="AV737" s="55"/>
      <c r="AW737" s="55"/>
      <c r="AX737" s="55"/>
      <c r="AY737" s="55"/>
      <c r="AZ737" s="56"/>
      <c r="BA737" s="56"/>
      <c r="BB737" s="56"/>
      <c r="BC737" s="56"/>
    </row>
    <row r="738" customFormat="false" ht="21.75" hidden="false" customHeight="true" outlineLevel="0" collapsed="false">
      <c r="B738" s="54" t="n">
        <v>47</v>
      </c>
      <c r="C738" s="54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  <c r="AG738" s="56"/>
      <c r="AH738" s="56"/>
      <c r="AI738" s="56"/>
      <c r="AJ738" s="56"/>
      <c r="AK738" s="56"/>
      <c r="AL738" s="56"/>
      <c r="AM738" s="56"/>
      <c r="AN738" s="56"/>
      <c r="AO738" s="56"/>
      <c r="AP738" s="56"/>
      <c r="AQ738" s="56"/>
      <c r="AR738" s="55"/>
      <c r="AS738" s="55"/>
      <c r="AT738" s="55"/>
      <c r="AU738" s="55"/>
      <c r="AV738" s="55"/>
      <c r="AW738" s="55"/>
      <c r="AX738" s="55"/>
      <c r="AY738" s="55"/>
      <c r="AZ738" s="56"/>
      <c r="BA738" s="56"/>
      <c r="BB738" s="56"/>
      <c r="BC738" s="56"/>
    </row>
    <row r="739" customFormat="false" ht="21.75" hidden="false" customHeight="true" outlineLevel="0" collapsed="false">
      <c r="B739" s="54" t="n">
        <v>48</v>
      </c>
      <c r="C739" s="54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  <c r="AG739" s="56"/>
      <c r="AH739" s="56"/>
      <c r="AI739" s="56"/>
      <c r="AJ739" s="56"/>
      <c r="AK739" s="56"/>
      <c r="AL739" s="56"/>
      <c r="AM739" s="56"/>
      <c r="AN739" s="56"/>
      <c r="AO739" s="56"/>
      <c r="AP739" s="56"/>
      <c r="AQ739" s="56"/>
      <c r="AR739" s="55"/>
      <c r="AS739" s="55"/>
      <c r="AT739" s="55"/>
      <c r="AU739" s="55"/>
      <c r="AV739" s="55"/>
      <c r="AW739" s="55"/>
      <c r="AX739" s="55"/>
      <c r="AY739" s="55"/>
      <c r="AZ739" s="56"/>
      <c r="BA739" s="56"/>
      <c r="BB739" s="56"/>
      <c r="BC739" s="56"/>
    </row>
    <row r="740" customFormat="false" ht="21.75" hidden="false" customHeight="true" outlineLevel="0" collapsed="false">
      <c r="B740" s="54" t="n">
        <v>49</v>
      </c>
      <c r="C740" s="54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  <c r="AG740" s="56"/>
      <c r="AH740" s="56"/>
      <c r="AI740" s="56"/>
      <c r="AJ740" s="56"/>
      <c r="AK740" s="56"/>
      <c r="AL740" s="56"/>
      <c r="AM740" s="56"/>
      <c r="AN740" s="56"/>
      <c r="AO740" s="56"/>
      <c r="AP740" s="56"/>
      <c r="AQ740" s="56"/>
      <c r="AR740" s="55"/>
      <c r="AS740" s="55"/>
      <c r="AT740" s="55"/>
      <c r="AU740" s="55"/>
      <c r="AV740" s="55"/>
      <c r="AW740" s="55"/>
      <c r="AX740" s="55"/>
      <c r="AY740" s="55"/>
      <c r="AZ740" s="56"/>
      <c r="BA740" s="56"/>
      <c r="BB740" s="56"/>
      <c r="BC740" s="56"/>
    </row>
    <row r="741" customFormat="false" ht="21.75" hidden="false" customHeight="true" outlineLevel="0" collapsed="false">
      <c r="B741" s="54" t="n">
        <v>50</v>
      </c>
      <c r="C741" s="54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  <c r="AG741" s="56"/>
      <c r="AH741" s="56"/>
      <c r="AI741" s="56"/>
      <c r="AJ741" s="56"/>
      <c r="AK741" s="56"/>
      <c r="AL741" s="56"/>
      <c r="AM741" s="56"/>
      <c r="AN741" s="56"/>
      <c r="AO741" s="56"/>
      <c r="AP741" s="56"/>
      <c r="AQ741" s="56"/>
      <c r="AR741" s="55"/>
      <c r="AS741" s="55"/>
      <c r="AT741" s="55"/>
      <c r="AU741" s="55"/>
      <c r="AV741" s="55"/>
      <c r="AW741" s="55"/>
      <c r="AX741" s="55"/>
      <c r="AY741" s="55"/>
      <c r="AZ741" s="56"/>
      <c r="BA741" s="56"/>
      <c r="BB741" s="56"/>
      <c r="BC741" s="56"/>
    </row>
    <row r="742" customFormat="false" ht="21.75" hidden="false" customHeight="true" outlineLevel="0" collapsed="false">
      <c r="B742" s="54" t="n">
        <v>51</v>
      </c>
      <c r="C742" s="54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  <c r="AG742" s="56"/>
      <c r="AH742" s="56"/>
      <c r="AI742" s="56"/>
      <c r="AJ742" s="56"/>
      <c r="AK742" s="56"/>
      <c r="AL742" s="56"/>
      <c r="AM742" s="56"/>
      <c r="AN742" s="56"/>
      <c r="AO742" s="56"/>
      <c r="AP742" s="56"/>
      <c r="AQ742" s="56"/>
      <c r="AR742" s="55"/>
      <c r="AS742" s="55"/>
      <c r="AT742" s="55"/>
      <c r="AU742" s="55"/>
      <c r="AV742" s="55"/>
      <c r="AW742" s="55"/>
      <c r="AX742" s="55"/>
      <c r="AY742" s="55"/>
      <c r="AZ742" s="56"/>
      <c r="BA742" s="56"/>
      <c r="BB742" s="56"/>
      <c r="BC742" s="56"/>
    </row>
    <row r="743" customFormat="false" ht="21.75" hidden="false" customHeight="true" outlineLevel="0" collapsed="false">
      <c r="B743" s="54" t="n">
        <v>52</v>
      </c>
      <c r="C743" s="54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6"/>
      <c r="AG743" s="56"/>
      <c r="AH743" s="56"/>
      <c r="AI743" s="56"/>
      <c r="AJ743" s="56"/>
      <c r="AK743" s="56"/>
      <c r="AL743" s="56"/>
      <c r="AM743" s="56"/>
      <c r="AN743" s="56"/>
      <c r="AO743" s="56"/>
      <c r="AP743" s="56"/>
      <c r="AQ743" s="56"/>
      <c r="AR743" s="55"/>
      <c r="AS743" s="55"/>
      <c r="AT743" s="55"/>
      <c r="AU743" s="55"/>
      <c r="AV743" s="55"/>
      <c r="AW743" s="55"/>
      <c r="AX743" s="55"/>
      <c r="AY743" s="55"/>
      <c r="AZ743" s="56"/>
      <c r="BA743" s="56"/>
      <c r="BB743" s="56"/>
      <c r="BC743" s="56"/>
    </row>
    <row r="744" customFormat="false" ht="21.75" hidden="false" customHeight="true" outlineLevel="0" collapsed="false">
      <c r="B744" s="54" t="n">
        <v>53</v>
      </c>
      <c r="C744" s="54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  <c r="AG744" s="56"/>
      <c r="AH744" s="56"/>
      <c r="AI744" s="56"/>
      <c r="AJ744" s="56"/>
      <c r="AK744" s="56"/>
      <c r="AL744" s="56"/>
      <c r="AM744" s="56"/>
      <c r="AN744" s="56"/>
      <c r="AO744" s="56"/>
      <c r="AP744" s="56"/>
      <c r="AQ744" s="56"/>
      <c r="AR744" s="55"/>
      <c r="AS744" s="55"/>
      <c r="AT744" s="55"/>
      <c r="AU744" s="55"/>
      <c r="AV744" s="55"/>
      <c r="AW744" s="55"/>
      <c r="AX744" s="55"/>
      <c r="AY744" s="55"/>
      <c r="AZ744" s="56"/>
      <c r="BA744" s="56"/>
      <c r="BB744" s="56"/>
      <c r="BC744" s="56"/>
    </row>
    <row r="745" customFormat="false" ht="21.75" hidden="false" customHeight="true" outlineLevel="0" collapsed="false">
      <c r="B745" s="54" t="n">
        <v>54</v>
      </c>
      <c r="C745" s="54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  <c r="AG745" s="56"/>
      <c r="AH745" s="56"/>
      <c r="AI745" s="56"/>
      <c r="AJ745" s="56"/>
      <c r="AK745" s="56"/>
      <c r="AL745" s="56"/>
      <c r="AM745" s="56"/>
      <c r="AN745" s="56"/>
      <c r="AO745" s="56"/>
      <c r="AP745" s="56"/>
      <c r="AQ745" s="56"/>
      <c r="AR745" s="55"/>
      <c r="AS745" s="55"/>
      <c r="AT745" s="55"/>
      <c r="AU745" s="55"/>
      <c r="AV745" s="55"/>
      <c r="AW745" s="55"/>
      <c r="AX745" s="55"/>
      <c r="AY745" s="55"/>
      <c r="AZ745" s="56"/>
      <c r="BA745" s="56"/>
      <c r="BB745" s="56"/>
      <c r="BC745" s="56"/>
    </row>
    <row r="746" customFormat="false" ht="21.75" hidden="false" customHeight="true" outlineLevel="0" collapsed="false">
      <c r="B746" s="54" t="n">
        <v>55</v>
      </c>
      <c r="C746" s="54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  <c r="AG746" s="56"/>
      <c r="AH746" s="56"/>
      <c r="AI746" s="56"/>
      <c r="AJ746" s="56"/>
      <c r="AK746" s="56"/>
      <c r="AL746" s="56"/>
      <c r="AM746" s="56"/>
      <c r="AN746" s="56"/>
      <c r="AO746" s="56"/>
      <c r="AP746" s="56"/>
      <c r="AQ746" s="56"/>
      <c r="AR746" s="55"/>
      <c r="AS746" s="55"/>
      <c r="AT746" s="55"/>
      <c r="AU746" s="55"/>
      <c r="AV746" s="55"/>
      <c r="AW746" s="55"/>
      <c r="AX746" s="55"/>
      <c r="AY746" s="55"/>
      <c r="AZ746" s="56"/>
      <c r="BA746" s="56"/>
      <c r="BB746" s="56"/>
      <c r="BC746" s="56"/>
    </row>
    <row r="747" customFormat="false" ht="21.75" hidden="false" customHeight="true" outlineLevel="0" collapsed="false">
      <c r="B747" s="54" t="n">
        <v>56</v>
      </c>
      <c r="C747" s="54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  <c r="AG747" s="56"/>
      <c r="AH747" s="56"/>
      <c r="AI747" s="56"/>
      <c r="AJ747" s="56"/>
      <c r="AK747" s="56"/>
      <c r="AL747" s="56"/>
      <c r="AM747" s="56"/>
      <c r="AN747" s="56"/>
      <c r="AO747" s="56"/>
      <c r="AP747" s="56"/>
      <c r="AQ747" s="56"/>
      <c r="AR747" s="55"/>
      <c r="AS747" s="55"/>
      <c r="AT747" s="55"/>
      <c r="AU747" s="55"/>
      <c r="AV747" s="55"/>
      <c r="AW747" s="55"/>
      <c r="AX747" s="55"/>
      <c r="AY747" s="55"/>
      <c r="AZ747" s="56"/>
      <c r="BA747" s="56"/>
      <c r="BB747" s="56"/>
      <c r="BC747" s="56"/>
    </row>
    <row r="748" customFormat="false" ht="21.75" hidden="false" customHeight="true" outlineLevel="0" collapsed="false">
      <c r="B748" s="54" t="n">
        <v>57</v>
      </c>
      <c r="C748" s="54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  <c r="AG748" s="56"/>
      <c r="AH748" s="56"/>
      <c r="AI748" s="56"/>
      <c r="AJ748" s="56"/>
      <c r="AK748" s="56"/>
      <c r="AL748" s="56"/>
      <c r="AM748" s="56"/>
      <c r="AN748" s="56"/>
      <c r="AO748" s="56"/>
      <c r="AP748" s="56"/>
      <c r="AQ748" s="56"/>
      <c r="AR748" s="55"/>
      <c r="AS748" s="55"/>
      <c r="AT748" s="55"/>
      <c r="AU748" s="55"/>
      <c r="AV748" s="55"/>
      <c r="AW748" s="55"/>
      <c r="AX748" s="55"/>
      <c r="AY748" s="55"/>
      <c r="AZ748" s="56"/>
      <c r="BA748" s="56"/>
      <c r="BB748" s="56"/>
      <c r="BC748" s="56"/>
    </row>
    <row r="749" customFormat="false" ht="21.75" hidden="false" customHeight="true" outlineLevel="0" collapsed="false">
      <c r="B749" s="54" t="n">
        <v>58</v>
      </c>
      <c r="C749" s="54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  <c r="AG749" s="56"/>
      <c r="AH749" s="56"/>
      <c r="AI749" s="56"/>
      <c r="AJ749" s="56"/>
      <c r="AK749" s="56"/>
      <c r="AL749" s="56"/>
      <c r="AM749" s="56"/>
      <c r="AN749" s="56"/>
      <c r="AO749" s="56"/>
      <c r="AP749" s="56"/>
      <c r="AQ749" s="56"/>
      <c r="AR749" s="55"/>
      <c r="AS749" s="55"/>
      <c r="AT749" s="55"/>
      <c r="AU749" s="55"/>
      <c r="AV749" s="55"/>
      <c r="AW749" s="55"/>
      <c r="AX749" s="55"/>
      <c r="AY749" s="55"/>
      <c r="AZ749" s="56"/>
      <c r="BA749" s="56"/>
      <c r="BB749" s="56"/>
      <c r="BC749" s="56"/>
    </row>
    <row r="750" customFormat="false" ht="21.75" hidden="false" customHeight="true" outlineLevel="0" collapsed="false">
      <c r="B750" s="54" t="n">
        <v>59</v>
      </c>
      <c r="C750" s="54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6"/>
      <c r="AM750" s="56"/>
      <c r="AN750" s="56"/>
      <c r="AO750" s="56"/>
      <c r="AP750" s="56"/>
      <c r="AQ750" s="56"/>
      <c r="AR750" s="55"/>
      <c r="AS750" s="55"/>
      <c r="AT750" s="55"/>
      <c r="AU750" s="55"/>
      <c r="AV750" s="55"/>
      <c r="AW750" s="55"/>
      <c r="AX750" s="55"/>
      <c r="AY750" s="55"/>
      <c r="AZ750" s="56"/>
      <c r="BA750" s="56"/>
      <c r="BB750" s="56"/>
      <c r="BC750" s="56"/>
    </row>
    <row r="751" customFormat="false" ht="21.75" hidden="false" customHeight="true" outlineLevel="0" collapsed="false">
      <c r="B751" s="54" t="n">
        <v>60</v>
      </c>
      <c r="C751" s="54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  <c r="AG751" s="56"/>
      <c r="AH751" s="56"/>
      <c r="AI751" s="56"/>
      <c r="AJ751" s="56"/>
      <c r="AK751" s="56"/>
      <c r="AL751" s="56"/>
      <c r="AM751" s="56"/>
      <c r="AN751" s="56"/>
      <c r="AO751" s="56"/>
      <c r="AP751" s="56"/>
      <c r="AQ751" s="56"/>
      <c r="AR751" s="55"/>
      <c r="AS751" s="55"/>
      <c r="AT751" s="55"/>
      <c r="AU751" s="55"/>
      <c r="AV751" s="55"/>
      <c r="AW751" s="55"/>
      <c r="AX751" s="55"/>
      <c r="AY751" s="55"/>
      <c r="AZ751" s="56"/>
      <c r="BA751" s="56"/>
      <c r="BB751" s="56"/>
      <c r="BC751" s="56"/>
    </row>
    <row r="752" customFormat="false" ht="12" hidden="false" customHeight="true" outlineLevel="0" collapsed="false"/>
    <row r="753" customFormat="false" ht="21.75" hidden="false" customHeight="true" outlineLevel="0" collapsed="false">
      <c r="B753" s="6"/>
      <c r="C753" s="37" t="s">
        <v>134</v>
      </c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  <c r="AE753" s="37"/>
      <c r="AF753" s="37"/>
      <c r="AG753" s="37"/>
      <c r="AH753" s="37"/>
      <c r="AI753" s="37"/>
      <c r="AJ753" s="37"/>
      <c r="AK753" s="37"/>
      <c r="AL753" s="38" t="s">
        <v>135</v>
      </c>
      <c r="AM753" s="38"/>
      <c r="AN753" s="38"/>
      <c r="AO753" s="38"/>
      <c r="AP753" s="38"/>
      <c r="AQ753" s="38"/>
      <c r="AR753" s="38"/>
      <c r="AS753" s="38"/>
      <c r="AT753" s="38"/>
      <c r="AU753" s="38"/>
      <c r="AV753" s="38"/>
      <c r="AW753" s="38"/>
      <c r="AX753" s="38"/>
      <c r="AY753" s="38"/>
      <c r="AZ753" s="38"/>
      <c r="BA753" s="38"/>
      <c r="BB753" s="38"/>
      <c r="BC753" s="38"/>
    </row>
    <row r="754" customFormat="false" ht="27.75" hidden="false" customHeight="true" outlineLevel="0" collapsed="false">
      <c r="B754" s="52" t="s">
        <v>71</v>
      </c>
      <c r="C754" s="52"/>
      <c r="D754" s="53" t="s">
        <v>73</v>
      </c>
      <c r="E754" s="53"/>
      <c r="F754" s="53"/>
      <c r="G754" s="53"/>
      <c r="H754" s="53"/>
      <c r="I754" s="53"/>
      <c r="J754" s="53"/>
      <c r="K754" s="53"/>
      <c r="L754" s="53"/>
      <c r="M754" s="53" t="s">
        <v>92</v>
      </c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 t="s">
        <v>136</v>
      </c>
      <c r="Z754" s="53"/>
      <c r="AA754" s="53"/>
      <c r="AB754" s="53"/>
      <c r="AC754" s="53"/>
      <c r="AD754" s="53"/>
      <c r="AE754" s="53"/>
      <c r="AF754" s="53"/>
      <c r="AG754" s="53"/>
      <c r="AH754" s="53"/>
      <c r="AI754" s="53"/>
      <c r="AJ754" s="53"/>
      <c r="AK754" s="53"/>
      <c r="AL754" s="53"/>
      <c r="AM754" s="53"/>
      <c r="AN754" s="53"/>
      <c r="AO754" s="53"/>
      <c r="AP754" s="53" t="s">
        <v>137</v>
      </c>
      <c r="AQ754" s="53"/>
      <c r="AR754" s="53"/>
      <c r="AS754" s="53"/>
      <c r="AT754" s="53"/>
      <c r="AU754" s="53"/>
      <c r="AV754" s="53"/>
      <c r="AW754" s="53"/>
      <c r="AX754" s="53"/>
      <c r="AY754" s="53"/>
      <c r="AZ754" s="53"/>
      <c r="BA754" s="53"/>
      <c r="BB754" s="53"/>
      <c r="BC754" s="53"/>
    </row>
    <row r="755" customFormat="false" ht="21.75" hidden="false" customHeight="true" outlineLevel="0" collapsed="false">
      <c r="B755" s="54" t="n">
        <v>1</v>
      </c>
      <c r="C755" s="54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  <c r="AG755" s="56"/>
      <c r="AH755" s="56"/>
      <c r="AI755" s="56"/>
      <c r="AJ755" s="56"/>
      <c r="AK755" s="56"/>
      <c r="AL755" s="56"/>
      <c r="AM755" s="56"/>
      <c r="AN755" s="56"/>
      <c r="AO755" s="56"/>
      <c r="AP755" s="56"/>
      <c r="AQ755" s="56"/>
      <c r="AR755" s="56"/>
      <c r="AS755" s="56"/>
      <c r="AT755" s="56"/>
      <c r="AU755" s="56"/>
      <c r="AV755" s="56"/>
      <c r="AW755" s="56"/>
      <c r="AX755" s="56"/>
      <c r="AY755" s="56"/>
      <c r="AZ755" s="56"/>
      <c r="BA755" s="56"/>
      <c r="BB755" s="56"/>
      <c r="BC755" s="56"/>
    </row>
    <row r="756" customFormat="false" ht="21.75" hidden="false" customHeight="true" outlineLevel="0" collapsed="false">
      <c r="B756" s="54" t="n">
        <v>2</v>
      </c>
      <c r="C756" s="54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  <c r="AG756" s="56"/>
      <c r="AH756" s="56"/>
      <c r="AI756" s="56"/>
      <c r="AJ756" s="56"/>
      <c r="AK756" s="56"/>
      <c r="AL756" s="56"/>
      <c r="AM756" s="56"/>
      <c r="AN756" s="56"/>
      <c r="AO756" s="56"/>
      <c r="AP756" s="56"/>
      <c r="AQ756" s="56"/>
      <c r="AR756" s="56"/>
      <c r="AS756" s="56"/>
      <c r="AT756" s="56"/>
      <c r="AU756" s="56"/>
      <c r="AV756" s="56"/>
      <c r="AW756" s="56"/>
      <c r="AX756" s="56"/>
      <c r="AY756" s="56"/>
      <c r="AZ756" s="56"/>
      <c r="BA756" s="56"/>
      <c r="BB756" s="56"/>
      <c r="BC756" s="56"/>
    </row>
    <row r="757" customFormat="false" ht="21.75" hidden="false" customHeight="true" outlineLevel="0" collapsed="false">
      <c r="B757" s="54" t="n">
        <v>3</v>
      </c>
      <c r="C757" s="54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6"/>
      <c r="AG757" s="56"/>
      <c r="AH757" s="56"/>
      <c r="AI757" s="56"/>
      <c r="AJ757" s="56"/>
      <c r="AK757" s="56"/>
      <c r="AL757" s="56"/>
      <c r="AM757" s="56"/>
      <c r="AN757" s="56"/>
      <c r="AO757" s="56"/>
      <c r="AP757" s="56"/>
      <c r="AQ757" s="56"/>
      <c r="AR757" s="56"/>
      <c r="AS757" s="56"/>
      <c r="AT757" s="56"/>
      <c r="AU757" s="56"/>
      <c r="AV757" s="56"/>
      <c r="AW757" s="56"/>
      <c r="AX757" s="56"/>
      <c r="AY757" s="56"/>
      <c r="AZ757" s="56"/>
      <c r="BA757" s="56"/>
      <c r="BB757" s="56"/>
      <c r="BC757" s="56"/>
    </row>
    <row r="758" customFormat="false" ht="21.75" hidden="false" customHeight="true" outlineLevel="0" collapsed="false">
      <c r="B758" s="54" t="n">
        <v>4</v>
      </c>
      <c r="C758" s="54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6"/>
      <c r="AG758" s="56"/>
      <c r="AH758" s="56"/>
      <c r="AI758" s="56"/>
      <c r="AJ758" s="56"/>
      <c r="AK758" s="56"/>
      <c r="AL758" s="56"/>
      <c r="AM758" s="56"/>
      <c r="AN758" s="56"/>
      <c r="AO758" s="56"/>
      <c r="AP758" s="56"/>
      <c r="AQ758" s="56"/>
      <c r="AR758" s="56"/>
      <c r="AS758" s="56"/>
      <c r="AT758" s="56"/>
      <c r="AU758" s="56"/>
      <c r="AV758" s="56"/>
      <c r="AW758" s="56"/>
      <c r="AX758" s="56"/>
      <c r="AY758" s="56"/>
      <c r="AZ758" s="56"/>
      <c r="BA758" s="56"/>
      <c r="BB758" s="56"/>
      <c r="BC758" s="56"/>
    </row>
    <row r="759" customFormat="false" ht="21.75" hidden="false" customHeight="true" outlineLevel="0" collapsed="false">
      <c r="B759" s="54" t="n">
        <v>5</v>
      </c>
      <c r="C759" s="54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6"/>
      <c r="AG759" s="56"/>
      <c r="AH759" s="56"/>
      <c r="AI759" s="56"/>
      <c r="AJ759" s="56"/>
      <c r="AK759" s="56"/>
      <c r="AL759" s="56"/>
      <c r="AM759" s="56"/>
      <c r="AN759" s="56"/>
      <c r="AO759" s="56"/>
      <c r="AP759" s="56"/>
      <c r="AQ759" s="56"/>
      <c r="AR759" s="56"/>
      <c r="AS759" s="56"/>
      <c r="AT759" s="56"/>
      <c r="AU759" s="56"/>
      <c r="AV759" s="56"/>
      <c r="AW759" s="56"/>
      <c r="AX759" s="56"/>
      <c r="AY759" s="56"/>
      <c r="AZ759" s="56"/>
      <c r="BA759" s="56"/>
      <c r="BB759" s="56"/>
      <c r="BC759" s="56"/>
    </row>
    <row r="760" customFormat="false" ht="21.75" hidden="false" customHeight="true" outlineLevel="0" collapsed="false">
      <c r="B760" s="54" t="n">
        <v>6</v>
      </c>
      <c r="C760" s="54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  <c r="AG760" s="56"/>
      <c r="AH760" s="56"/>
      <c r="AI760" s="56"/>
      <c r="AJ760" s="56"/>
      <c r="AK760" s="56"/>
      <c r="AL760" s="56"/>
      <c r="AM760" s="56"/>
      <c r="AN760" s="56"/>
      <c r="AO760" s="56"/>
      <c r="AP760" s="56"/>
      <c r="AQ760" s="56"/>
      <c r="AR760" s="56"/>
      <c r="AS760" s="56"/>
      <c r="AT760" s="56"/>
      <c r="AU760" s="56"/>
      <c r="AV760" s="56"/>
      <c r="AW760" s="56"/>
      <c r="AX760" s="56"/>
      <c r="AY760" s="56"/>
      <c r="AZ760" s="56"/>
      <c r="BA760" s="56"/>
      <c r="BB760" s="56"/>
      <c r="BC760" s="56"/>
    </row>
    <row r="761" customFormat="false" ht="21.75" hidden="false" customHeight="true" outlineLevel="0" collapsed="false">
      <c r="B761" s="54" t="n">
        <v>7</v>
      </c>
      <c r="C761" s="54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6"/>
      <c r="AG761" s="56"/>
      <c r="AH761" s="56"/>
      <c r="AI761" s="56"/>
      <c r="AJ761" s="56"/>
      <c r="AK761" s="56"/>
      <c r="AL761" s="56"/>
      <c r="AM761" s="56"/>
      <c r="AN761" s="56"/>
      <c r="AO761" s="56"/>
      <c r="AP761" s="56"/>
      <c r="AQ761" s="56"/>
      <c r="AR761" s="56"/>
      <c r="AS761" s="56"/>
      <c r="AT761" s="56"/>
      <c r="AU761" s="56"/>
      <c r="AV761" s="56"/>
      <c r="AW761" s="56"/>
      <c r="AX761" s="56"/>
      <c r="AY761" s="56"/>
      <c r="AZ761" s="56"/>
      <c r="BA761" s="56"/>
      <c r="BB761" s="56"/>
      <c r="BC761" s="56"/>
    </row>
    <row r="762" customFormat="false" ht="21.75" hidden="false" customHeight="true" outlineLevel="0" collapsed="false">
      <c r="B762" s="54" t="n">
        <v>8</v>
      </c>
      <c r="C762" s="54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  <c r="AG762" s="56"/>
      <c r="AH762" s="56"/>
      <c r="AI762" s="56"/>
      <c r="AJ762" s="56"/>
      <c r="AK762" s="56"/>
      <c r="AL762" s="56"/>
      <c r="AM762" s="56"/>
      <c r="AN762" s="56"/>
      <c r="AO762" s="56"/>
      <c r="AP762" s="56"/>
      <c r="AQ762" s="56"/>
      <c r="AR762" s="56"/>
      <c r="AS762" s="56"/>
      <c r="AT762" s="56"/>
      <c r="AU762" s="56"/>
      <c r="AV762" s="56"/>
      <c r="AW762" s="56"/>
      <c r="AX762" s="56"/>
      <c r="AY762" s="56"/>
      <c r="AZ762" s="56"/>
      <c r="BA762" s="56"/>
      <c r="BB762" s="56"/>
      <c r="BC762" s="56"/>
    </row>
    <row r="763" customFormat="false" ht="21.75" hidden="false" customHeight="true" outlineLevel="0" collapsed="false">
      <c r="B763" s="54" t="n">
        <v>9</v>
      </c>
      <c r="C763" s="54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  <c r="AG763" s="56"/>
      <c r="AH763" s="56"/>
      <c r="AI763" s="56"/>
      <c r="AJ763" s="56"/>
      <c r="AK763" s="56"/>
      <c r="AL763" s="56"/>
      <c r="AM763" s="56"/>
      <c r="AN763" s="56"/>
      <c r="AO763" s="56"/>
      <c r="AP763" s="56"/>
      <c r="AQ763" s="56"/>
      <c r="AR763" s="56"/>
      <c r="AS763" s="56"/>
      <c r="AT763" s="56"/>
      <c r="AU763" s="56"/>
      <c r="AV763" s="56"/>
      <c r="AW763" s="56"/>
      <c r="AX763" s="56"/>
      <c r="AY763" s="56"/>
      <c r="AZ763" s="56"/>
      <c r="BA763" s="56"/>
      <c r="BB763" s="56"/>
      <c r="BC763" s="56"/>
    </row>
    <row r="764" customFormat="false" ht="21.75" hidden="false" customHeight="true" outlineLevel="0" collapsed="false">
      <c r="B764" s="54" t="n">
        <v>10</v>
      </c>
      <c r="C764" s="54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6"/>
      <c r="AG764" s="56"/>
      <c r="AH764" s="56"/>
      <c r="AI764" s="56"/>
      <c r="AJ764" s="56"/>
      <c r="AK764" s="56"/>
      <c r="AL764" s="56"/>
      <c r="AM764" s="56"/>
      <c r="AN764" s="56"/>
      <c r="AO764" s="56"/>
      <c r="AP764" s="56"/>
      <c r="AQ764" s="56"/>
      <c r="AR764" s="56"/>
      <c r="AS764" s="56"/>
      <c r="AT764" s="56"/>
      <c r="AU764" s="56"/>
      <c r="AV764" s="56"/>
      <c r="AW764" s="56"/>
      <c r="AX764" s="56"/>
      <c r="AY764" s="56"/>
      <c r="AZ764" s="56"/>
      <c r="BA764" s="56"/>
      <c r="BB764" s="56"/>
      <c r="BC764" s="56"/>
    </row>
    <row r="765" customFormat="false" ht="21.75" hidden="false" customHeight="true" outlineLevel="0" collapsed="false">
      <c r="B765" s="54" t="n">
        <v>11</v>
      </c>
      <c r="C765" s="54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6"/>
      <c r="AG765" s="56"/>
      <c r="AH765" s="56"/>
      <c r="AI765" s="56"/>
      <c r="AJ765" s="56"/>
      <c r="AK765" s="56"/>
      <c r="AL765" s="56"/>
      <c r="AM765" s="56"/>
      <c r="AN765" s="56"/>
      <c r="AO765" s="56"/>
      <c r="AP765" s="56"/>
      <c r="AQ765" s="56"/>
      <c r="AR765" s="56"/>
      <c r="AS765" s="56"/>
      <c r="AT765" s="56"/>
      <c r="AU765" s="56"/>
      <c r="AV765" s="56"/>
      <c r="AW765" s="56"/>
      <c r="AX765" s="56"/>
      <c r="AY765" s="56"/>
      <c r="AZ765" s="56"/>
      <c r="BA765" s="56"/>
      <c r="BB765" s="56"/>
      <c r="BC765" s="56"/>
    </row>
    <row r="766" customFormat="false" ht="21.75" hidden="false" customHeight="true" outlineLevel="0" collapsed="false">
      <c r="B766" s="54" t="n">
        <v>12</v>
      </c>
      <c r="C766" s="54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6"/>
      <c r="AG766" s="56"/>
      <c r="AH766" s="56"/>
      <c r="AI766" s="56"/>
      <c r="AJ766" s="56"/>
      <c r="AK766" s="56"/>
      <c r="AL766" s="56"/>
      <c r="AM766" s="56"/>
      <c r="AN766" s="56"/>
      <c r="AO766" s="56"/>
      <c r="AP766" s="56"/>
      <c r="AQ766" s="56"/>
      <c r="AR766" s="56"/>
      <c r="AS766" s="56"/>
      <c r="AT766" s="56"/>
      <c r="AU766" s="56"/>
      <c r="AV766" s="56"/>
      <c r="AW766" s="56"/>
      <c r="AX766" s="56"/>
      <c r="AY766" s="56"/>
      <c r="AZ766" s="56"/>
      <c r="BA766" s="56"/>
      <c r="BB766" s="56"/>
      <c r="BC766" s="56"/>
    </row>
    <row r="767" customFormat="false" ht="21.75" hidden="false" customHeight="true" outlineLevel="0" collapsed="false">
      <c r="B767" s="54" t="n">
        <v>13</v>
      </c>
      <c r="C767" s="54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6"/>
      <c r="AG767" s="56"/>
      <c r="AH767" s="56"/>
      <c r="AI767" s="56"/>
      <c r="AJ767" s="56"/>
      <c r="AK767" s="56"/>
      <c r="AL767" s="56"/>
      <c r="AM767" s="56"/>
      <c r="AN767" s="56"/>
      <c r="AO767" s="56"/>
      <c r="AP767" s="56"/>
      <c r="AQ767" s="56"/>
      <c r="AR767" s="56"/>
      <c r="AS767" s="56"/>
      <c r="AT767" s="56"/>
      <c r="AU767" s="56"/>
      <c r="AV767" s="56"/>
      <c r="AW767" s="56"/>
      <c r="AX767" s="56"/>
      <c r="AY767" s="56"/>
      <c r="AZ767" s="56"/>
      <c r="BA767" s="56"/>
      <c r="BB767" s="56"/>
      <c r="BC767" s="56"/>
    </row>
    <row r="768" customFormat="false" ht="21.75" hidden="false" customHeight="true" outlineLevel="0" collapsed="false">
      <c r="B768" s="54" t="n">
        <v>14</v>
      </c>
      <c r="C768" s="54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6"/>
      <c r="AG768" s="56"/>
      <c r="AH768" s="56"/>
      <c r="AI768" s="56"/>
      <c r="AJ768" s="56"/>
      <c r="AK768" s="56"/>
      <c r="AL768" s="56"/>
      <c r="AM768" s="56"/>
      <c r="AN768" s="56"/>
      <c r="AO768" s="56"/>
      <c r="AP768" s="56"/>
      <c r="AQ768" s="56"/>
      <c r="AR768" s="56"/>
      <c r="AS768" s="56"/>
      <c r="AT768" s="56"/>
      <c r="AU768" s="56"/>
      <c r="AV768" s="56"/>
      <c r="AW768" s="56"/>
      <c r="AX768" s="56"/>
      <c r="AY768" s="56"/>
      <c r="AZ768" s="56"/>
      <c r="BA768" s="56"/>
      <c r="BB768" s="56"/>
      <c r="BC768" s="56"/>
    </row>
    <row r="769" customFormat="false" ht="21.75" hidden="false" customHeight="true" outlineLevel="0" collapsed="false">
      <c r="B769" s="54" t="n">
        <v>15</v>
      </c>
      <c r="C769" s="54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6"/>
      <c r="AG769" s="56"/>
      <c r="AH769" s="56"/>
      <c r="AI769" s="56"/>
      <c r="AJ769" s="56"/>
      <c r="AK769" s="56"/>
      <c r="AL769" s="56"/>
      <c r="AM769" s="56"/>
      <c r="AN769" s="56"/>
      <c r="AO769" s="56"/>
      <c r="AP769" s="56"/>
      <c r="AQ769" s="56"/>
      <c r="AR769" s="56"/>
      <c r="AS769" s="56"/>
      <c r="AT769" s="56"/>
      <c r="AU769" s="56"/>
      <c r="AV769" s="56"/>
      <c r="AW769" s="56"/>
      <c r="AX769" s="56"/>
      <c r="AY769" s="56"/>
      <c r="AZ769" s="56"/>
      <c r="BA769" s="56"/>
      <c r="BB769" s="56"/>
      <c r="BC769" s="56"/>
    </row>
    <row r="770" customFormat="false" ht="21.75" hidden="false" customHeight="true" outlineLevel="0" collapsed="false">
      <c r="B770" s="54" t="n">
        <v>16</v>
      </c>
      <c r="C770" s="54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6"/>
      <c r="AG770" s="56"/>
      <c r="AH770" s="56"/>
      <c r="AI770" s="56"/>
      <c r="AJ770" s="56"/>
      <c r="AK770" s="56"/>
      <c r="AL770" s="56"/>
      <c r="AM770" s="56"/>
      <c r="AN770" s="56"/>
      <c r="AO770" s="56"/>
      <c r="AP770" s="56"/>
      <c r="AQ770" s="56"/>
      <c r="AR770" s="56"/>
      <c r="AS770" s="56"/>
      <c r="AT770" s="56"/>
      <c r="AU770" s="56"/>
      <c r="AV770" s="56"/>
      <c r="AW770" s="56"/>
      <c r="AX770" s="56"/>
      <c r="AY770" s="56"/>
      <c r="AZ770" s="56"/>
      <c r="BA770" s="56"/>
      <c r="BB770" s="56"/>
      <c r="BC770" s="56"/>
    </row>
    <row r="771" customFormat="false" ht="21.75" hidden="false" customHeight="true" outlineLevel="0" collapsed="false">
      <c r="B771" s="54" t="n">
        <v>17</v>
      </c>
      <c r="C771" s="54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6"/>
      <c r="AG771" s="56"/>
      <c r="AH771" s="56"/>
      <c r="AI771" s="56"/>
      <c r="AJ771" s="56"/>
      <c r="AK771" s="56"/>
      <c r="AL771" s="56"/>
      <c r="AM771" s="56"/>
      <c r="AN771" s="56"/>
      <c r="AO771" s="56"/>
      <c r="AP771" s="56"/>
      <c r="AQ771" s="56"/>
      <c r="AR771" s="56"/>
      <c r="AS771" s="56"/>
      <c r="AT771" s="56"/>
      <c r="AU771" s="56"/>
      <c r="AV771" s="56"/>
      <c r="AW771" s="56"/>
      <c r="AX771" s="56"/>
      <c r="AY771" s="56"/>
      <c r="AZ771" s="56"/>
      <c r="BA771" s="56"/>
      <c r="BB771" s="56"/>
      <c r="BC771" s="56"/>
    </row>
    <row r="772" customFormat="false" ht="21.75" hidden="false" customHeight="true" outlineLevel="0" collapsed="false">
      <c r="B772" s="54" t="n">
        <v>18</v>
      </c>
      <c r="C772" s="54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6"/>
      <c r="AG772" s="56"/>
      <c r="AH772" s="56"/>
      <c r="AI772" s="56"/>
      <c r="AJ772" s="56"/>
      <c r="AK772" s="56"/>
      <c r="AL772" s="56"/>
      <c r="AM772" s="56"/>
      <c r="AN772" s="56"/>
      <c r="AO772" s="56"/>
      <c r="AP772" s="56"/>
      <c r="AQ772" s="56"/>
      <c r="AR772" s="56"/>
      <c r="AS772" s="56"/>
      <c r="AT772" s="56"/>
      <c r="AU772" s="56"/>
      <c r="AV772" s="56"/>
      <c r="AW772" s="56"/>
      <c r="AX772" s="56"/>
      <c r="AY772" s="56"/>
      <c r="AZ772" s="56"/>
      <c r="BA772" s="56"/>
      <c r="BB772" s="56"/>
      <c r="BC772" s="56"/>
    </row>
    <row r="773" customFormat="false" ht="21.75" hidden="false" customHeight="true" outlineLevel="0" collapsed="false">
      <c r="B773" s="54" t="n">
        <v>19</v>
      </c>
      <c r="C773" s="54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6"/>
      <c r="AG773" s="56"/>
      <c r="AH773" s="56"/>
      <c r="AI773" s="56"/>
      <c r="AJ773" s="56"/>
      <c r="AK773" s="56"/>
      <c r="AL773" s="56"/>
      <c r="AM773" s="56"/>
      <c r="AN773" s="56"/>
      <c r="AO773" s="56"/>
      <c r="AP773" s="56"/>
      <c r="AQ773" s="56"/>
      <c r="AR773" s="56"/>
      <c r="AS773" s="56"/>
      <c r="AT773" s="56"/>
      <c r="AU773" s="56"/>
      <c r="AV773" s="56"/>
      <c r="AW773" s="56"/>
      <c r="AX773" s="56"/>
      <c r="AY773" s="56"/>
      <c r="AZ773" s="56"/>
      <c r="BA773" s="56"/>
      <c r="BB773" s="56"/>
      <c r="BC773" s="56"/>
    </row>
    <row r="774" customFormat="false" ht="21.75" hidden="false" customHeight="true" outlineLevel="0" collapsed="false">
      <c r="B774" s="54" t="n">
        <v>20</v>
      </c>
      <c r="C774" s="54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6"/>
      <c r="AG774" s="56"/>
      <c r="AH774" s="56"/>
      <c r="AI774" s="56"/>
      <c r="AJ774" s="56"/>
      <c r="AK774" s="56"/>
      <c r="AL774" s="56"/>
      <c r="AM774" s="56"/>
      <c r="AN774" s="56"/>
      <c r="AO774" s="56"/>
      <c r="AP774" s="56"/>
      <c r="AQ774" s="56"/>
      <c r="AR774" s="56"/>
      <c r="AS774" s="56"/>
      <c r="AT774" s="56"/>
      <c r="AU774" s="56"/>
      <c r="AV774" s="56"/>
      <c r="AW774" s="56"/>
      <c r="AX774" s="56"/>
      <c r="AY774" s="56"/>
      <c r="AZ774" s="56"/>
      <c r="BA774" s="56"/>
      <c r="BB774" s="56"/>
      <c r="BC774" s="56"/>
    </row>
    <row r="775" customFormat="false" ht="21.75" hidden="false" customHeight="true" outlineLevel="0" collapsed="false">
      <c r="B775" s="54" t="n">
        <v>21</v>
      </c>
      <c r="C775" s="54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  <c r="AG775" s="56"/>
      <c r="AH775" s="56"/>
      <c r="AI775" s="56"/>
      <c r="AJ775" s="56"/>
      <c r="AK775" s="56"/>
      <c r="AL775" s="56"/>
      <c r="AM775" s="56"/>
      <c r="AN775" s="56"/>
      <c r="AO775" s="56"/>
      <c r="AP775" s="56"/>
      <c r="AQ775" s="56"/>
      <c r="AR775" s="56"/>
      <c r="AS775" s="56"/>
      <c r="AT775" s="56"/>
      <c r="AU775" s="56"/>
      <c r="AV775" s="56"/>
      <c r="AW775" s="56"/>
      <c r="AX775" s="56"/>
      <c r="AY775" s="56"/>
      <c r="AZ775" s="56"/>
      <c r="BA775" s="56"/>
      <c r="BB775" s="56"/>
      <c r="BC775" s="56"/>
    </row>
    <row r="776" customFormat="false" ht="21.75" hidden="false" customHeight="true" outlineLevel="0" collapsed="false">
      <c r="B776" s="54" t="n">
        <v>22</v>
      </c>
      <c r="C776" s="54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6"/>
      <c r="AG776" s="56"/>
      <c r="AH776" s="56"/>
      <c r="AI776" s="56"/>
      <c r="AJ776" s="56"/>
      <c r="AK776" s="56"/>
      <c r="AL776" s="56"/>
      <c r="AM776" s="56"/>
      <c r="AN776" s="56"/>
      <c r="AO776" s="56"/>
      <c r="AP776" s="56"/>
      <c r="AQ776" s="56"/>
      <c r="AR776" s="56"/>
      <c r="AS776" s="56"/>
      <c r="AT776" s="56"/>
      <c r="AU776" s="56"/>
      <c r="AV776" s="56"/>
      <c r="AW776" s="56"/>
      <c r="AX776" s="56"/>
      <c r="AY776" s="56"/>
      <c r="AZ776" s="56"/>
      <c r="BA776" s="56"/>
      <c r="BB776" s="56"/>
      <c r="BC776" s="56"/>
    </row>
    <row r="777" customFormat="false" ht="21.75" hidden="false" customHeight="true" outlineLevel="0" collapsed="false">
      <c r="B777" s="54" t="n">
        <v>23</v>
      </c>
      <c r="C777" s="54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6"/>
      <c r="AG777" s="56"/>
      <c r="AH777" s="56"/>
      <c r="AI777" s="56"/>
      <c r="AJ777" s="56"/>
      <c r="AK777" s="56"/>
      <c r="AL777" s="56"/>
      <c r="AM777" s="56"/>
      <c r="AN777" s="56"/>
      <c r="AO777" s="56"/>
      <c r="AP777" s="56"/>
      <c r="AQ777" s="56"/>
      <c r="AR777" s="56"/>
      <c r="AS777" s="56"/>
      <c r="AT777" s="56"/>
      <c r="AU777" s="56"/>
      <c r="AV777" s="56"/>
      <c r="AW777" s="56"/>
      <c r="AX777" s="56"/>
      <c r="AY777" s="56"/>
      <c r="AZ777" s="56"/>
      <c r="BA777" s="56"/>
      <c r="BB777" s="56"/>
      <c r="BC777" s="56"/>
    </row>
    <row r="778" customFormat="false" ht="21.75" hidden="false" customHeight="true" outlineLevel="0" collapsed="false">
      <c r="B778" s="54" t="n">
        <v>24</v>
      </c>
      <c r="C778" s="54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6"/>
      <c r="AG778" s="56"/>
      <c r="AH778" s="56"/>
      <c r="AI778" s="56"/>
      <c r="AJ778" s="56"/>
      <c r="AK778" s="56"/>
      <c r="AL778" s="56"/>
      <c r="AM778" s="56"/>
      <c r="AN778" s="56"/>
      <c r="AO778" s="56"/>
      <c r="AP778" s="56"/>
      <c r="AQ778" s="56"/>
      <c r="AR778" s="56"/>
      <c r="AS778" s="56"/>
      <c r="AT778" s="56"/>
      <c r="AU778" s="56"/>
      <c r="AV778" s="56"/>
      <c r="AW778" s="56"/>
      <c r="AX778" s="56"/>
      <c r="AY778" s="56"/>
      <c r="AZ778" s="56"/>
      <c r="BA778" s="56"/>
      <c r="BB778" s="56"/>
      <c r="BC778" s="56"/>
    </row>
    <row r="779" customFormat="false" ht="21.75" hidden="false" customHeight="true" outlineLevel="0" collapsed="false">
      <c r="B779" s="54" t="n">
        <v>25</v>
      </c>
      <c r="C779" s="54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6"/>
      <c r="AG779" s="56"/>
      <c r="AH779" s="56"/>
      <c r="AI779" s="56"/>
      <c r="AJ779" s="56"/>
      <c r="AK779" s="56"/>
      <c r="AL779" s="56"/>
      <c r="AM779" s="56"/>
      <c r="AN779" s="56"/>
      <c r="AO779" s="56"/>
      <c r="AP779" s="56"/>
      <c r="AQ779" s="56"/>
      <c r="AR779" s="56"/>
      <c r="AS779" s="56"/>
      <c r="AT779" s="56"/>
      <c r="AU779" s="56"/>
      <c r="AV779" s="56"/>
      <c r="AW779" s="56"/>
      <c r="AX779" s="56"/>
      <c r="AY779" s="56"/>
      <c r="AZ779" s="56"/>
      <c r="BA779" s="56"/>
      <c r="BB779" s="56"/>
      <c r="BC779" s="56"/>
    </row>
    <row r="780" customFormat="false" ht="21.75" hidden="false" customHeight="true" outlineLevel="0" collapsed="false">
      <c r="B780" s="54" t="n">
        <v>26</v>
      </c>
      <c r="C780" s="54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  <c r="AG780" s="56"/>
      <c r="AH780" s="56"/>
      <c r="AI780" s="56"/>
      <c r="AJ780" s="56"/>
      <c r="AK780" s="56"/>
      <c r="AL780" s="56"/>
      <c r="AM780" s="56"/>
      <c r="AN780" s="56"/>
      <c r="AO780" s="56"/>
      <c r="AP780" s="56"/>
      <c r="AQ780" s="56"/>
      <c r="AR780" s="56"/>
      <c r="AS780" s="56"/>
      <c r="AT780" s="56"/>
      <c r="AU780" s="56"/>
      <c r="AV780" s="56"/>
      <c r="AW780" s="56"/>
      <c r="AX780" s="56"/>
      <c r="AY780" s="56"/>
      <c r="AZ780" s="56"/>
      <c r="BA780" s="56"/>
      <c r="BB780" s="56"/>
      <c r="BC780" s="56"/>
    </row>
    <row r="781" customFormat="false" ht="21.75" hidden="false" customHeight="true" outlineLevel="0" collapsed="false">
      <c r="B781" s="54" t="n">
        <v>27</v>
      </c>
      <c r="C781" s="54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6"/>
      <c r="AG781" s="56"/>
      <c r="AH781" s="56"/>
      <c r="AI781" s="56"/>
      <c r="AJ781" s="56"/>
      <c r="AK781" s="56"/>
      <c r="AL781" s="56"/>
      <c r="AM781" s="56"/>
      <c r="AN781" s="56"/>
      <c r="AO781" s="56"/>
      <c r="AP781" s="56"/>
      <c r="AQ781" s="56"/>
      <c r="AR781" s="56"/>
      <c r="AS781" s="56"/>
      <c r="AT781" s="56"/>
      <c r="AU781" s="56"/>
      <c r="AV781" s="56"/>
      <c r="AW781" s="56"/>
      <c r="AX781" s="56"/>
      <c r="AY781" s="56"/>
      <c r="AZ781" s="56"/>
      <c r="BA781" s="56"/>
      <c r="BB781" s="56"/>
      <c r="BC781" s="56"/>
    </row>
    <row r="782" customFormat="false" ht="21.75" hidden="false" customHeight="true" outlineLevel="0" collapsed="false">
      <c r="B782" s="54" t="n">
        <v>28</v>
      </c>
      <c r="C782" s="54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6"/>
      <c r="AG782" s="56"/>
      <c r="AH782" s="56"/>
      <c r="AI782" s="56"/>
      <c r="AJ782" s="56"/>
      <c r="AK782" s="56"/>
      <c r="AL782" s="56"/>
      <c r="AM782" s="56"/>
      <c r="AN782" s="56"/>
      <c r="AO782" s="56"/>
      <c r="AP782" s="56"/>
      <c r="AQ782" s="56"/>
      <c r="AR782" s="56"/>
      <c r="AS782" s="56"/>
      <c r="AT782" s="56"/>
      <c r="AU782" s="56"/>
      <c r="AV782" s="56"/>
      <c r="AW782" s="56"/>
      <c r="AX782" s="56"/>
      <c r="AY782" s="56"/>
      <c r="AZ782" s="56"/>
      <c r="BA782" s="56"/>
      <c r="BB782" s="56"/>
      <c r="BC782" s="56"/>
    </row>
    <row r="783" customFormat="false" ht="21.75" hidden="false" customHeight="true" outlineLevel="0" collapsed="false">
      <c r="B783" s="54" t="n">
        <v>29</v>
      </c>
      <c r="C783" s="54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  <c r="AG783" s="56"/>
      <c r="AH783" s="56"/>
      <c r="AI783" s="56"/>
      <c r="AJ783" s="56"/>
      <c r="AK783" s="56"/>
      <c r="AL783" s="56"/>
      <c r="AM783" s="56"/>
      <c r="AN783" s="56"/>
      <c r="AO783" s="56"/>
      <c r="AP783" s="56"/>
      <c r="AQ783" s="56"/>
      <c r="AR783" s="56"/>
      <c r="AS783" s="56"/>
      <c r="AT783" s="56"/>
      <c r="AU783" s="56"/>
      <c r="AV783" s="56"/>
      <c r="AW783" s="56"/>
      <c r="AX783" s="56"/>
      <c r="AY783" s="56"/>
      <c r="AZ783" s="56"/>
      <c r="BA783" s="56"/>
      <c r="BB783" s="56"/>
      <c r="BC783" s="56"/>
    </row>
    <row r="784" customFormat="false" ht="21.75" hidden="false" customHeight="true" outlineLevel="0" collapsed="false">
      <c r="B784" s="54" t="n">
        <v>30</v>
      </c>
      <c r="C784" s="54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6"/>
      <c r="AG784" s="56"/>
      <c r="AH784" s="56"/>
      <c r="AI784" s="56"/>
      <c r="AJ784" s="56"/>
      <c r="AK784" s="56"/>
      <c r="AL784" s="56"/>
      <c r="AM784" s="56"/>
      <c r="AN784" s="56"/>
      <c r="AO784" s="56"/>
      <c r="AP784" s="56"/>
      <c r="AQ784" s="56"/>
      <c r="AR784" s="56"/>
      <c r="AS784" s="56"/>
      <c r="AT784" s="56"/>
      <c r="AU784" s="56"/>
      <c r="AV784" s="56"/>
      <c r="AW784" s="56"/>
      <c r="AX784" s="56"/>
      <c r="AY784" s="56"/>
      <c r="AZ784" s="56"/>
      <c r="BA784" s="56"/>
      <c r="BB784" s="56"/>
      <c r="BC784" s="56"/>
    </row>
    <row r="785" customFormat="false" ht="21.75" hidden="false" customHeight="true" outlineLevel="0" collapsed="false">
      <c r="B785" s="54" t="n">
        <v>31</v>
      </c>
      <c r="C785" s="54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6"/>
      <c r="AG785" s="56"/>
      <c r="AH785" s="56"/>
      <c r="AI785" s="56"/>
      <c r="AJ785" s="56"/>
      <c r="AK785" s="56"/>
      <c r="AL785" s="56"/>
      <c r="AM785" s="56"/>
      <c r="AN785" s="56"/>
      <c r="AO785" s="56"/>
      <c r="AP785" s="56"/>
      <c r="AQ785" s="56"/>
      <c r="AR785" s="56"/>
      <c r="AS785" s="56"/>
      <c r="AT785" s="56"/>
      <c r="AU785" s="56"/>
      <c r="AV785" s="56"/>
      <c r="AW785" s="56"/>
      <c r="AX785" s="56"/>
      <c r="AY785" s="56"/>
      <c r="AZ785" s="56"/>
      <c r="BA785" s="56"/>
      <c r="BB785" s="56"/>
      <c r="BC785" s="56"/>
    </row>
    <row r="786" customFormat="false" ht="21.75" hidden="false" customHeight="true" outlineLevel="0" collapsed="false">
      <c r="B786" s="54" t="n">
        <v>32</v>
      </c>
      <c r="C786" s="54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  <c r="AG786" s="56"/>
      <c r="AH786" s="56"/>
      <c r="AI786" s="56"/>
      <c r="AJ786" s="56"/>
      <c r="AK786" s="56"/>
      <c r="AL786" s="56"/>
      <c r="AM786" s="56"/>
      <c r="AN786" s="56"/>
      <c r="AO786" s="56"/>
      <c r="AP786" s="56"/>
      <c r="AQ786" s="56"/>
      <c r="AR786" s="56"/>
      <c r="AS786" s="56"/>
      <c r="AT786" s="56"/>
      <c r="AU786" s="56"/>
      <c r="AV786" s="56"/>
      <c r="AW786" s="56"/>
      <c r="AX786" s="56"/>
      <c r="AY786" s="56"/>
      <c r="AZ786" s="56"/>
      <c r="BA786" s="56"/>
      <c r="BB786" s="56"/>
      <c r="BC786" s="56"/>
    </row>
    <row r="787" customFormat="false" ht="21.75" hidden="false" customHeight="true" outlineLevel="0" collapsed="false">
      <c r="B787" s="54" t="n">
        <v>33</v>
      </c>
      <c r="C787" s="54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6"/>
      <c r="AG787" s="56"/>
      <c r="AH787" s="56"/>
      <c r="AI787" s="56"/>
      <c r="AJ787" s="56"/>
      <c r="AK787" s="56"/>
      <c r="AL787" s="56"/>
      <c r="AM787" s="56"/>
      <c r="AN787" s="56"/>
      <c r="AO787" s="56"/>
      <c r="AP787" s="56"/>
      <c r="AQ787" s="56"/>
      <c r="AR787" s="56"/>
      <c r="AS787" s="56"/>
      <c r="AT787" s="56"/>
      <c r="AU787" s="56"/>
      <c r="AV787" s="56"/>
      <c r="AW787" s="56"/>
      <c r="AX787" s="56"/>
      <c r="AY787" s="56"/>
      <c r="AZ787" s="56"/>
      <c r="BA787" s="56"/>
      <c r="BB787" s="56"/>
      <c r="BC787" s="56"/>
    </row>
    <row r="788" customFormat="false" ht="21.75" hidden="false" customHeight="true" outlineLevel="0" collapsed="false">
      <c r="B788" s="54" t="n">
        <v>34</v>
      </c>
      <c r="C788" s="54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6"/>
      <c r="AG788" s="56"/>
      <c r="AH788" s="56"/>
      <c r="AI788" s="56"/>
      <c r="AJ788" s="56"/>
      <c r="AK788" s="56"/>
      <c r="AL788" s="56"/>
      <c r="AM788" s="56"/>
      <c r="AN788" s="56"/>
      <c r="AO788" s="56"/>
      <c r="AP788" s="56"/>
      <c r="AQ788" s="56"/>
      <c r="AR788" s="56"/>
      <c r="AS788" s="56"/>
      <c r="AT788" s="56"/>
      <c r="AU788" s="56"/>
      <c r="AV788" s="56"/>
      <c r="AW788" s="56"/>
      <c r="AX788" s="56"/>
      <c r="AY788" s="56"/>
      <c r="AZ788" s="56"/>
      <c r="BA788" s="56"/>
      <c r="BB788" s="56"/>
      <c r="BC788" s="56"/>
    </row>
    <row r="789" customFormat="false" ht="21.75" hidden="false" customHeight="true" outlineLevel="0" collapsed="false">
      <c r="B789" s="54" t="n">
        <v>35</v>
      </c>
      <c r="C789" s="54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6"/>
      <c r="AG789" s="56"/>
      <c r="AH789" s="56"/>
      <c r="AI789" s="56"/>
      <c r="AJ789" s="56"/>
      <c r="AK789" s="56"/>
      <c r="AL789" s="56"/>
      <c r="AM789" s="56"/>
      <c r="AN789" s="56"/>
      <c r="AO789" s="56"/>
      <c r="AP789" s="56"/>
      <c r="AQ789" s="56"/>
      <c r="AR789" s="56"/>
      <c r="AS789" s="56"/>
      <c r="AT789" s="56"/>
      <c r="AU789" s="56"/>
      <c r="AV789" s="56"/>
      <c r="AW789" s="56"/>
      <c r="AX789" s="56"/>
      <c r="AY789" s="56"/>
      <c r="AZ789" s="56"/>
      <c r="BA789" s="56"/>
      <c r="BB789" s="56"/>
      <c r="BC789" s="56"/>
    </row>
    <row r="790" customFormat="false" ht="21.75" hidden="false" customHeight="true" outlineLevel="0" collapsed="false">
      <c r="B790" s="54" t="n">
        <v>36</v>
      </c>
      <c r="C790" s="54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6"/>
      <c r="AG790" s="56"/>
      <c r="AH790" s="56"/>
      <c r="AI790" s="56"/>
      <c r="AJ790" s="56"/>
      <c r="AK790" s="56"/>
      <c r="AL790" s="56"/>
      <c r="AM790" s="56"/>
      <c r="AN790" s="56"/>
      <c r="AO790" s="56"/>
      <c r="AP790" s="56"/>
      <c r="AQ790" s="56"/>
      <c r="AR790" s="56"/>
      <c r="AS790" s="56"/>
      <c r="AT790" s="56"/>
      <c r="AU790" s="56"/>
      <c r="AV790" s="56"/>
      <c r="AW790" s="56"/>
      <c r="AX790" s="56"/>
      <c r="AY790" s="56"/>
      <c r="AZ790" s="56"/>
      <c r="BA790" s="56"/>
      <c r="BB790" s="56"/>
      <c r="BC790" s="56"/>
    </row>
    <row r="791" customFormat="false" ht="21.75" hidden="false" customHeight="true" outlineLevel="0" collapsed="false">
      <c r="B791" s="54" t="n">
        <v>37</v>
      </c>
      <c r="C791" s="54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6"/>
      <c r="AG791" s="56"/>
      <c r="AH791" s="56"/>
      <c r="AI791" s="56"/>
      <c r="AJ791" s="56"/>
      <c r="AK791" s="56"/>
      <c r="AL791" s="56"/>
      <c r="AM791" s="56"/>
      <c r="AN791" s="56"/>
      <c r="AO791" s="56"/>
      <c r="AP791" s="56"/>
      <c r="AQ791" s="56"/>
      <c r="AR791" s="56"/>
      <c r="AS791" s="56"/>
      <c r="AT791" s="56"/>
      <c r="AU791" s="56"/>
      <c r="AV791" s="56"/>
      <c r="AW791" s="56"/>
      <c r="AX791" s="56"/>
      <c r="AY791" s="56"/>
      <c r="AZ791" s="56"/>
      <c r="BA791" s="56"/>
      <c r="BB791" s="56"/>
      <c r="BC791" s="56"/>
    </row>
    <row r="792" customFormat="false" ht="21.75" hidden="false" customHeight="true" outlineLevel="0" collapsed="false">
      <c r="B792" s="54" t="n">
        <v>38</v>
      </c>
      <c r="C792" s="54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  <c r="AF792" s="56"/>
      <c r="AG792" s="56"/>
      <c r="AH792" s="56"/>
      <c r="AI792" s="56"/>
      <c r="AJ792" s="56"/>
      <c r="AK792" s="56"/>
      <c r="AL792" s="56"/>
      <c r="AM792" s="56"/>
      <c r="AN792" s="56"/>
      <c r="AO792" s="56"/>
      <c r="AP792" s="56"/>
      <c r="AQ792" s="56"/>
      <c r="AR792" s="56"/>
      <c r="AS792" s="56"/>
      <c r="AT792" s="56"/>
      <c r="AU792" s="56"/>
      <c r="AV792" s="56"/>
      <c r="AW792" s="56"/>
      <c r="AX792" s="56"/>
      <c r="AY792" s="56"/>
      <c r="AZ792" s="56"/>
      <c r="BA792" s="56"/>
      <c r="BB792" s="56"/>
      <c r="BC792" s="56"/>
    </row>
    <row r="793" customFormat="false" ht="21.75" hidden="false" customHeight="true" outlineLevel="0" collapsed="false">
      <c r="B793" s="54" t="n">
        <v>39</v>
      </c>
      <c r="C793" s="54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6"/>
      <c r="AG793" s="56"/>
      <c r="AH793" s="56"/>
      <c r="AI793" s="56"/>
      <c r="AJ793" s="56"/>
      <c r="AK793" s="56"/>
      <c r="AL793" s="56"/>
      <c r="AM793" s="56"/>
      <c r="AN793" s="56"/>
      <c r="AO793" s="56"/>
      <c r="AP793" s="56"/>
      <c r="AQ793" s="56"/>
      <c r="AR793" s="56"/>
      <c r="AS793" s="56"/>
      <c r="AT793" s="56"/>
      <c r="AU793" s="56"/>
      <c r="AV793" s="56"/>
      <c r="AW793" s="56"/>
      <c r="AX793" s="56"/>
      <c r="AY793" s="56"/>
      <c r="AZ793" s="56"/>
      <c r="BA793" s="56"/>
      <c r="BB793" s="56"/>
      <c r="BC793" s="56"/>
    </row>
    <row r="794" customFormat="false" ht="21.75" hidden="false" customHeight="true" outlineLevel="0" collapsed="false">
      <c r="B794" s="54" t="n">
        <v>40</v>
      </c>
      <c r="C794" s="54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6"/>
      <c r="AG794" s="56"/>
      <c r="AH794" s="56"/>
      <c r="AI794" s="56"/>
      <c r="AJ794" s="56"/>
      <c r="AK794" s="56"/>
      <c r="AL794" s="56"/>
      <c r="AM794" s="56"/>
      <c r="AN794" s="56"/>
      <c r="AO794" s="56"/>
      <c r="AP794" s="56"/>
      <c r="AQ794" s="56"/>
      <c r="AR794" s="56"/>
      <c r="AS794" s="56"/>
      <c r="AT794" s="56"/>
      <c r="AU794" s="56"/>
      <c r="AV794" s="56"/>
      <c r="AW794" s="56"/>
      <c r="AX794" s="56"/>
      <c r="AY794" s="56"/>
      <c r="AZ794" s="56"/>
      <c r="BA794" s="56"/>
      <c r="BB794" s="56"/>
      <c r="BC794" s="56"/>
    </row>
    <row r="795" customFormat="false" ht="12" hidden="false" customHeight="true" outlineLevel="0" collapsed="false"/>
    <row r="796" customFormat="false" ht="21.75" hidden="false" customHeight="true" outlineLevel="0" collapsed="false">
      <c r="B796" s="6"/>
      <c r="C796" s="37" t="s">
        <v>138</v>
      </c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  <c r="AE796" s="37"/>
      <c r="AF796" s="37"/>
      <c r="AG796" s="37"/>
      <c r="AH796" s="37"/>
      <c r="AI796" s="37"/>
      <c r="AJ796" s="37"/>
      <c r="AK796" s="37"/>
      <c r="AL796" s="38" t="s">
        <v>139</v>
      </c>
      <c r="AM796" s="38"/>
      <c r="AN796" s="38"/>
      <c r="AO796" s="38"/>
      <c r="AP796" s="38"/>
      <c r="AQ796" s="38"/>
      <c r="AR796" s="38"/>
      <c r="AS796" s="38"/>
      <c r="AT796" s="38"/>
      <c r="AU796" s="38"/>
      <c r="AV796" s="38"/>
      <c r="AW796" s="38"/>
      <c r="AX796" s="38"/>
      <c r="AY796" s="38"/>
      <c r="AZ796" s="38"/>
      <c r="BA796" s="38"/>
      <c r="BB796" s="38"/>
      <c r="BC796" s="38"/>
    </row>
    <row r="797" customFormat="false" ht="27.75" hidden="false" customHeight="true" outlineLevel="0" collapsed="false">
      <c r="B797" s="52" t="s">
        <v>71</v>
      </c>
      <c r="C797" s="52"/>
      <c r="D797" s="53" t="s">
        <v>4</v>
      </c>
      <c r="E797" s="53"/>
      <c r="F797" s="53"/>
      <c r="G797" s="53"/>
      <c r="H797" s="53" t="s">
        <v>82</v>
      </c>
      <c r="I797" s="53"/>
      <c r="J797" s="53"/>
      <c r="K797" s="53"/>
      <c r="L797" s="53"/>
      <c r="M797" s="53"/>
      <c r="N797" s="53"/>
      <c r="O797" s="53"/>
      <c r="P797" s="53"/>
      <c r="Q797" s="53" t="s">
        <v>140</v>
      </c>
      <c r="R797" s="53"/>
      <c r="S797" s="53"/>
      <c r="T797" s="53"/>
      <c r="U797" s="53"/>
      <c r="V797" s="53"/>
      <c r="W797" s="53" t="s">
        <v>83</v>
      </c>
      <c r="X797" s="53"/>
      <c r="Y797" s="53"/>
      <c r="Z797" s="53"/>
      <c r="AA797" s="53"/>
      <c r="AB797" s="53"/>
      <c r="AC797" s="53"/>
      <c r="AD797" s="53"/>
      <c r="AE797" s="53"/>
      <c r="AF797" s="53"/>
      <c r="AG797" s="53"/>
      <c r="AH797" s="53"/>
      <c r="AI797" s="53"/>
      <c r="AJ797" s="53"/>
      <c r="AK797" s="53"/>
      <c r="AL797" s="53"/>
      <c r="AM797" s="53"/>
      <c r="AN797" s="53"/>
      <c r="AO797" s="53"/>
      <c r="AP797" s="53"/>
      <c r="AQ797" s="53"/>
      <c r="AR797" s="53"/>
      <c r="AS797" s="53"/>
      <c r="AT797" s="53"/>
      <c r="AU797" s="53"/>
      <c r="AV797" s="53"/>
      <c r="AW797" s="53"/>
      <c r="AX797" s="53"/>
      <c r="AY797" s="53"/>
      <c r="AZ797" s="53"/>
      <c r="BA797" s="53"/>
      <c r="BB797" s="53"/>
      <c r="BC797" s="53"/>
    </row>
    <row r="798" customFormat="false" ht="21.75" hidden="false" customHeight="true" outlineLevel="0" collapsed="false">
      <c r="B798" s="54" t="n">
        <v>1</v>
      </c>
      <c r="C798" s="54"/>
      <c r="D798" s="55"/>
      <c r="E798" s="55"/>
      <c r="F798" s="55"/>
      <c r="G798" s="55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  <c r="AF798" s="56"/>
      <c r="AG798" s="56"/>
      <c r="AH798" s="56"/>
      <c r="AI798" s="56"/>
      <c r="AJ798" s="56"/>
      <c r="AK798" s="56"/>
      <c r="AL798" s="56"/>
      <c r="AM798" s="56"/>
      <c r="AN798" s="56"/>
      <c r="AO798" s="56"/>
      <c r="AP798" s="56"/>
      <c r="AQ798" s="56"/>
      <c r="AR798" s="56"/>
      <c r="AS798" s="56"/>
      <c r="AT798" s="56"/>
      <c r="AU798" s="56"/>
      <c r="AV798" s="56"/>
      <c r="AW798" s="56"/>
      <c r="AX798" s="56"/>
      <c r="AY798" s="56"/>
      <c r="AZ798" s="56"/>
      <c r="BA798" s="56"/>
      <c r="BB798" s="56"/>
      <c r="BC798" s="56"/>
    </row>
    <row r="799" customFormat="false" ht="21.75" hidden="false" customHeight="true" outlineLevel="0" collapsed="false">
      <c r="B799" s="54" t="n">
        <v>2</v>
      </c>
      <c r="C799" s="54"/>
      <c r="D799" s="55"/>
      <c r="E799" s="55"/>
      <c r="F799" s="55"/>
      <c r="G799" s="55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  <c r="AF799" s="56"/>
      <c r="AG799" s="56"/>
      <c r="AH799" s="56"/>
      <c r="AI799" s="56"/>
      <c r="AJ799" s="56"/>
      <c r="AK799" s="56"/>
      <c r="AL799" s="56"/>
      <c r="AM799" s="56"/>
      <c r="AN799" s="56"/>
      <c r="AO799" s="56"/>
      <c r="AP799" s="56"/>
      <c r="AQ799" s="56"/>
      <c r="AR799" s="56"/>
      <c r="AS799" s="56"/>
      <c r="AT799" s="56"/>
      <c r="AU799" s="56"/>
      <c r="AV799" s="56"/>
      <c r="AW799" s="56"/>
      <c r="AX799" s="56"/>
      <c r="AY799" s="56"/>
      <c r="AZ799" s="56"/>
      <c r="BA799" s="56"/>
      <c r="BB799" s="56"/>
      <c r="BC799" s="56"/>
    </row>
    <row r="800" customFormat="false" ht="21.75" hidden="false" customHeight="true" outlineLevel="0" collapsed="false">
      <c r="B800" s="54" t="n">
        <v>3</v>
      </c>
      <c r="C800" s="54"/>
      <c r="D800" s="55"/>
      <c r="E800" s="55"/>
      <c r="F800" s="55"/>
      <c r="G800" s="55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  <c r="AF800" s="56"/>
      <c r="AG800" s="56"/>
      <c r="AH800" s="56"/>
      <c r="AI800" s="56"/>
      <c r="AJ800" s="56"/>
      <c r="AK800" s="56"/>
      <c r="AL800" s="56"/>
      <c r="AM800" s="56"/>
      <c r="AN800" s="56"/>
      <c r="AO800" s="56"/>
      <c r="AP800" s="56"/>
      <c r="AQ800" s="56"/>
      <c r="AR800" s="56"/>
      <c r="AS800" s="56"/>
      <c r="AT800" s="56"/>
      <c r="AU800" s="56"/>
      <c r="AV800" s="56"/>
      <c r="AW800" s="56"/>
      <c r="AX800" s="56"/>
      <c r="AY800" s="56"/>
      <c r="AZ800" s="56"/>
      <c r="BA800" s="56"/>
      <c r="BB800" s="56"/>
      <c r="BC800" s="56"/>
    </row>
    <row r="801" customFormat="false" ht="21.75" hidden="false" customHeight="true" outlineLevel="0" collapsed="false">
      <c r="B801" s="54" t="n">
        <v>4</v>
      </c>
      <c r="C801" s="54"/>
      <c r="D801" s="55"/>
      <c r="E801" s="55"/>
      <c r="F801" s="55"/>
      <c r="G801" s="55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  <c r="AF801" s="56"/>
      <c r="AG801" s="56"/>
      <c r="AH801" s="56"/>
      <c r="AI801" s="56"/>
      <c r="AJ801" s="56"/>
      <c r="AK801" s="56"/>
      <c r="AL801" s="56"/>
      <c r="AM801" s="56"/>
      <c r="AN801" s="56"/>
      <c r="AO801" s="56"/>
      <c r="AP801" s="56"/>
      <c r="AQ801" s="56"/>
      <c r="AR801" s="56"/>
      <c r="AS801" s="56"/>
      <c r="AT801" s="56"/>
      <c r="AU801" s="56"/>
      <c r="AV801" s="56"/>
      <c r="AW801" s="56"/>
      <c r="AX801" s="56"/>
      <c r="AY801" s="56"/>
      <c r="AZ801" s="56"/>
      <c r="BA801" s="56"/>
      <c r="BB801" s="56"/>
      <c r="BC801" s="56"/>
    </row>
    <row r="802" customFormat="false" ht="21.75" hidden="false" customHeight="true" outlineLevel="0" collapsed="false">
      <c r="B802" s="54" t="n">
        <v>5</v>
      </c>
      <c r="C802" s="54"/>
      <c r="D802" s="55"/>
      <c r="E802" s="55"/>
      <c r="F802" s="55"/>
      <c r="G802" s="55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6"/>
      <c r="AG802" s="56"/>
      <c r="AH802" s="56"/>
      <c r="AI802" s="56"/>
      <c r="AJ802" s="56"/>
      <c r="AK802" s="56"/>
      <c r="AL802" s="56"/>
      <c r="AM802" s="56"/>
      <c r="AN802" s="56"/>
      <c r="AO802" s="56"/>
      <c r="AP802" s="56"/>
      <c r="AQ802" s="56"/>
      <c r="AR802" s="56"/>
      <c r="AS802" s="56"/>
      <c r="AT802" s="56"/>
      <c r="AU802" s="56"/>
      <c r="AV802" s="56"/>
      <c r="AW802" s="56"/>
      <c r="AX802" s="56"/>
      <c r="AY802" s="56"/>
      <c r="AZ802" s="56"/>
      <c r="BA802" s="56"/>
      <c r="BB802" s="56"/>
      <c r="BC802" s="56"/>
    </row>
    <row r="803" customFormat="false" ht="21.75" hidden="false" customHeight="true" outlineLevel="0" collapsed="false">
      <c r="B803" s="54" t="n">
        <v>6</v>
      </c>
      <c r="C803" s="54"/>
      <c r="D803" s="55"/>
      <c r="E803" s="55"/>
      <c r="F803" s="55"/>
      <c r="G803" s="55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  <c r="AF803" s="56"/>
      <c r="AG803" s="56"/>
      <c r="AH803" s="56"/>
      <c r="AI803" s="56"/>
      <c r="AJ803" s="56"/>
      <c r="AK803" s="56"/>
      <c r="AL803" s="56"/>
      <c r="AM803" s="56"/>
      <c r="AN803" s="56"/>
      <c r="AO803" s="56"/>
      <c r="AP803" s="56"/>
      <c r="AQ803" s="56"/>
      <c r="AR803" s="56"/>
      <c r="AS803" s="56"/>
      <c r="AT803" s="56"/>
      <c r="AU803" s="56"/>
      <c r="AV803" s="56"/>
      <c r="AW803" s="56"/>
      <c r="AX803" s="56"/>
      <c r="AY803" s="56"/>
      <c r="AZ803" s="56"/>
      <c r="BA803" s="56"/>
      <c r="BB803" s="56"/>
      <c r="BC803" s="56"/>
    </row>
    <row r="804" customFormat="false" ht="21.75" hidden="false" customHeight="true" outlineLevel="0" collapsed="false">
      <c r="B804" s="54" t="n">
        <v>7</v>
      </c>
      <c r="C804" s="54"/>
      <c r="D804" s="55"/>
      <c r="E804" s="55"/>
      <c r="F804" s="55"/>
      <c r="G804" s="55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  <c r="AF804" s="56"/>
      <c r="AG804" s="56"/>
      <c r="AH804" s="56"/>
      <c r="AI804" s="56"/>
      <c r="AJ804" s="56"/>
      <c r="AK804" s="56"/>
      <c r="AL804" s="56"/>
      <c r="AM804" s="56"/>
      <c r="AN804" s="56"/>
      <c r="AO804" s="56"/>
      <c r="AP804" s="56"/>
      <c r="AQ804" s="56"/>
      <c r="AR804" s="56"/>
      <c r="AS804" s="56"/>
      <c r="AT804" s="56"/>
      <c r="AU804" s="56"/>
      <c r="AV804" s="56"/>
      <c r="AW804" s="56"/>
      <c r="AX804" s="56"/>
      <c r="AY804" s="56"/>
      <c r="AZ804" s="56"/>
      <c r="BA804" s="56"/>
      <c r="BB804" s="56"/>
      <c r="BC804" s="56"/>
    </row>
    <row r="805" customFormat="false" ht="21.75" hidden="false" customHeight="true" outlineLevel="0" collapsed="false">
      <c r="B805" s="54" t="n">
        <v>8</v>
      </c>
      <c r="C805" s="54"/>
      <c r="D805" s="55"/>
      <c r="E805" s="55"/>
      <c r="F805" s="55"/>
      <c r="G805" s="55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  <c r="AF805" s="56"/>
      <c r="AG805" s="56"/>
      <c r="AH805" s="56"/>
      <c r="AI805" s="56"/>
      <c r="AJ805" s="56"/>
      <c r="AK805" s="56"/>
      <c r="AL805" s="56"/>
      <c r="AM805" s="56"/>
      <c r="AN805" s="56"/>
      <c r="AO805" s="56"/>
      <c r="AP805" s="56"/>
      <c r="AQ805" s="56"/>
      <c r="AR805" s="56"/>
      <c r="AS805" s="56"/>
      <c r="AT805" s="56"/>
      <c r="AU805" s="56"/>
      <c r="AV805" s="56"/>
      <c r="AW805" s="56"/>
      <c r="AX805" s="56"/>
      <c r="AY805" s="56"/>
      <c r="AZ805" s="56"/>
      <c r="BA805" s="56"/>
      <c r="BB805" s="56"/>
      <c r="BC805" s="56"/>
    </row>
    <row r="806" customFormat="false" ht="21.75" hidden="false" customHeight="true" outlineLevel="0" collapsed="false">
      <c r="B806" s="54" t="n">
        <v>9</v>
      </c>
      <c r="C806" s="54"/>
      <c r="D806" s="55"/>
      <c r="E806" s="55"/>
      <c r="F806" s="55"/>
      <c r="G806" s="55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  <c r="AF806" s="56"/>
      <c r="AG806" s="56"/>
      <c r="AH806" s="56"/>
      <c r="AI806" s="56"/>
      <c r="AJ806" s="56"/>
      <c r="AK806" s="56"/>
      <c r="AL806" s="56"/>
      <c r="AM806" s="56"/>
      <c r="AN806" s="56"/>
      <c r="AO806" s="56"/>
      <c r="AP806" s="56"/>
      <c r="AQ806" s="56"/>
      <c r="AR806" s="56"/>
      <c r="AS806" s="56"/>
      <c r="AT806" s="56"/>
      <c r="AU806" s="56"/>
      <c r="AV806" s="56"/>
      <c r="AW806" s="56"/>
      <c r="AX806" s="56"/>
      <c r="AY806" s="56"/>
      <c r="AZ806" s="56"/>
      <c r="BA806" s="56"/>
      <c r="BB806" s="56"/>
      <c r="BC806" s="56"/>
    </row>
    <row r="807" customFormat="false" ht="21.75" hidden="false" customHeight="true" outlineLevel="0" collapsed="false">
      <c r="B807" s="54" t="n">
        <v>10</v>
      </c>
      <c r="C807" s="54"/>
      <c r="D807" s="55"/>
      <c r="E807" s="55"/>
      <c r="F807" s="55"/>
      <c r="G807" s="55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  <c r="AF807" s="56"/>
      <c r="AG807" s="56"/>
      <c r="AH807" s="56"/>
      <c r="AI807" s="56"/>
      <c r="AJ807" s="56"/>
      <c r="AK807" s="56"/>
      <c r="AL807" s="56"/>
      <c r="AM807" s="56"/>
      <c r="AN807" s="56"/>
      <c r="AO807" s="56"/>
      <c r="AP807" s="56"/>
      <c r="AQ807" s="56"/>
      <c r="AR807" s="56"/>
      <c r="AS807" s="56"/>
      <c r="AT807" s="56"/>
      <c r="AU807" s="56"/>
      <c r="AV807" s="56"/>
      <c r="AW807" s="56"/>
      <c r="AX807" s="56"/>
      <c r="AY807" s="56"/>
      <c r="AZ807" s="56"/>
      <c r="BA807" s="56"/>
      <c r="BB807" s="56"/>
      <c r="BC807" s="56"/>
    </row>
    <row r="808" customFormat="false" ht="21.75" hidden="false" customHeight="true" outlineLevel="0" collapsed="false">
      <c r="B808" s="54" t="n">
        <v>11</v>
      </c>
      <c r="C808" s="54"/>
      <c r="D808" s="55"/>
      <c r="E808" s="55"/>
      <c r="F808" s="55"/>
      <c r="G808" s="55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  <c r="AF808" s="56"/>
      <c r="AG808" s="56"/>
      <c r="AH808" s="56"/>
      <c r="AI808" s="56"/>
      <c r="AJ808" s="56"/>
      <c r="AK808" s="56"/>
      <c r="AL808" s="56"/>
      <c r="AM808" s="56"/>
      <c r="AN808" s="56"/>
      <c r="AO808" s="56"/>
      <c r="AP808" s="56"/>
      <c r="AQ808" s="56"/>
      <c r="AR808" s="56"/>
      <c r="AS808" s="56"/>
      <c r="AT808" s="56"/>
      <c r="AU808" s="56"/>
      <c r="AV808" s="56"/>
      <c r="AW808" s="56"/>
      <c r="AX808" s="56"/>
      <c r="AY808" s="56"/>
      <c r="AZ808" s="56"/>
      <c r="BA808" s="56"/>
      <c r="BB808" s="56"/>
      <c r="BC808" s="56"/>
    </row>
    <row r="809" customFormat="false" ht="21.75" hidden="false" customHeight="true" outlineLevel="0" collapsed="false">
      <c r="B809" s="54" t="n">
        <v>12</v>
      </c>
      <c r="C809" s="54"/>
      <c r="D809" s="55"/>
      <c r="E809" s="55"/>
      <c r="F809" s="55"/>
      <c r="G809" s="55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  <c r="AF809" s="56"/>
      <c r="AG809" s="56"/>
      <c r="AH809" s="56"/>
      <c r="AI809" s="56"/>
      <c r="AJ809" s="56"/>
      <c r="AK809" s="56"/>
      <c r="AL809" s="56"/>
      <c r="AM809" s="56"/>
      <c r="AN809" s="56"/>
      <c r="AO809" s="56"/>
      <c r="AP809" s="56"/>
      <c r="AQ809" s="56"/>
      <c r="AR809" s="56"/>
      <c r="AS809" s="56"/>
      <c r="AT809" s="56"/>
      <c r="AU809" s="56"/>
      <c r="AV809" s="56"/>
      <c r="AW809" s="56"/>
      <c r="AX809" s="56"/>
      <c r="AY809" s="56"/>
      <c r="AZ809" s="56"/>
      <c r="BA809" s="56"/>
      <c r="BB809" s="56"/>
      <c r="BC809" s="56"/>
    </row>
    <row r="810" customFormat="false" ht="21.75" hidden="false" customHeight="true" outlineLevel="0" collapsed="false">
      <c r="B810" s="54" t="n">
        <v>13</v>
      </c>
      <c r="C810" s="54"/>
      <c r="D810" s="55"/>
      <c r="E810" s="55"/>
      <c r="F810" s="55"/>
      <c r="G810" s="55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6"/>
      <c r="AG810" s="56"/>
      <c r="AH810" s="56"/>
      <c r="AI810" s="56"/>
      <c r="AJ810" s="56"/>
      <c r="AK810" s="56"/>
      <c r="AL810" s="56"/>
      <c r="AM810" s="56"/>
      <c r="AN810" s="56"/>
      <c r="AO810" s="56"/>
      <c r="AP810" s="56"/>
      <c r="AQ810" s="56"/>
      <c r="AR810" s="56"/>
      <c r="AS810" s="56"/>
      <c r="AT810" s="56"/>
      <c r="AU810" s="56"/>
      <c r="AV810" s="56"/>
      <c r="AW810" s="56"/>
      <c r="AX810" s="56"/>
      <c r="AY810" s="56"/>
      <c r="AZ810" s="56"/>
      <c r="BA810" s="56"/>
      <c r="BB810" s="56"/>
      <c r="BC810" s="56"/>
    </row>
    <row r="811" customFormat="false" ht="21.75" hidden="false" customHeight="true" outlineLevel="0" collapsed="false">
      <c r="B811" s="54" t="n">
        <v>14</v>
      </c>
      <c r="C811" s="54"/>
      <c r="D811" s="55"/>
      <c r="E811" s="55"/>
      <c r="F811" s="55"/>
      <c r="G811" s="55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  <c r="AF811" s="56"/>
      <c r="AG811" s="56"/>
      <c r="AH811" s="56"/>
      <c r="AI811" s="56"/>
      <c r="AJ811" s="56"/>
      <c r="AK811" s="56"/>
      <c r="AL811" s="56"/>
      <c r="AM811" s="56"/>
      <c r="AN811" s="56"/>
      <c r="AO811" s="56"/>
      <c r="AP811" s="56"/>
      <c r="AQ811" s="56"/>
      <c r="AR811" s="56"/>
      <c r="AS811" s="56"/>
      <c r="AT811" s="56"/>
      <c r="AU811" s="56"/>
      <c r="AV811" s="56"/>
      <c r="AW811" s="56"/>
      <c r="AX811" s="56"/>
      <c r="AY811" s="56"/>
      <c r="AZ811" s="56"/>
      <c r="BA811" s="56"/>
      <c r="BB811" s="56"/>
      <c r="BC811" s="56"/>
    </row>
    <row r="812" customFormat="false" ht="21.75" hidden="false" customHeight="true" outlineLevel="0" collapsed="false">
      <c r="B812" s="54" t="n">
        <v>15</v>
      </c>
      <c r="C812" s="54"/>
      <c r="D812" s="55"/>
      <c r="E812" s="55"/>
      <c r="F812" s="55"/>
      <c r="G812" s="55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  <c r="AF812" s="56"/>
      <c r="AG812" s="56"/>
      <c r="AH812" s="56"/>
      <c r="AI812" s="56"/>
      <c r="AJ812" s="56"/>
      <c r="AK812" s="56"/>
      <c r="AL812" s="56"/>
      <c r="AM812" s="56"/>
      <c r="AN812" s="56"/>
      <c r="AO812" s="56"/>
      <c r="AP812" s="56"/>
      <c r="AQ812" s="56"/>
      <c r="AR812" s="56"/>
      <c r="AS812" s="56"/>
      <c r="AT812" s="56"/>
      <c r="AU812" s="56"/>
      <c r="AV812" s="56"/>
      <c r="AW812" s="56"/>
      <c r="AX812" s="56"/>
      <c r="AY812" s="56"/>
      <c r="AZ812" s="56"/>
      <c r="BA812" s="56"/>
      <c r="BB812" s="56"/>
      <c r="BC812" s="56"/>
    </row>
    <row r="813" customFormat="false" ht="21.75" hidden="false" customHeight="true" outlineLevel="0" collapsed="false">
      <c r="B813" s="54" t="n">
        <v>16</v>
      </c>
      <c r="C813" s="54"/>
      <c r="D813" s="55"/>
      <c r="E813" s="55"/>
      <c r="F813" s="55"/>
      <c r="G813" s="55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  <c r="AF813" s="56"/>
      <c r="AG813" s="56"/>
      <c r="AH813" s="56"/>
      <c r="AI813" s="56"/>
      <c r="AJ813" s="56"/>
      <c r="AK813" s="56"/>
      <c r="AL813" s="56"/>
      <c r="AM813" s="56"/>
      <c r="AN813" s="56"/>
      <c r="AO813" s="56"/>
      <c r="AP813" s="56"/>
      <c r="AQ813" s="56"/>
      <c r="AR813" s="56"/>
      <c r="AS813" s="56"/>
      <c r="AT813" s="56"/>
      <c r="AU813" s="56"/>
      <c r="AV813" s="56"/>
      <c r="AW813" s="56"/>
      <c r="AX813" s="56"/>
      <c r="AY813" s="56"/>
      <c r="AZ813" s="56"/>
      <c r="BA813" s="56"/>
      <c r="BB813" s="56"/>
      <c r="BC813" s="56"/>
    </row>
    <row r="814" customFormat="false" ht="21.75" hidden="false" customHeight="true" outlineLevel="0" collapsed="false">
      <c r="B814" s="54" t="n">
        <v>17</v>
      </c>
      <c r="C814" s="54"/>
      <c r="D814" s="55"/>
      <c r="E814" s="55"/>
      <c r="F814" s="55"/>
      <c r="G814" s="55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  <c r="AF814" s="56"/>
      <c r="AG814" s="56"/>
      <c r="AH814" s="56"/>
      <c r="AI814" s="56"/>
      <c r="AJ814" s="56"/>
      <c r="AK814" s="56"/>
      <c r="AL814" s="56"/>
      <c r="AM814" s="56"/>
      <c r="AN814" s="56"/>
      <c r="AO814" s="56"/>
      <c r="AP814" s="56"/>
      <c r="AQ814" s="56"/>
      <c r="AR814" s="56"/>
      <c r="AS814" s="56"/>
      <c r="AT814" s="56"/>
      <c r="AU814" s="56"/>
      <c r="AV814" s="56"/>
      <c r="AW814" s="56"/>
      <c r="AX814" s="56"/>
      <c r="AY814" s="56"/>
      <c r="AZ814" s="56"/>
      <c r="BA814" s="56"/>
      <c r="BB814" s="56"/>
      <c r="BC814" s="56"/>
    </row>
    <row r="815" customFormat="false" ht="21.75" hidden="false" customHeight="true" outlineLevel="0" collapsed="false">
      <c r="B815" s="54" t="n">
        <v>18</v>
      </c>
      <c r="C815" s="54"/>
      <c r="D815" s="55"/>
      <c r="E815" s="55"/>
      <c r="F815" s="55"/>
      <c r="G815" s="55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  <c r="AF815" s="56"/>
      <c r="AG815" s="56"/>
      <c r="AH815" s="56"/>
      <c r="AI815" s="56"/>
      <c r="AJ815" s="56"/>
      <c r="AK815" s="56"/>
      <c r="AL815" s="56"/>
      <c r="AM815" s="56"/>
      <c r="AN815" s="56"/>
      <c r="AO815" s="56"/>
      <c r="AP815" s="56"/>
      <c r="AQ815" s="56"/>
      <c r="AR815" s="56"/>
      <c r="AS815" s="56"/>
      <c r="AT815" s="56"/>
      <c r="AU815" s="56"/>
      <c r="AV815" s="56"/>
      <c r="AW815" s="56"/>
      <c r="AX815" s="56"/>
      <c r="AY815" s="56"/>
      <c r="AZ815" s="56"/>
      <c r="BA815" s="56"/>
      <c r="BB815" s="56"/>
      <c r="BC815" s="56"/>
    </row>
    <row r="816" customFormat="false" ht="21.75" hidden="false" customHeight="true" outlineLevel="0" collapsed="false">
      <c r="B816" s="54" t="n">
        <v>19</v>
      </c>
      <c r="C816" s="54"/>
      <c r="D816" s="55"/>
      <c r="E816" s="55"/>
      <c r="F816" s="55"/>
      <c r="G816" s="55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  <c r="AF816" s="56"/>
      <c r="AG816" s="56"/>
      <c r="AH816" s="56"/>
      <c r="AI816" s="56"/>
      <c r="AJ816" s="56"/>
      <c r="AK816" s="56"/>
      <c r="AL816" s="56"/>
      <c r="AM816" s="56"/>
      <c r="AN816" s="56"/>
      <c r="AO816" s="56"/>
      <c r="AP816" s="56"/>
      <c r="AQ816" s="56"/>
      <c r="AR816" s="56"/>
      <c r="AS816" s="56"/>
      <c r="AT816" s="56"/>
      <c r="AU816" s="56"/>
      <c r="AV816" s="56"/>
      <c r="AW816" s="56"/>
      <c r="AX816" s="56"/>
      <c r="AY816" s="56"/>
      <c r="AZ816" s="56"/>
      <c r="BA816" s="56"/>
      <c r="BB816" s="56"/>
      <c r="BC816" s="56"/>
    </row>
    <row r="817" customFormat="false" ht="21.75" hidden="false" customHeight="true" outlineLevel="0" collapsed="false">
      <c r="B817" s="54" t="n">
        <v>20</v>
      </c>
      <c r="C817" s="54"/>
      <c r="D817" s="55"/>
      <c r="E817" s="55"/>
      <c r="F817" s="55"/>
      <c r="G817" s="55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6"/>
      <c r="AG817" s="56"/>
      <c r="AH817" s="56"/>
      <c r="AI817" s="56"/>
      <c r="AJ817" s="56"/>
      <c r="AK817" s="56"/>
      <c r="AL817" s="56"/>
      <c r="AM817" s="56"/>
      <c r="AN817" s="56"/>
      <c r="AO817" s="56"/>
      <c r="AP817" s="56"/>
      <c r="AQ817" s="56"/>
      <c r="AR817" s="56"/>
      <c r="AS817" s="56"/>
      <c r="AT817" s="56"/>
      <c r="AU817" s="56"/>
      <c r="AV817" s="56"/>
      <c r="AW817" s="56"/>
      <c r="AX817" s="56"/>
      <c r="AY817" s="56"/>
      <c r="AZ817" s="56"/>
      <c r="BA817" s="56"/>
      <c r="BB817" s="56"/>
      <c r="BC817" s="56"/>
    </row>
    <row r="818" customFormat="false" ht="21.75" hidden="false" customHeight="true" outlineLevel="0" collapsed="false">
      <c r="B818" s="54" t="n">
        <v>21</v>
      </c>
      <c r="C818" s="54"/>
      <c r="D818" s="55"/>
      <c r="E818" s="55"/>
      <c r="F818" s="55"/>
      <c r="G818" s="55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6"/>
      <c r="AG818" s="56"/>
      <c r="AH818" s="56"/>
      <c r="AI818" s="56"/>
      <c r="AJ818" s="56"/>
      <c r="AK818" s="56"/>
      <c r="AL818" s="56"/>
      <c r="AM818" s="56"/>
      <c r="AN818" s="56"/>
      <c r="AO818" s="56"/>
      <c r="AP818" s="56"/>
      <c r="AQ818" s="56"/>
      <c r="AR818" s="56"/>
      <c r="AS818" s="56"/>
      <c r="AT818" s="56"/>
      <c r="AU818" s="56"/>
      <c r="AV818" s="56"/>
      <c r="AW818" s="56"/>
      <c r="AX818" s="56"/>
      <c r="AY818" s="56"/>
      <c r="AZ818" s="56"/>
      <c r="BA818" s="56"/>
      <c r="BB818" s="56"/>
      <c r="BC818" s="56"/>
    </row>
    <row r="819" customFormat="false" ht="21.75" hidden="false" customHeight="true" outlineLevel="0" collapsed="false">
      <c r="B819" s="54" t="n">
        <v>22</v>
      </c>
      <c r="C819" s="54"/>
      <c r="D819" s="55"/>
      <c r="E819" s="55"/>
      <c r="F819" s="55"/>
      <c r="G819" s="55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6"/>
      <c r="AG819" s="56"/>
      <c r="AH819" s="56"/>
      <c r="AI819" s="56"/>
      <c r="AJ819" s="56"/>
      <c r="AK819" s="56"/>
      <c r="AL819" s="56"/>
      <c r="AM819" s="56"/>
      <c r="AN819" s="56"/>
      <c r="AO819" s="56"/>
      <c r="AP819" s="56"/>
      <c r="AQ819" s="56"/>
      <c r="AR819" s="56"/>
      <c r="AS819" s="56"/>
      <c r="AT819" s="56"/>
      <c r="AU819" s="56"/>
      <c r="AV819" s="56"/>
      <c r="AW819" s="56"/>
      <c r="AX819" s="56"/>
      <c r="AY819" s="56"/>
      <c r="AZ819" s="56"/>
      <c r="BA819" s="56"/>
      <c r="BB819" s="56"/>
      <c r="BC819" s="56"/>
    </row>
    <row r="820" customFormat="false" ht="21.75" hidden="false" customHeight="true" outlineLevel="0" collapsed="false">
      <c r="B820" s="54" t="n">
        <v>23</v>
      </c>
      <c r="C820" s="54"/>
      <c r="D820" s="55"/>
      <c r="E820" s="55"/>
      <c r="F820" s="55"/>
      <c r="G820" s="55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6"/>
      <c r="AG820" s="56"/>
      <c r="AH820" s="56"/>
      <c r="AI820" s="56"/>
      <c r="AJ820" s="56"/>
      <c r="AK820" s="56"/>
      <c r="AL820" s="56"/>
      <c r="AM820" s="56"/>
      <c r="AN820" s="56"/>
      <c r="AO820" s="56"/>
      <c r="AP820" s="56"/>
      <c r="AQ820" s="56"/>
      <c r="AR820" s="56"/>
      <c r="AS820" s="56"/>
      <c r="AT820" s="56"/>
      <c r="AU820" s="56"/>
      <c r="AV820" s="56"/>
      <c r="AW820" s="56"/>
      <c r="AX820" s="56"/>
      <c r="AY820" s="56"/>
      <c r="AZ820" s="56"/>
      <c r="BA820" s="56"/>
      <c r="BB820" s="56"/>
      <c r="BC820" s="56"/>
    </row>
    <row r="821" customFormat="false" ht="21.75" hidden="false" customHeight="true" outlineLevel="0" collapsed="false">
      <c r="B821" s="54" t="n">
        <v>24</v>
      </c>
      <c r="C821" s="54"/>
      <c r="D821" s="55"/>
      <c r="E821" s="55"/>
      <c r="F821" s="55"/>
      <c r="G821" s="55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  <c r="AF821" s="56"/>
      <c r="AG821" s="56"/>
      <c r="AH821" s="56"/>
      <c r="AI821" s="56"/>
      <c r="AJ821" s="56"/>
      <c r="AK821" s="56"/>
      <c r="AL821" s="56"/>
      <c r="AM821" s="56"/>
      <c r="AN821" s="56"/>
      <c r="AO821" s="56"/>
      <c r="AP821" s="56"/>
      <c r="AQ821" s="56"/>
      <c r="AR821" s="56"/>
      <c r="AS821" s="56"/>
      <c r="AT821" s="56"/>
      <c r="AU821" s="56"/>
      <c r="AV821" s="56"/>
      <c r="AW821" s="56"/>
      <c r="AX821" s="56"/>
      <c r="AY821" s="56"/>
      <c r="AZ821" s="56"/>
      <c r="BA821" s="56"/>
      <c r="BB821" s="56"/>
      <c r="BC821" s="56"/>
    </row>
    <row r="822" customFormat="false" ht="21.75" hidden="false" customHeight="true" outlineLevel="0" collapsed="false">
      <c r="B822" s="54" t="n">
        <v>25</v>
      </c>
      <c r="C822" s="54"/>
      <c r="D822" s="55"/>
      <c r="E822" s="55"/>
      <c r="F822" s="55"/>
      <c r="G822" s="55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6"/>
      <c r="AG822" s="56"/>
      <c r="AH822" s="56"/>
      <c r="AI822" s="56"/>
      <c r="AJ822" s="56"/>
      <c r="AK822" s="56"/>
      <c r="AL822" s="56"/>
      <c r="AM822" s="56"/>
      <c r="AN822" s="56"/>
      <c r="AO822" s="56"/>
      <c r="AP822" s="56"/>
      <c r="AQ822" s="56"/>
      <c r="AR822" s="56"/>
      <c r="AS822" s="56"/>
      <c r="AT822" s="56"/>
      <c r="AU822" s="56"/>
      <c r="AV822" s="56"/>
      <c r="AW822" s="56"/>
      <c r="AX822" s="56"/>
      <c r="AY822" s="56"/>
      <c r="AZ822" s="56"/>
      <c r="BA822" s="56"/>
      <c r="BB822" s="56"/>
      <c r="BC822" s="56"/>
    </row>
    <row r="823" customFormat="false" ht="21.75" hidden="false" customHeight="true" outlineLevel="0" collapsed="false">
      <c r="B823" s="54" t="n">
        <v>26</v>
      </c>
      <c r="C823" s="54"/>
      <c r="D823" s="55"/>
      <c r="E823" s="55"/>
      <c r="F823" s="55"/>
      <c r="G823" s="55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  <c r="AF823" s="56"/>
      <c r="AG823" s="56"/>
      <c r="AH823" s="56"/>
      <c r="AI823" s="56"/>
      <c r="AJ823" s="56"/>
      <c r="AK823" s="56"/>
      <c r="AL823" s="56"/>
      <c r="AM823" s="56"/>
      <c r="AN823" s="56"/>
      <c r="AO823" s="56"/>
      <c r="AP823" s="56"/>
      <c r="AQ823" s="56"/>
      <c r="AR823" s="56"/>
      <c r="AS823" s="56"/>
      <c r="AT823" s="56"/>
      <c r="AU823" s="56"/>
      <c r="AV823" s="56"/>
      <c r="AW823" s="56"/>
      <c r="AX823" s="56"/>
      <c r="AY823" s="56"/>
      <c r="AZ823" s="56"/>
      <c r="BA823" s="56"/>
      <c r="BB823" s="56"/>
      <c r="BC823" s="56"/>
    </row>
    <row r="824" customFormat="false" ht="21.75" hidden="false" customHeight="true" outlineLevel="0" collapsed="false">
      <c r="B824" s="54" t="n">
        <v>27</v>
      </c>
      <c r="C824" s="54"/>
      <c r="D824" s="55"/>
      <c r="E824" s="55"/>
      <c r="F824" s="55"/>
      <c r="G824" s="55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  <c r="AF824" s="56"/>
      <c r="AG824" s="56"/>
      <c r="AH824" s="56"/>
      <c r="AI824" s="56"/>
      <c r="AJ824" s="56"/>
      <c r="AK824" s="56"/>
      <c r="AL824" s="56"/>
      <c r="AM824" s="56"/>
      <c r="AN824" s="56"/>
      <c r="AO824" s="56"/>
      <c r="AP824" s="56"/>
      <c r="AQ824" s="56"/>
      <c r="AR824" s="56"/>
      <c r="AS824" s="56"/>
      <c r="AT824" s="56"/>
      <c r="AU824" s="56"/>
      <c r="AV824" s="56"/>
      <c r="AW824" s="56"/>
      <c r="AX824" s="56"/>
      <c r="AY824" s="56"/>
      <c r="AZ824" s="56"/>
      <c r="BA824" s="56"/>
      <c r="BB824" s="56"/>
      <c r="BC824" s="56"/>
    </row>
    <row r="825" customFormat="false" ht="21.75" hidden="false" customHeight="true" outlineLevel="0" collapsed="false">
      <c r="B825" s="54" t="n">
        <v>28</v>
      </c>
      <c r="C825" s="54"/>
      <c r="D825" s="55"/>
      <c r="E825" s="55"/>
      <c r="F825" s="55"/>
      <c r="G825" s="55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  <c r="AF825" s="56"/>
      <c r="AG825" s="56"/>
      <c r="AH825" s="56"/>
      <c r="AI825" s="56"/>
      <c r="AJ825" s="56"/>
      <c r="AK825" s="56"/>
      <c r="AL825" s="56"/>
      <c r="AM825" s="56"/>
      <c r="AN825" s="56"/>
      <c r="AO825" s="56"/>
      <c r="AP825" s="56"/>
      <c r="AQ825" s="56"/>
      <c r="AR825" s="56"/>
      <c r="AS825" s="56"/>
      <c r="AT825" s="56"/>
      <c r="AU825" s="56"/>
      <c r="AV825" s="56"/>
      <c r="AW825" s="56"/>
      <c r="AX825" s="56"/>
      <c r="AY825" s="56"/>
      <c r="AZ825" s="56"/>
      <c r="BA825" s="56"/>
      <c r="BB825" s="56"/>
      <c r="BC825" s="56"/>
    </row>
    <row r="826" customFormat="false" ht="21.75" hidden="false" customHeight="true" outlineLevel="0" collapsed="false">
      <c r="B826" s="54" t="n">
        <v>29</v>
      </c>
      <c r="C826" s="54"/>
      <c r="D826" s="55"/>
      <c r="E826" s="55"/>
      <c r="F826" s="55"/>
      <c r="G826" s="55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  <c r="AF826" s="56"/>
      <c r="AG826" s="56"/>
      <c r="AH826" s="56"/>
      <c r="AI826" s="56"/>
      <c r="AJ826" s="56"/>
      <c r="AK826" s="56"/>
      <c r="AL826" s="56"/>
      <c r="AM826" s="56"/>
      <c r="AN826" s="56"/>
      <c r="AO826" s="56"/>
      <c r="AP826" s="56"/>
      <c r="AQ826" s="56"/>
      <c r="AR826" s="56"/>
      <c r="AS826" s="56"/>
      <c r="AT826" s="56"/>
      <c r="AU826" s="56"/>
      <c r="AV826" s="56"/>
      <c r="AW826" s="56"/>
      <c r="AX826" s="56"/>
      <c r="AY826" s="56"/>
      <c r="AZ826" s="56"/>
      <c r="BA826" s="56"/>
      <c r="BB826" s="56"/>
      <c r="BC826" s="56"/>
    </row>
    <row r="827" customFormat="false" ht="21.75" hidden="false" customHeight="true" outlineLevel="0" collapsed="false">
      <c r="B827" s="54" t="n">
        <v>30</v>
      </c>
      <c r="C827" s="54"/>
      <c r="D827" s="55"/>
      <c r="E827" s="55"/>
      <c r="F827" s="55"/>
      <c r="G827" s="55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  <c r="AF827" s="56"/>
      <c r="AG827" s="56"/>
      <c r="AH827" s="56"/>
      <c r="AI827" s="56"/>
      <c r="AJ827" s="56"/>
      <c r="AK827" s="56"/>
      <c r="AL827" s="56"/>
      <c r="AM827" s="56"/>
      <c r="AN827" s="56"/>
      <c r="AO827" s="56"/>
      <c r="AP827" s="56"/>
      <c r="AQ827" s="56"/>
      <c r="AR827" s="56"/>
      <c r="AS827" s="56"/>
      <c r="AT827" s="56"/>
      <c r="AU827" s="56"/>
      <c r="AV827" s="56"/>
      <c r="AW827" s="56"/>
      <c r="AX827" s="56"/>
      <c r="AY827" s="56"/>
      <c r="AZ827" s="56"/>
      <c r="BA827" s="56"/>
      <c r="BB827" s="56"/>
      <c r="BC827" s="56"/>
    </row>
    <row r="828" customFormat="false" ht="21.75" hidden="false" customHeight="true" outlineLevel="0" collapsed="false">
      <c r="B828" s="54" t="n">
        <v>31</v>
      </c>
      <c r="C828" s="54"/>
      <c r="D828" s="55"/>
      <c r="E828" s="55"/>
      <c r="F828" s="55"/>
      <c r="G828" s="55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  <c r="AF828" s="56"/>
      <c r="AG828" s="56"/>
      <c r="AH828" s="56"/>
      <c r="AI828" s="56"/>
      <c r="AJ828" s="56"/>
      <c r="AK828" s="56"/>
      <c r="AL828" s="56"/>
      <c r="AM828" s="56"/>
      <c r="AN828" s="56"/>
      <c r="AO828" s="56"/>
      <c r="AP828" s="56"/>
      <c r="AQ828" s="56"/>
      <c r="AR828" s="56"/>
      <c r="AS828" s="56"/>
      <c r="AT828" s="56"/>
      <c r="AU828" s="56"/>
      <c r="AV828" s="56"/>
      <c r="AW828" s="56"/>
      <c r="AX828" s="56"/>
      <c r="AY828" s="56"/>
      <c r="AZ828" s="56"/>
      <c r="BA828" s="56"/>
      <c r="BB828" s="56"/>
      <c r="BC828" s="56"/>
    </row>
    <row r="829" customFormat="false" ht="21.75" hidden="false" customHeight="true" outlineLevel="0" collapsed="false">
      <c r="B829" s="54" t="n">
        <v>32</v>
      </c>
      <c r="C829" s="54"/>
      <c r="D829" s="55"/>
      <c r="E829" s="55"/>
      <c r="F829" s="55"/>
      <c r="G829" s="55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  <c r="AF829" s="56"/>
      <c r="AG829" s="56"/>
      <c r="AH829" s="56"/>
      <c r="AI829" s="56"/>
      <c r="AJ829" s="56"/>
      <c r="AK829" s="56"/>
      <c r="AL829" s="56"/>
      <c r="AM829" s="56"/>
      <c r="AN829" s="56"/>
      <c r="AO829" s="56"/>
      <c r="AP829" s="56"/>
      <c r="AQ829" s="56"/>
      <c r="AR829" s="56"/>
      <c r="AS829" s="56"/>
      <c r="AT829" s="56"/>
      <c r="AU829" s="56"/>
      <c r="AV829" s="56"/>
      <c r="AW829" s="56"/>
      <c r="AX829" s="56"/>
      <c r="AY829" s="56"/>
      <c r="AZ829" s="56"/>
      <c r="BA829" s="56"/>
      <c r="BB829" s="56"/>
      <c r="BC829" s="56"/>
    </row>
    <row r="830" customFormat="false" ht="21.75" hidden="false" customHeight="true" outlineLevel="0" collapsed="false">
      <c r="B830" s="54" t="n">
        <v>33</v>
      </c>
      <c r="C830" s="54"/>
      <c r="D830" s="55"/>
      <c r="E830" s="55"/>
      <c r="F830" s="55"/>
      <c r="G830" s="55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6"/>
      <c r="AG830" s="56"/>
      <c r="AH830" s="56"/>
      <c r="AI830" s="56"/>
      <c r="AJ830" s="56"/>
      <c r="AK830" s="56"/>
      <c r="AL830" s="56"/>
      <c r="AM830" s="56"/>
      <c r="AN830" s="56"/>
      <c r="AO830" s="56"/>
      <c r="AP830" s="56"/>
      <c r="AQ830" s="56"/>
      <c r="AR830" s="56"/>
      <c r="AS830" s="56"/>
      <c r="AT830" s="56"/>
      <c r="AU830" s="56"/>
      <c r="AV830" s="56"/>
      <c r="AW830" s="56"/>
      <c r="AX830" s="56"/>
      <c r="AY830" s="56"/>
      <c r="AZ830" s="56"/>
      <c r="BA830" s="56"/>
      <c r="BB830" s="56"/>
      <c r="BC830" s="56"/>
    </row>
    <row r="831" customFormat="false" ht="21.75" hidden="false" customHeight="true" outlineLevel="0" collapsed="false">
      <c r="B831" s="54" t="n">
        <v>34</v>
      </c>
      <c r="C831" s="54"/>
      <c r="D831" s="55"/>
      <c r="E831" s="55"/>
      <c r="F831" s="55"/>
      <c r="G831" s="55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  <c r="AF831" s="56"/>
      <c r="AG831" s="56"/>
      <c r="AH831" s="56"/>
      <c r="AI831" s="56"/>
      <c r="AJ831" s="56"/>
      <c r="AK831" s="56"/>
      <c r="AL831" s="56"/>
      <c r="AM831" s="56"/>
      <c r="AN831" s="56"/>
      <c r="AO831" s="56"/>
      <c r="AP831" s="56"/>
      <c r="AQ831" s="56"/>
      <c r="AR831" s="56"/>
      <c r="AS831" s="56"/>
      <c r="AT831" s="56"/>
      <c r="AU831" s="56"/>
      <c r="AV831" s="56"/>
      <c r="AW831" s="56"/>
      <c r="AX831" s="56"/>
      <c r="AY831" s="56"/>
      <c r="AZ831" s="56"/>
      <c r="BA831" s="56"/>
      <c r="BB831" s="56"/>
      <c r="BC831" s="56"/>
    </row>
    <row r="832" customFormat="false" ht="21.75" hidden="false" customHeight="true" outlineLevel="0" collapsed="false">
      <c r="B832" s="54" t="n">
        <v>35</v>
      </c>
      <c r="C832" s="54"/>
      <c r="D832" s="55"/>
      <c r="E832" s="55"/>
      <c r="F832" s="55"/>
      <c r="G832" s="55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  <c r="AF832" s="56"/>
      <c r="AG832" s="56"/>
      <c r="AH832" s="56"/>
      <c r="AI832" s="56"/>
      <c r="AJ832" s="56"/>
      <c r="AK832" s="56"/>
      <c r="AL832" s="56"/>
      <c r="AM832" s="56"/>
      <c r="AN832" s="56"/>
      <c r="AO832" s="56"/>
      <c r="AP832" s="56"/>
      <c r="AQ832" s="56"/>
      <c r="AR832" s="56"/>
      <c r="AS832" s="56"/>
      <c r="AT832" s="56"/>
      <c r="AU832" s="56"/>
      <c r="AV832" s="56"/>
      <c r="AW832" s="56"/>
      <c r="AX832" s="56"/>
      <c r="AY832" s="56"/>
      <c r="AZ832" s="56"/>
      <c r="BA832" s="56"/>
      <c r="BB832" s="56"/>
      <c r="BC832" s="56"/>
    </row>
    <row r="833" customFormat="false" ht="21.75" hidden="false" customHeight="true" outlineLevel="0" collapsed="false">
      <c r="B833" s="54" t="n">
        <v>36</v>
      </c>
      <c r="C833" s="54"/>
      <c r="D833" s="55"/>
      <c r="E833" s="55"/>
      <c r="F833" s="55"/>
      <c r="G833" s="55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6"/>
      <c r="AG833" s="56"/>
      <c r="AH833" s="56"/>
      <c r="AI833" s="56"/>
      <c r="AJ833" s="56"/>
      <c r="AK833" s="56"/>
      <c r="AL833" s="56"/>
      <c r="AM833" s="56"/>
      <c r="AN833" s="56"/>
      <c r="AO833" s="56"/>
      <c r="AP833" s="56"/>
      <c r="AQ833" s="56"/>
      <c r="AR833" s="56"/>
      <c r="AS833" s="56"/>
      <c r="AT833" s="56"/>
      <c r="AU833" s="56"/>
      <c r="AV833" s="56"/>
      <c r="AW833" s="56"/>
      <c r="AX833" s="56"/>
      <c r="AY833" s="56"/>
      <c r="AZ833" s="56"/>
      <c r="BA833" s="56"/>
      <c r="BB833" s="56"/>
      <c r="BC833" s="56"/>
    </row>
    <row r="834" customFormat="false" ht="21.75" hidden="false" customHeight="true" outlineLevel="0" collapsed="false">
      <c r="B834" s="54" t="n">
        <v>37</v>
      </c>
      <c r="C834" s="54"/>
      <c r="D834" s="55"/>
      <c r="E834" s="55"/>
      <c r="F834" s="55"/>
      <c r="G834" s="55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  <c r="AF834" s="56"/>
      <c r="AG834" s="56"/>
      <c r="AH834" s="56"/>
      <c r="AI834" s="56"/>
      <c r="AJ834" s="56"/>
      <c r="AK834" s="56"/>
      <c r="AL834" s="56"/>
      <c r="AM834" s="56"/>
      <c r="AN834" s="56"/>
      <c r="AO834" s="56"/>
      <c r="AP834" s="56"/>
      <c r="AQ834" s="56"/>
      <c r="AR834" s="56"/>
      <c r="AS834" s="56"/>
      <c r="AT834" s="56"/>
      <c r="AU834" s="56"/>
      <c r="AV834" s="56"/>
      <c r="AW834" s="56"/>
      <c r="AX834" s="56"/>
      <c r="AY834" s="56"/>
      <c r="AZ834" s="56"/>
      <c r="BA834" s="56"/>
      <c r="BB834" s="56"/>
      <c r="BC834" s="56"/>
    </row>
    <row r="835" customFormat="false" ht="21.75" hidden="false" customHeight="true" outlineLevel="0" collapsed="false">
      <c r="B835" s="54" t="n">
        <v>38</v>
      </c>
      <c r="C835" s="54"/>
      <c r="D835" s="55"/>
      <c r="E835" s="55"/>
      <c r="F835" s="55"/>
      <c r="G835" s="55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  <c r="AF835" s="56"/>
      <c r="AG835" s="56"/>
      <c r="AH835" s="56"/>
      <c r="AI835" s="56"/>
      <c r="AJ835" s="56"/>
      <c r="AK835" s="56"/>
      <c r="AL835" s="56"/>
      <c r="AM835" s="56"/>
      <c r="AN835" s="56"/>
      <c r="AO835" s="56"/>
      <c r="AP835" s="56"/>
      <c r="AQ835" s="56"/>
      <c r="AR835" s="56"/>
      <c r="AS835" s="56"/>
      <c r="AT835" s="56"/>
      <c r="AU835" s="56"/>
      <c r="AV835" s="56"/>
      <c r="AW835" s="56"/>
      <c r="AX835" s="56"/>
      <c r="AY835" s="56"/>
      <c r="AZ835" s="56"/>
      <c r="BA835" s="56"/>
      <c r="BB835" s="56"/>
      <c r="BC835" s="56"/>
    </row>
    <row r="836" customFormat="false" ht="21.75" hidden="false" customHeight="true" outlineLevel="0" collapsed="false">
      <c r="B836" s="54" t="n">
        <v>39</v>
      </c>
      <c r="C836" s="54"/>
      <c r="D836" s="55"/>
      <c r="E836" s="55"/>
      <c r="F836" s="55"/>
      <c r="G836" s="55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  <c r="AF836" s="56"/>
      <c r="AG836" s="56"/>
      <c r="AH836" s="56"/>
      <c r="AI836" s="56"/>
      <c r="AJ836" s="56"/>
      <c r="AK836" s="56"/>
      <c r="AL836" s="56"/>
      <c r="AM836" s="56"/>
      <c r="AN836" s="56"/>
      <c r="AO836" s="56"/>
      <c r="AP836" s="56"/>
      <c r="AQ836" s="56"/>
      <c r="AR836" s="56"/>
      <c r="AS836" s="56"/>
      <c r="AT836" s="56"/>
      <c r="AU836" s="56"/>
      <c r="AV836" s="56"/>
      <c r="AW836" s="56"/>
      <c r="AX836" s="56"/>
      <c r="AY836" s="56"/>
      <c r="AZ836" s="56"/>
      <c r="BA836" s="56"/>
      <c r="BB836" s="56"/>
      <c r="BC836" s="56"/>
    </row>
    <row r="837" customFormat="false" ht="21.75" hidden="false" customHeight="true" outlineLevel="0" collapsed="false">
      <c r="B837" s="54" t="n">
        <v>40</v>
      </c>
      <c r="C837" s="54"/>
      <c r="D837" s="55"/>
      <c r="E837" s="55"/>
      <c r="F837" s="55"/>
      <c r="G837" s="55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  <c r="AF837" s="56"/>
      <c r="AG837" s="56"/>
      <c r="AH837" s="56"/>
      <c r="AI837" s="56"/>
      <c r="AJ837" s="56"/>
      <c r="AK837" s="56"/>
      <c r="AL837" s="56"/>
      <c r="AM837" s="56"/>
      <c r="AN837" s="56"/>
      <c r="AO837" s="56"/>
      <c r="AP837" s="56"/>
      <c r="AQ837" s="56"/>
      <c r="AR837" s="56"/>
      <c r="AS837" s="56"/>
      <c r="AT837" s="56"/>
      <c r="AU837" s="56"/>
      <c r="AV837" s="56"/>
      <c r="AW837" s="56"/>
      <c r="AX837" s="56"/>
      <c r="AY837" s="56"/>
      <c r="AZ837" s="56"/>
      <c r="BA837" s="56"/>
      <c r="BB837" s="56"/>
      <c r="BC837" s="56"/>
    </row>
    <row r="838" customFormat="false" ht="24" hidden="false" customHeight="true" outlineLevel="0" collapsed="false">
      <c r="B838" s="57" t="s">
        <v>78</v>
      </c>
      <c r="C838" s="57"/>
      <c r="E838" s="58" t="s">
        <v>141</v>
      </c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  <c r="AD838" s="58"/>
      <c r="AE838" s="58"/>
      <c r="AF838" s="58"/>
      <c r="AG838" s="58"/>
      <c r="AH838" s="58"/>
      <c r="AI838" s="58"/>
      <c r="AJ838" s="58"/>
      <c r="AK838" s="58"/>
      <c r="AL838" s="58"/>
      <c r="AM838" s="58"/>
      <c r="AN838" s="58"/>
      <c r="AO838" s="58"/>
      <c r="AP838" s="58"/>
      <c r="AQ838" s="58"/>
      <c r="AR838" s="58"/>
      <c r="AS838" s="58"/>
      <c r="AT838" s="58"/>
      <c r="AU838" s="58"/>
      <c r="AV838" s="58"/>
      <c r="AW838" s="58"/>
      <c r="AX838" s="58"/>
      <c r="AY838" s="58"/>
      <c r="AZ838" s="58"/>
      <c r="BA838" s="58"/>
      <c r="BB838" s="58"/>
      <c r="BC838" s="58"/>
    </row>
    <row r="839" customFormat="false" ht="12" hidden="false" customHeight="true" outlineLevel="0" collapsed="false"/>
  </sheetData>
  <mergeCells count="5149">
    <mergeCell ref="C2:AQ2"/>
    <mergeCell ref="AU2:BA2"/>
    <mergeCell ref="C3:AQ3"/>
    <mergeCell ref="AR3:BA3"/>
    <mergeCell ref="C4:AQ4"/>
    <mergeCell ref="B8:S8"/>
    <mergeCell ref="U8:AE8"/>
    <mergeCell ref="AG8:AQ8"/>
    <mergeCell ref="AS8:BC8"/>
    <mergeCell ref="B9:S9"/>
    <mergeCell ref="U9:AE9"/>
    <mergeCell ref="AG9:AQ9"/>
    <mergeCell ref="AS9:BC9"/>
    <mergeCell ref="B11:BC11"/>
    <mergeCell ref="C13:AE13"/>
    <mergeCell ref="AF13:BC13"/>
    <mergeCell ref="C14:M14"/>
    <mergeCell ref="Q14:AA14"/>
    <mergeCell ref="AE14:AO14"/>
    <mergeCell ref="AS14:BB14"/>
    <mergeCell ref="C15:M15"/>
    <mergeCell ref="Q15:AA15"/>
    <mergeCell ref="AE15:AO15"/>
    <mergeCell ref="AS15:AW15"/>
    <mergeCell ref="AY15:BB15"/>
    <mergeCell ref="C16:M16"/>
    <mergeCell ref="Q16:AA16"/>
    <mergeCell ref="AE16:AO16"/>
    <mergeCell ref="AS16:AW16"/>
    <mergeCell ref="AY16:BB16"/>
    <mergeCell ref="C19:M19"/>
    <mergeCell ref="Q19:AA19"/>
    <mergeCell ref="AE19:AO19"/>
    <mergeCell ref="AS19:BB19"/>
    <mergeCell ref="C20:G20"/>
    <mergeCell ref="I20:M20"/>
    <mergeCell ref="Q20:U20"/>
    <mergeCell ref="W20:AA20"/>
    <mergeCell ref="AE20:AI20"/>
    <mergeCell ref="AK20:AO20"/>
    <mergeCell ref="AS20:BB20"/>
    <mergeCell ref="C21:G21"/>
    <mergeCell ref="I21:M21"/>
    <mergeCell ref="Q21:U21"/>
    <mergeCell ref="W21:AA21"/>
    <mergeCell ref="AE21:AI21"/>
    <mergeCell ref="AK21:AO21"/>
    <mergeCell ref="AS21:BB21"/>
    <mergeCell ref="C24:BC25"/>
    <mergeCell ref="C28:AK28"/>
    <mergeCell ref="AL28:BC28"/>
    <mergeCell ref="B29:C29"/>
    <mergeCell ref="D29:G29"/>
    <mergeCell ref="H29:N29"/>
    <mergeCell ref="O29:U29"/>
    <mergeCell ref="V29:Y29"/>
    <mergeCell ref="Z29:BC29"/>
    <mergeCell ref="B30:C30"/>
    <mergeCell ref="D30:G30"/>
    <mergeCell ref="H30:N30"/>
    <mergeCell ref="O30:U30"/>
    <mergeCell ref="V30:Y30"/>
    <mergeCell ref="Z30:BC30"/>
    <mergeCell ref="B31:C31"/>
    <mergeCell ref="D31:G31"/>
    <mergeCell ref="H31:N31"/>
    <mergeCell ref="O31:U31"/>
    <mergeCell ref="V31:Y31"/>
    <mergeCell ref="Z31:BC31"/>
    <mergeCell ref="B32:C32"/>
    <mergeCell ref="D32:G32"/>
    <mergeCell ref="H32:N32"/>
    <mergeCell ref="O32:U32"/>
    <mergeCell ref="V32:Y32"/>
    <mergeCell ref="Z32:BC32"/>
    <mergeCell ref="B33:C33"/>
    <mergeCell ref="D33:G33"/>
    <mergeCell ref="H33:N33"/>
    <mergeCell ref="O33:U33"/>
    <mergeCell ref="V33:Y33"/>
    <mergeCell ref="Z33:BC33"/>
    <mergeCell ref="B34:C34"/>
    <mergeCell ref="D34:G34"/>
    <mergeCell ref="H34:N34"/>
    <mergeCell ref="O34:U34"/>
    <mergeCell ref="V34:Y34"/>
    <mergeCell ref="Z34:BC34"/>
    <mergeCell ref="B35:C35"/>
    <mergeCell ref="D35:G35"/>
    <mergeCell ref="H35:N35"/>
    <mergeCell ref="O35:U35"/>
    <mergeCell ref="V35:Y35"/>
    <mergeCell ref="Z35:BC35"/>
    <mergeCell ref="B36:C36"/>
    <mergeCell ref="D36:G36"/>
    <mergeCell ref="H36:N36"/>
    <mergeCell ref="O36:U36"/>
    <mergeCell ref="V36:Y36"/>
    <mergeCell ref="Z36:BC36"/>
    <mergeCell ref="B37:C37"/>
    <mergeCell ref="D37:G37"/>
    <mergeCell ref="H37:N37"/>
    <mergeCell ref="O37:U37"/>
    <mergeCell ref="V37:Y37"/>
    <mergeCell ref="Z37:BC37"/>
    <mergeCell ref="B38:C38"/>
    <mergeCell ref="D38:G38"/>
    <mergeCell ref="H38:N38"/>
    <mergeCell ref="O38:U38"/>
    <mergeCell ref="V38:Y38"/>
    <mergeCell ref="Z38:BC38"/>
    <mergeCell ref="B39:C39"/>
    <mergeCell ref="D39:G39"/>
    <mergeCell ref="H39:N39"/>
    <mergeCell ref="O39:U39"/>
    <mergeCell ref="V39:Y39"/>
    <mergeCell ref="Z39:BC39"/>
    <mergeCell ref="B40:C40"/>
    <mergeCell ref="D40:G40"/>
    <mergeCell ref="H40:N40"/>
    <mergeCell ref="O40:U40"/>
    <mergeCell ref="V40:Y40"/>
    <mergeCell ref="Z40:BC40"/>
    <mergeCell ref="B41:C41"/>
    <mergeCell ref="D41:G41"/>
    <mergeCell ref="H41:N41"/>
    <mergeCell ref="O41:U41"/>
    <mergeCell ref="V41:Y41"/>
    <mergeCell ref="Z41:BC41"/>
    <mergeCell ref="B42:C42"/>
    <mergeCell ref="D42:G42"/>
    <mergeCell ref="H42:N42"/>
    <mergeCell ref="O42:U42"/>
    <mergeCell ref="V42:Y42"/>
    <mergeCell ref="Z42:BC42"/>
    <mergeCell ref="B43:C43"/>
    <mergeCell ref="D43:G43"/>
    <mergeCell ref="H43:N43"/>
    <mergeCell ref="O43:U43"/>
    <mergeCell ref="V43:Y43"/>
    <mergeCell ref="Z43:BC43"/>
    <mergeCell ref="B44:C44"/>
    <mergeCell ref="D44:G44"/>
    <mergeCell ref="H44:N44"/>
    <mergeCell ref="O44:U44"/>
    <mergeCell ref="V44:Y44"/>
    <mergeCell ref="Z44:BC44"/>
    <mergeCell ref="B45:C45"/>
    <mergeCell ref="D45:G45"/>
    <mergeCell ref="H45:N45"/>
    <mergeCell ref="O45:U45"/>
    <mergeCell ref="V45:Y45"/>
    <mergeCell ref="Z45:BC45"/>
    <mergeCell ref="B46:C46"/>
    <mergeCell ref="D46:G46"/>
    <mergeCell ref="H46:N46"/>
    <mergeCell ref="O46:U46"/>
    <mergeCell ref="V46:Y46"/>
    <mergeCell ref="Z46:BC46"/>
    <mergeCell ref="B47:C47"/>
    <mergeCell ref="D47:G47"/>
    <mergeCell ref="H47:N47"/>
    <mergeCell ref="O47:U47"/>
    <mergeCell ref="V47:Y47"/>
    <mergeCell ref="Z47:BC47"/>
    <mergeCell ref="B48:C48"/>
    <mergeCell ref="D48:G48"/>
    <mergeCell ref="H48:N48"/>
    <mergeCell ref="O48:U48"/>
    <mergeCell ref="V48:Y48"/>
    <mergeCell ref="Z48:BC48"/>
    <mergeCell ref="B49:C49"/>
    <mergeCell ref="D49:G49"/>
    <mergeCell ref="H49:N49"/>
    <mergeCell ref="O49:U49"/>
    <mergeCell ref="V49:Y49"/>
    <mergeCell ref="Z49:BC49"/>
    <mergeCell ref="B50:C50"/>
    <mergeCell ref="D50:G50"/>
    <mergeCell ref="H50:N50"/>
    <mergeCell ref="O50:U50"/>
    <mergeCell ref="V50:Y50"/>
    <mergeCell ref="Z50:BC50"/>
    <mergeCell ref="B51:C51"/>
    <mergeCell ref="D51:G51"/>
    <mergeCell ref="H51:N51"/>
    <mergeCell ref="O51:U51"/>
    <mergeCell ref="V51:Y51"/>
    <mergeCell ref="Z51:BC51"/>
    <mergeCell ref="B52:C52"/>
    <mergeCell ref="D52:G52"/>
    <mergeCell ref="H52:N52"/>
    <mergeCell ref="O52:U52"/>
    <mergeCell ref="V52:Y52"/>
    <mergeCell ref="Z52:BC52"/>
    <mergeCell ref="B53:C53"/>
    <mergeCell ref="D53:G53"/>
    <mergeCell ref="H53:N53"/>
    <mergeCell ref="O53:U53"/>
    <mergeCell ref="V53:Y53"/>
    <mergeCell ref="Z53:BC53"/>
    <mergeCell ref="B54:C54"/>
    <mergeCell ref="D54:G54"/>
    <mergeCell ref="H54:N54"/>
    <mergeCell ref="O54:U54"/>
    <mergeCell ref="V54:Y54"/>
    <mergeCell ref="Z54:BC54"/>
    <mergeCell ref="B55:C55"/>
    <mergeCell ref="D55:G55"/>
    <mergeCell ref="H55:N55"/>
    <mergeCell ref="O55:U55"/>
    <mergeCell ref="V55:Y55"/>
    <mergeCell ref="Z55:BC55"/>
    <mergeCell ref="B56:C56"/>
    <mergeCell ref="D56:G56"/>
    <mergeCell ref="H56:N56"/>
    <mergeCell ref="O56:U56"/>
    <mergeCell ref="V56:Y56"/>
    <mergeCell ref="Z56:BC56"/>
    <mergeCell ref="B57:C57"/>
    <mergeCell ref="D57:G57"/>
    <mergeCell ref="H57:N57"/>
    <mergeCell ref="O57:U57"/>
    <mergeCell ref="V57:Y57"/>
    <mergeCell ref="Z57:BC57"/>
    <mergeCell ref="B58:C58"/>
    <mergeCell ref="D58:G58"/>
    <mergeCell ref="H58:N58"/>
    <mergeCell ref="O58:U58"/>
    <mergeCell ref="V58:Y58"/>
    <mergeCell ref="Z58:BC58"/>
    <mergeCell ref="B59:C59"/>
    <mergeCell ref="D59:G59"/>
    <mergeCell ref="H59:N59"/>
    <mergeCell ref="O59:U59"/>
    <mergeCell ref="V59:Y59"/>
    <mergeCell ref="Z59:BC59"/>
    <mergeCell ref="B60:C60"/>
    <mergeCell ref="D60:G60"/>
    <mergeCell ref="H60:N60"/>
    <mergeCell ref="O60:U60"/>
    <mergeCell ref="V60:Y60"/>
    <mergeCell ref="Z60:BC60"/>
    <mergeCell ref="B61:C61"/>
    <mergeCell ref="D61:G61"/>
    <mergeCell ref="H61:N61"/>
    <mergeCell ref="O61:U61"/>
    <mergeCell ref="V61:Y61"/>
    <mergeCell ref="Z61:BC61"/>
    <mergeCell ref="B62:C62"/>
    <mergeCell ref="D62:G62"/>
    <mergeCell ref="H62:N62"/>
    <mergeCell ref="O62:U62"/>
    <mergeCell ref="V62:Y62"/>
    <mergeCell ref="Z62:BC62"/>
    <mergeCell ref="B63:C63"/>
    <mergeCell ref="D63:G63"/>
    <mergeCell ref="H63:N63"/>
    <mergeCell ref="O63:U63"/>
    <mergeCell ref="V63:Y63"/>
    <mergeCell ref="Z63:BC63"/>
    <mergeCell ref="B64:C64"/>
    <mergeCell ref="D64:G64"/>
    <mergeCell ref="H64:N64"/>
    <mergeCell ref="O64:U64"/>
    <mergeCell ref="V64:Y64"/>
    <mergeCell ref="Z64:BC64"/>
    <mergeCell ref="B65:C65"/>
    <mergeCell ref="D65:G65"/>
    <mergeCell ref="H65:N65"/>
    <mergeCell ref="O65:U65"/>
    <mergeCell ref="V65:Y65"/>
    <mergeCell ref="Z65:BC65"/>
    <mergeCell ref="B66:C66"/>
    <mergeCell ref="D66:G66"/>
    <mergeCell ref="H66:N66"/>
    <mergeCell ref="O66:U66"/>
    <mergeCell ref="V66:Y66"/>
    <mergeCell ref="Z66:BC66"/>
    <mergeCell ref="B67:C67"/>
    <mergeCell ref="D67:G67"/>
    <mergeCell ref="H67:N67"/>
    <mergeCell ref="O67:U67"/>
    <mergeCell ref="V67:Y67"/>
    <mergeCell ref="Z67:BC67"/>
    <mergeCell ref="B68:C68"/>
    <mergeCell ref="D68:G68"/>
    <mergeCell ref="H68:N68"/>
    <mergeCell ref="O68:U68"/>
    <mergeCell ref="V68:Y68"/>
    <mergeCell ref="Z68:BC68"/>
    <mergeCell ref="B69:C69"/>
    <mergeCell ref="D69:G69"/>
    <mergeCell ref="H69:N69"/>
    <mergeCell ref="O69:U69"/>
    <mergeCell ref="V69:Y69"/>
    <mergeCell ref="Z69:BC69"/>
    <mergeCell ref="B70:C70"/>
    <mergeCell ref="D70:G70"/>
    <mergeCell ref="H70:N70"/>
    <mergeCell ref="O70:U70"/>
    <mergeCell ref="V70:Y70"/>
    <mergeCell ref="Z70:BC70"/>
    <mergeCell ref="B71:C71"/>
    <mergeCell ref="D71:G71"/>
    <mergeCell ref="H71:N71"/>
    <mergeCell ref="O71:U71"/>
    <mergeCell ref="V71:Y71"/>
    <mergeCell ref="Z71:BC71"/>
    <mergeCell ref="B72:C72"/>
    <mergeCell ref="D72:G72"/>
    <mergeCell ref="H72:N72"/>
    <mergeCell ref="O72:U72"/>
    <mergeCell ref="V72:Y72"/>
    <mergeCell ref="Z72:BC72"/>
    <mergeCell ref="B73:C73"/>
    <mergeCell ref="D73:G73"/>
    <mergeCell ref="H73:N73"/>
    <mergeCell ref="O73:U73"/>
    <mergeCell ref="V73:Y73"/>
    <mergeCell ref="Z73:BC73"/>
    <mergeCell ref="B74:C74"/>
    <mergeCell ref="D74:G74"/>
    <mergeCell ref="H74:N74"/>
    <mergeCell ref="O74:U74"/>
    <mergeCell ref="V74:Y74"/>
    <mergeCell ref="Z74:BC74"/>
    <mergeCell ref="B75:C75"/>
    <mergeCell ref="D75:G75"/>
    <mergeCell ref="H75:N75"/>
    <mergeCell ref="O75:U75"/>
    <mergeCell ref="V75:Y75"/>
    <mergeCell ref="Z75:BC75"/>
    <mergeCell ref="B76:C76"/>
    <mergeCell ref="D76:G76"/>
    <mergeCell ref="H76:N76"/>
    <mergeCell ref="O76:U76"/>
    <mergeCell ref="V76:Y76"/>
    <mergeCell ref="Z76:BC76"/>
    <mergeCell ref="B77:C77"/>
    <mergeCell ref="D77:G77"/>
    <mergeCell ref="H77:N77"/>
    <mergeCell ref="O77:U77"/>
    <mergeCell ref="V77:Y77"/>
    <mergeCell ref="Z77:BC77"/>
    <mergeCell ref="B78:C78"/>
    <mergeCell ref="D78:G78"/>
    <mergeCell ref="H78:N78"/>
    <mergeCell ref="O78:U78"/>
    <mergeCell ref="V78:Y78"/>
    <mergeCell ref="Z78:BC78"/>
    <mergeCell ref="B79:C79"/>
    <mergeCell ref="D79:G79"/>
    <mergeCell ref="H79:N79"/>
    <mergeCell ref="O79:U79"/>
    <mergeCell ref="V79:Y79"/>
    <mergeCell ref="Z79:BC79"/>
    <mergeCell ref="B80:C80"/>
    <mergeCell ref="D80:G80"/>
    <mergeCell ref="H80:N80"/>
    <mergeCell ref="O80:U80"/>
    <mergeCell ref="V80:Y80"/>
    <mergeCell ref="Z80:BC80"/>
    <mergeCell ref="B81:C81"/>
    <mergeCell ref="D81:G81"/>
    <mergeCell ref="H81:N81"/>
    <mergeCell ref="O81:U81"/>
    <mergeCell ref="V81:Y81"/>
    <mergeCell ref="Z81:BC81"/>
    <mergeCell ref="B82:C82"/>
    <mergeCell ref="D82:G82"/>
    <mergeCell ref="H82:N82"/>
    <mergeCell ref="O82:U82"/>
    <mergeCell ref="V82:Y82"/>
    <mergeCell ref="Z82:BC82"/>
    <mergeCell ref="B83:C83"/>
    <mergeCell ref="D83:G83"/>
    <mergeCell ref="H83:N83"/>
    <mergeCell ref="O83:U83"/>
    <mergeCell ref="V83:Y83"/>
    <mergeCell ref="Z83:BC83"/>
    <mergeCell ref="B84:C84"/>
    <mergeCell ref="D84:G84"/>
    <mergeCell ref="H84:N84"/>
    <mergeCell ref="O84:U84"/>
    <mergeCell ref="V84:Y84"/>
    <mergeCell ref="Z84:BC84"/>
    <mergeCell ref="B85:C85"/>
    <mergeCell ref="D85:G85"/>
    <mergeCell ref="H85:N85"/>
    <mergeCell ref="O85:U85"/>
    <mergeCell ref="V85:Y85"/>
    <mergeCell ref="Z85:BC85"/>
    <mergeCell ref="B86:C86"/>
    <mergeCell ref="D86:G86"/>
    <mergeCell ref="H86:N86"/>
    <mergeCell ref="O86:U86"/>
    <mergeCell ref="V86:Y86"/>
    <mergeCell ref="Z86:BC86"/>
    <mergeCell ref="B87:C87"/>
    <mergeCell ref="D87:G87"/>
    <mergeCell ref="H87:N87"/>
    <mergeCell ref="O87:U87"/>
    <mergeCell ref="V87:Y87"/>
    <mergeCell ref="Z87:BC87"/>
    <mergeCell ref="B88:C88"/>
    <mergeCell ref="D88:G88"/>
    <mergeCell ref="H88:N88"/>
    <mergeCell ref="O88:U88"/>
    <mergeCell ref="V88:Y88"/>
    <mergeCell ref="Z88:BC88"/>
    <mergeCell ref="B89:C89"/>
    <mergeCell ref="D89:G89"/>
    <mergeCell ref="H89:N89"/>
    <mergeCell ref="O89:U89"/>
    <mergeCell ref="V89:Y89"/>
    <mergeCell ref="Z89:BC89"/>
    <mergeCell ref="B90:C90"/>
    <mergeCell ref="D90:G90"/>
    <mergeCell ref="H90:N90"/>
    <mergeCell ref="O90:U90"/>
    <mergeCell ref="V90:Y90"/>
    <mergeCell ref="Z90:BC90"/>
    <mergeCell ref="B91:C91"/>
    <mergeCell ref="D91:G91"/>
    <mergeCell ref="H91:N91"/>
    <mergeCell ref="O91:U91"/>
    <mergeCell ref="V91:Y91"/>
    <mergeCell ref="Z91:BC91"/>
    <mergeCell ref="B92:C92"/>
    <mergeCell ref="D92:G92"/>
    <mergeCell ref="H92:N92"/>
    <mergeCell ref="O92:U92"/>
    <mergeCell ref="V92:Y92"/>
    <mergeCell ref="Z92:BC92"/>
    <mergeCell ref="B93:C93"/>
    <mergeCell ref="D93:G93"/>
    <mergeCell ref="H93:N93"/>
    <mergeCell ref="O93:U93"/>
    <mergeCell ref="V93:Y93"/>
    <mergeCell ref="Z93:BC93"/>
    <mergeCell ref="B94:C94"/>
    <mergeCell ref="D94:G94"/>
    <mergeCell ref="H94:N94"/>
    <mergeCell ref="O94:U94"/>
    <mergeCell ref="V94:Y94"/>
    <mergeCell ref="Z94:BC94"/>
    <mergeCell ref="B95:C95"/>
    <mergeCell ref="D95:G95"/>
    <mergeCell ref="H95:N95"/>
    <mergeCell ref="O95:U95"/>
    <mergeCell ref="V95:Y95"/>
    <mergeCell ref="Z95:BC95"/>
    <mergeCell ref="B96:C96"/>
    <mergeCell ref="D96:G96"/>
    <mergeCell ref="H96:N96"/>
    <mergeCell ref="O96:U96"/>
    <mergeCell ref="V96:Y96"/>
    <mergeCell ref="Z96:BC96"/>
    <mergeCell ref="B97:C97"/>
    <mergeCell ref="D97:G97"/>
    <mergeCell ref="H97:N97"/>
    <mergeCell ref="O97:U97"/>
    <mergeCell ref="V97:Y97"/>
    <mergeCell ref="Z97:BC97"/>
    <mergeCell ref="B98:C98"/>
    <mergeCell ref="D98:G98"/>
    <mergeCell ref="H98:N98"/>
    <mergeCell ref="O98:U98"/>
    <mergeCell ref="V98:Y98"/>
    <mergeCell ref="Z98:BC98"/>
    <mergeCell ref="B99:C99"/>
    <mergeCell ref="D99:G99"/>
    <mergeCell ref="H99:N99"/>
    <mergeCell ref="O99:U99"/>
    <mergeCell ref="V99:Y99"/>
    <mergeCell ref="Z99:BC99"/>
    <mergeCell ref="B100:C100"/>
    <mergeCell ref="D100:G100"/>
    <mergeCell ref="H100:N100"/>
    <mergeCell ref="O100:U100"/>
    <mergeCell ref="V100:Y100"/>
    <mergeCell ref="Z100:BC100"/>
    <mergeCell ref="B101:C101"/>
    <mergeCell ref="D101:G101"/>
    <mergeCell ref="H101:N101"/>
    <mergeCell ref="O101:U101"/>
    <mergeCell ref="V101:Y101"/>
    <mergeCell ref="Z101:BC101"/>
    <mergeCell ref="B102:C102"/>
    <mergeCell ref="D102:G102"/>
    <mergeCell ref="H102:N102"/>
    <mergeCell ref="O102:U102"/>
    <mergeCell ref="V102:Y102"/>
    <mergeCell ref="Z102:BC102"/>
    <mergeCell ref="B103:C103"/>
    <mergeCell ref="D103:G103"/>
    <mergeCell ref="H103:N103"/>
    <mergeCell ref="O103:U103"/>
    <mergeCell ref="V103:Y103"/>
    <mergeCell ref="Z103:BC103"/>
    <mergeCell ref="B104:C104"/>
    <mergeCell ref="D104:G104"/>
    <mergeCell ref="H104:N104"/>
    <mergeCell ref="O104:U104"/>
    <mergeCell ref="V104:Y104"/>
    <mergeCell ref="Z104:BC104"/>
    <mergeCell ref="B105:C105"/>
    <mergeCell ref="D105:G105"/>
    <mergeCell ref="H105:N105"/>
    <mergeCell ref="O105:U105"/>
    <mergeCell ref="V105:Y105"/>
    <mergeCell ref="Z105:BC105"/>
    <mergeCell ref="B106:C106"/>
    <mergeCell ref="D106:G106"/>
    <mergeCell ref="H106:N106"/>
    <mergeCell ref="O106:U106"/>
    <mergeCell ref="V106:Y106"/>
    <mergeCell ref="Z106:BC106"/>
    <mergeCell ref="B107:C107"/>
    <mergeCell ref="D107:G107"/>
    <mergeCell ref="H107:N107"/>
    <mergeCell ref="O107:U107"/>
    <mergeCell ref="V107:Y107"/>
    <mergeCell ref="Z107:BC107"/>
    <mergeCell ref="B108:C108"/>
    <mergeCell ref="D108:G108"/>
    <mergeCell ref="H108:N108"/>
    <mergeCell ref="O108:U108"/>
    <mergeCell ref="V108:Y108"/>
    <mergeCell ref="Z108:BC108"/>
    <mergeCell ref="B109:C109"/>
    <mergeCell ref="D109:G109"/>
    <mergeCell ref="H109:N109"/>
    <mergeCell ref="O109:U109"/>
    <mergeCell ref="V109:Y109"/>
    <mergeCell ref="Z109:BC109"/>
    <mergeCell ref="B110:C110"/>
    <mergeCell ref="D110:G110"/>
    <mergeCell ref="H110:N110"/>
    <mergeCell ref="O110:U110"/>
    <mergeCell ref="V110:Y110"/>
    <mergeCell ref="Z110:BC110"/>
    <mergeCell ref="B111:C111"/>
    <mergeCell ref="D111:G111"/>
    <mergeCell ref="H111:N111"/>
    <mergeCell ref="O111:U111"/>
    <mergeCell ref="V111:Y111"/>
    <mergeCell ref="Z111:BC111"/>
    <mergeCell ref="B112:C112"/>
    <mergeCell ref="D112:G112"/>
    <mergeCell ref="H112:N112"/>
    <mergeCell ref="O112:U112"/>
    <mergeCell ref="V112:Y112"/>
    <mergeCell ref="Z112:BC112"/>
    <mergeCell ref="B113:C113"/>
    <mergeCell ref="D113:G113"/>
    <mergeCell ref="H113:N113"/>
    <mergeCell ref="O113:U113"/>
    <mergeCell ref="V113:Y113"/>
    <mergeCell ref="Z113:BC113"/>
    <mergeCell ref="B114:C114"/>
    <mergeCell ref="D114:G114"/>
    <mergeCell ref="H114:N114"/>
    <mergeCell ref="O114:U114"/>
    <mergeCell ref="V114:Y114"/>
    <mergeCell ref="Z114:BC114"/>
    <mergeCell ref="B115:C115"/>
    <mergeCell ref="D115:G115"/>
    <mergeCell ref="H115:N115"/>
    <mergeCell ref="O115:U115"/>
    <mergeCell ref="V115:Y115"/>
    <mergeCell ref="Z115:BC115"/>
    <mergeCell ref="B116:C116"/>
    <mergeCell ref="D116:G116"/>
    <mergeCell ref="H116:N116"/>
    <mergeCell ref="O116:U116"/>
    <mergeCell ref="V116:Y116"/>
    <mergeCell ref="Z116:BC116"/>
    <mergeCell ref="B117:C117"/>
    <mergeCell ref="D117:G117"/>
    <mergeCell ref="H117:N117"/>
    <mergeCell ref="O117:U117"/>
    <mergeCell ref="V117:Y117"/>
    <mergeCell ref="Z117:BC117"/>
    <mergeCell ref="B118:C118"/>
    <mergeCell ref="D118:G118"/>
    <mergeCell ref="H118:N118"/>
    <mergeCell ref="O118:U118"/>
    <mergeCell ref="V118:Y118"/>
    <mergeCell ref="Z118:BC118"/>
    <mergeCell ref="B119:C119"/>
    <mergeCell ref="D119:G119"/>
    <mergeCell ref="H119:N119"/>
    <mergeCell ref="O119:U119"/>
    <mergeCell ref="V119:Y119"/>
    <mergeCell ref="Z119:BC119"/>
    <mergeCell ref="B120:C120"/>
    <mergeCell ref="D120:G120"/>
    <mergeCell ref="H120:N120"/>
    <mergeCell ref="O120:U120"/>
    <mergeCell ref="V120:Y120"/>
    <mergeCell ref="Z120:BC120"/>
    <mergeCell ref="B121:C121"/>
    <mergeCell ref="D121:G121"/>
    <mergeCell ref="H121:N121"/>
    <mergeCell ref="O121:U121"/>
    <mergeCell ref="V121:Y121"/>
    <mergeCell ref="Z121:BC121"/>
    <mergeCell ref="B122:C122"/>
    <mergeCell ref="D122:G122"/>
    <mergeCell ref="H122:N122"/>
    <mergeCell ref="O122:U122"/>
    <mergeCell ref="V122:Y122"/>
    <mergeCell ref="Z122:BC122"/>
    <mergeCell ref="B123:C123"/>
    <mergeCell ref="D123:G123"/>
    <mergeCell ref="H123:N123"/>
    <mergeCell ref="O123:U123"/>
    <mergeCell ref="V123:Y123"/>
    <mergeCell ref="Z123:BC123"/>
    <mergeCell ref="B124:C124"/>
    <mergeCell ref="D124:G124"/>
    <mergeCell ref="H124:N124"/>
    <mergeCell ref="O124:U124"/>
    <mergeCell ref="V124:Y124"/>
    <mergeCell ref="Z124:BC124"/>
    <mergeCell ref="B125:C125"/>
    <mergeCell ref="D125:G125"/>
    <mergeCell ref="H125:N125"/>
    <mergeCell ref="O125:U125"/>
    <mergeCell ref="V125:Y125"/>
    <mergeCell ref="Z125:BC125"/>
    <mergeCell ref="B126:C126"/>
    <mergeCell ref="D126:G126"/>
    <mergeCell ref="H126:N126"/>
    <mergeCell ref="O126:U126"/>
    <mergeCell ref="V126:Y126"/>
    <mergeCell ref="Z126:BC126"/>
    <mergeCell ref="B127:C127"/>
    <mergeCell ref="D127:G127"/>
    <mergeCell ref="H127:N127"/>
    <mergeCell ref="O127:U127"/>
    <mergeCell ref="V127:Y127"/>
    <mergeCell ref="Z127:BC127"/>
    <mergeCell ref="B128:C128"/>
    <mergeCell ref="D128:G128"/>
    <mergeCell ref="H128:N128"/>
    <mergeCell ref="O128:U128"/>
    <mergeCell ref="V128:Y128"/>
    <mergeCell ref="Z128:BC128"/>
    <mergeCell ref="B129:C129"/>
    <mergeCell ref="D129:G129"/>
    <mergeCell ref="H129:N129"/>
    <mergeCell ref="O129:U129"/>
    <mergeCell ref="V129:Y129"/>
    <mergeCell ref="Z129:BC129"/>
    <mergeCell ref="B130:C130"/>
    <mergeCell ref="E130:BC130"/>
    <mergeCell ref="C132:AK132"/>
    <mergeCell ref="AL132:BC132"/>
    <mergeCell ref="B133:C133"/>
    <mergeCell ref="D133:G133"/>
    <mergeCell ref="H133:O133"/>
    <mergeCell ref="P133:S133"/>
    <mergeCell ref="T133:AM133"/>
    <mergeCell ref="AN133:BC133"/>
    <mergeCell ref="B134:C134"/>
    <mergeCell ref="D134:G134"/>
    <mergeCell ref="H134:O134"/>
    <mergeCell ref="P134:S134"/>
    <mergeCell ref="T134:AM134"/>
    <mergeCell ref="AN134:BC134"/>
    <mergeCell ref="B135:C135"/>
    <mergeCell ref="D135:G135"/>
    <mergeCell ref="H135:O135"/>
    <mergeCell ref="P135:S135"/>
    <mergeCell ref="T135:AM135"/>
    <mergeCell ref="AN135:BC135"/>
    <mergeCell ref="B136:C136"/>
    <mergeCell ref="D136:G136"/>
    <mergeCell ref="H136:O136"/>
    <mergeCell ref="P136:S136"/>
    <mergeCell ref="T136:AM136"/>
    <mergeCell ref="AN136:BC136"/>
    <mergeCell ref="B137:C137"/>
    <mergeCell ref="D137:G137"/>
    <mergeCell ref="H137:O137"/>
    <mergeCell ref="P137:S137"/>
    <mergeCell ref="T137:AM137"/>
    <mergeCell ref="AN137:BC137"/>
    <mergeCell ref="B138:C138"/>
    <mergeCell ref="D138:G138"/>
    <mergeCell ref="H138:O138"/>
    <mergeCell ref="P138:S138"/>
    <mergeCell ref="T138:AM138"/>
    <mergeCell ref="AN138:BC138"/>
    <mergeCell ref="B139:C139"/>
    <mergeCell ref="D139:G139"/>
    <mergeCell ref="H139:O139"/>
    <mergeCell ref="P139:S139"/>
    <mergeCell ref="T139:AM139"/>
    <mergeCell ref="AN139:BC139"/>
    <mergeCell ref="B140:C140"/>
    <mergeCell ref="D140:G140"/>
    <mergeCell ref="H140:O140"/>
    <mergeCell ref="P140:S140"/>
    <mergeCell ref="T140:AM140"/>
    <mergeCell ref="AN140:BC140"/>
    <mergeCell ref="B141:C141"/>
    <mergeCell ref="D141:G141"/>
    <mergeCell ref="H141:O141"/>
    <mergeCell ref="P141:S141"/>
    <mergeCell ref="T141:AM141"/>
    <mergeCell ref="AN141:BC141"/>
    <mergeCell ref="B142:C142"/>
    <mergeCell ref="D142:G142"/>
    <mergeCell ref="H142:O142"/>
    <mergeCell ref="P142:S142"/>
    <mergeCell ref="T142:AM142"/>
    <mergeCell ref="AN142:BC142"/>
    <mergeCell ref="B143:C143"/>
    <mergeCell ref="D143:G143"/>
    <mergeCell ref="H143:O143"/>
    <mergeCell ref="P143:S143"/>
    <mergeCell ref="T143:AM143"/>
    <mergeCell ref="AN143:BC143"/>
    <mergeCell ref="B144:C144"/>
    <mergeCell ref="D144:G144"/>
    <mergeCell ref="H144:O144"/>
    <mergeCell ref="P144:S144"/>
    <mergeCell ref="T144:AM144"/>
    <mergeCell ref="AN144:BC144"/>
    <mergeCell ref="B145:C145"/>
    <mergeCell ref="D145:G145"/>
    <mergeCell ref="H145:O145"/>
    <mergeCell ref="P145:S145"/>
    <mergeCell ref="T145:AM145"/>
    <mergeCell ref="AN145:BC145"/>
    <mergeCell ref="B146:C146"/>
    <mergeCell ref="D146:G146"/>
    <mergeCell ref="H146:O146"/>
    <mergeCell ref="P146:S146"/>
    <mergeCell ref="T146:AM146"/>
    <mergeCell ref="AN146:BC146"/>
    <mergeCell ref="B147:C147"/>
    <mergeCell ref="D147:G147"/>
    <mergeCell ref="H147:O147"/>
    <mergeCell ref="P147:S147"/>
    <mergeCell ref="T147:AM147"/>
    <mergeCell ref="AN147:BC147"/>
    <mergeCell ref="B148:C148"/>
    <mergeCell ref="D148:G148"/>
    <mergeCell ref="H148:O148"/>
    <mergeCell ref="P148:S148"/>
    <mergeCell ref="T148:AM148"/>
    <mergeCell ref="AN148:BC148"/>
    <mergeCell ref="B149:C149"/>
    <mergeCell ref="D149:G149"/>
    <mergeCell ref="H149:O149"/>
    <mergeCell ref="P149:S149"/>
    <mergeCell ref="T149:AM149"/>
    <mergeCell ref="AN149:BC149"/>
    <mergeCell ref="B150:C150"/>
    <mergeCell ref="D150:G150"/>
    <mergeCell ref="H150:O150"/>
    <mergeCell ref="P150:S150"/>
    <mergeCell ref="T150:AM150"/>
    <mergeCell ref="AN150:BC150"/>
    <mergeCell ref="B151:C151"/>
    <mergeCell ref="D151:G151"/>
    <mergeCell ref="H151:O151"/>
    <mergeCell ref="P151:S151"/>
    <mergeCell ref="T151:AM151"/>
    <mergeCell ref="AN151:BC151"/>
    <mergeCell ref="B152:C152"/>
    <mergeCell ref="D152:G152"/>
    <mergeCell ref="H152:O152"/>
    <mergeCell ref="P152:S152"/>
    <mergeCell ref="T152:AM152"/>
    <mergeCell ref="AN152:BC152"/>
    <mergeCell ref="B153:C153"/>
    <mergeCell ref="D153:G153"/>
    <mergeCell ref="H153:O153"/>
    <mergeCell ref="P153:S153"/>
    <mergeCell ref="T153:AM153"/>
    <mergeCell ref="AN153:BC153"/>
    <mergeCell ref="B154:C154"/>
    <mergeCell ref="D154:G154"/>
    <mergeCell ref="H154:O154"/>
    <mergeCell ref="P154:S154"/>
    <mergeCell ref="T154:AM154"/>
    <mergeCell ref="AN154:BC154"/>
    <mergeCell ref="B155:C155"/>
    <mergeCell ref="D155:G155"/>
    <mergeCell ref="H155:O155"/>
    <mergeCell ref="P155:S155"/>
    <mergeCell ref="T155:AM155"/>
    <mergeCell ref="AN155:BC155"/>
    <mergeCell ref="B156:C156"/>
    <mergeCell ref="D156:G156"/>
    <mergeCell ref="H156:O156"/>
    <mergeCell ref="P156:S156"/>
    <mergeCell ref="T156:AM156"/>
    <mergeCell ref="AN156:BC156"/>
    <mergeCell ref="B157:C157"/>
    <mergeCell ref="D157:G157"/>
    <mergeCell ref="H157:O157"/>
    <mergeCell ref="P157:S157"/>
    <mergeCell ref="T157:AM157"/>
    <mergeCell ref="AN157:BC157"/>
    <mergeCell ref="B158:C158"/>
    <mergeCell ref="D158:G158"/>
    <mergeCell ref="H158:O158"/>
    <mergeCell ref="P158:S158"/>
    <mergeCell ref="T158:AM158"/>
    <mergeCell ref="AN158:BC158"/>
    <mergeCell ref="B159:C159"/>
    <mergeCell ref="D159:G159"/>
    <mergeCell ref="H159:O159"/>
    <mergeCell ref="P159:S159"/>
    <mergeCell ref="T159:AM159"/>
    <mergeCell ref="AN159:BC159"/>
    <mergeCell ref="B160:C160"/>
    <mergeCell ref="D160:G160"/>
    <mergeCell ref="H160:O160"/>
    <mergeCell ref="P160:S160"/>
    <mergeCell ref="T160:AM160"/>
    <mergeCell ref="AN160:BC160"/>
    <mergeCell ref="B161:C161"/>
    <mergeCell ref="D161:G161"/>
    <mergeCell ref="H161:O161"/>
    <mergeCell ref="P161:S161"/>
    <mergeCell ref="T161:AM161"/>
    <mergeCell ref="AN161:BC161"/>
    <mergeCell ref="B162:C162"/>
    <mergeCell ref="D162:G162"/>
    <mergeCell ref="H162:O162"/>
    <mergeCell ref="P162:S162"/>
    <mergeCell ref="T162:AM162"/>
    <mergeCell ref="AN162:BC162"/>
    <mergeCell ref="B163:C163"/>
    <mergeCell ref="D163:G163"/>
    <mergeCell ref="H163:O163"/>
    <mergeCell ref="P163:S163"/>
    <mergeCell ref="T163:AM163"/>
    <mergeCell ref="AN163:BC163"/>
    <mergeCell ref="B164:C164"/>
    <mergeCell ref="D164:G164"/>
    <mergeCell ref="H164:O164"/>
    <mergeCell ref="P164:S164"/>
    <mergeCell ref="T164:AM164"/>
    <mergeCell ref="AN164:BC164"/>
    <mergeCell ref="B165:C165"/>
    <mergeCell ref="D165:G165"/>
    <mergeCell ref="H165:O165"/>
    <mergeCell ref="P165:S165"/>
    <mergeCell ref="T165:AM165"/>
    <mergeCell ref="AN165:BC165"/>
    <mergeCell ref="B166:C166"/>
    <mergeCell ref="D166:G166"/>
    <mergeCell ref="H166:O166"/>
    <mergeCell ref="P166:S166"/>
    <mergeCell ref="T166:AM166"/>
    <mergeCell ref="AN166:BC166"/>
    <mergeCell ref="B167:C167"/>
    <mergeCell ref="D167:G167"/>
    <mergeCell ref="H167:O167"/>
    <mergeCell ref="P167:S167"/>
    <mergeCell ref="T167:AM167"/>
    <mergeCell ref="AN167:BC167"/>
    <mergeCell ref="B168:C168"/>
    <mergeCell ref="D168:G168"/>
    <mergeCell ref="H168:O168"/>
    <mergeCell ref="P168:S168"/>
    <mergeCell ref="T168:AM168"/>
    <mergeCell ref="AN168:BC168"/>
    <mergeCell ref="B169:C169"/>
    <mergeCell ref="D169:G169"/>
    <mergeCell ref="H169:O169"/>
    <mergeCell ref="P169:S169"/>
    <mergeCell ref="T169:AM169"/>
    <mergeCell ref="AN169:BC169"/>
    <mergeCell ref="B170:C170"/>
    <mergeCell ref="D170:G170"/>
    <mergeCell ref="H170:O170"/>
    <mergeCell ref="P170:S170"/>
    <mergeCell ref="T170:AM170"/>
    <mergeCell ref="AN170:BC170"/>
    <mergeCell ref="B171:C171"/>
    <mergeCell ref="D171:G171"/>
    <mergeCell ref="H171:O171"/>
    <mergeCell ref="P171:S171"/>
    <mergeCell ref="T171:AM171"/>
    <mergeCell ref="AN171:BC171"/>
    <mergeCell ref="B172:C172"/>
    <mergeCell ref="D172:G172"/>
    <mergeCell ref="H172:O172"/>
    <mergeCell ref="P172:S172"/>
    <mergeCell ref="T172:AM172"/>
    <mergeCell ref="AN172:BC172"/>
    <mergeCell ref="B173:C173"/>
    <mergeCell ref="D173:G173"/>
    <mergeCell ref="H173:O173"/>
    <mergeCell ref="P173:S173"/>
    <mergeCell ref="T173:AM173"/>
    <mergeCell ref="AN173:BC173"/>
    <mergeCell ref="B174:C174"/>
    <mergeCell ref="D174:G174"/>
    <mergeCell ref="H174:O174"/>
    <mergeCell ref="P174:S174"/>
    <mergeCell ref="T174:AM174"/>
    <mergeCell ref="AN174:BC174"/>
    <mergeCell ref="B175:C175"/>
    <mergeCell ref="D175:G175"/>
    <mergeCell ref="H175:O175"/>
    <mergeCell ref="P175:S175"/>
    <mergeCell ref="T175:AM175"/>
    <mergeCell ref="AN175:BC175"/>
    <mergeCell ref="B176:C176"/>
    <mergeCell ref="D176:G176"/>
    <mergeCell ref="H176:O176"/>
    <mergeCell ref="P176:S176"/>
    <mergeCell ref="T176:AM176"/>
    <mergeCell ref="AN176:BC176"/>
    <mergeCell ref="B177:C177"/>
    <mergeCell ref="D177:G177"/>
    <mergeCell ref="H177:O177"/>
    <mergeCell ref="P177:S177"/>
    <mergeCell ref="T177:AM177"/>
    <mergeCell ref="AN177:BC177"/>
    <mergeCell ref="B178:C178"/>
    <mergeCell ref="D178:G178"/>
    <mergeCell ref="H178:O178"/>
    <mergeCell ref="P178:S178"/>
    <mergeCell ref="T178:AM178"/>
    <mergeCell ref="AN178:BC178"/>
    <mergeCell ref="B179:C179"/>
    <mergeCell ref="D179:G179"/>
    <mergeCell ref="H179:O179"/>
    <mergeCell ref="P179:S179"/>
    <mergeCell ref="T179:AM179"/>
    <mergeCell ref="AN179:BC179"/>
    <mergeCell ref="B180:C180"/>
    <mergeCell ref="D180:G180"/>
    <mergeCell ref="H180:O180"/>
    <mergeCell ref="P180:S180"/>
    <mergeCell ref="T180:AM180"/>
    <mergeCell ref="AN180:BC180"/>
    <mergeCell ref="B181:C181"/>
    <mergeCell ref="D181:G181"/>
    <mergeCell ref="H181:O181"/>
    <mergeCell ref="P181:S181"/>
    <mergeCell ref="T181:AM181"/>
    <mergeCell ref="AN181:BC181"/>
    <mergeCell ref="B182:C182"/>
    <mergeCell ref="D182:G182"/>
    <mergeCell ref="H182:O182"/>
    <mergeCell ref="P182:S182"/>
    <mergeCell ref="T182:AM182"/>
    <mergeCell ref="AN182:BC182"/>
    <mergeCell ref="B183:C183"/>
    <mergeCell ref="D183:G183"/>
    <mergeCell ref="H183:O183"/>
    <mergeCell ref="P183:S183"/>
    <mergeCell ref="T183:AM183"/>
    <mergeCell ref="AN183:BC183"/>
    <mergeCell ref="B184:C184"/>
    <mergeCell ref="D184:G184"/>
    <mergeCell ref="H184:O184"/>
    <mergeCell ref="P184:S184"/>
    <mergeCell ref="T184:AM184"/>
    <mergeCell ref="AN184:BC184"/>
    <mergeCell ref="B185:C185"/>
    <mergeCell ref="D185:G185"/>
    <mergeCell ref="H185:O185"/>
    <mergeCell ref="P185:S185"/>
    <mergeCell ref="T185:AM185"/>
    <mergeCell ref="AN185:BC185"/>
    <mergeCell ref="B186:C186"/>
    <mergeCell ref="D186:G186"/>
    <mergeCell ref="H186:O186"/>
    <mergeCell ref="P186:S186"/>
    <mergeCell ref="T186:AM186"/>
    <mergeCell ref="AN186:BC186"/>
    <mergeCell ref="B187:C187"/>
    <mergeCell ref="D187:G187"/>
    <mergeCell ref="H187:O187"/>
    <mergeCell ref="P187:S187"/>
    <mergeCell ref="T187:AM187"/>
    <mergeCell ref="AN187:BC187"/>
    <mergeCell ref="B188:C188"/>
    <mergeCell ref="D188:G188"/>
    <mergeCell ref="H188:O188"/>
    <mergeCell ref="P188:S188"/>
    <mergeCell ref="T188:AM188"/>
    <mergeCell ref="AN188:BC188"/>
    <mergeCell ref="B189:C189"/>
    <mergeCell ref="D189:G189"/>
    <mergeCell ref="H189:O189"/>
    <mergeCell ref="P189:S189"/>
    <mergeCell ref="T189:AM189"/>
    <mergeCell ref="AN189:BC189"/>
    <mergeCell ref="B190:C190"/>
    <mergeCell ref="D190:G190"/>
    <mergeCell ref="H190:O190"/>
    <mergeCell ref="P190:S190"/>
    <mergeCell ref="T190:AM190"/>
    <mergeCell ref="AN190:BC190"/>
    <mergeCell ref="B191:C191"/>
    <mergeCell ref="D191:G191"/>
    <mergeCell ref="H191:O191"/>
    <mergeCell ref="P191:S191"/>
    <mergeCell ref="T191:AM191"/>
    <mergeCell ref="AN191:BC191"/>
    <mergeCell ref="B192:C192"/>
    <mergeCell ref="D192:G192"/>
    <mergeCell ref="H192:O192"/>
    <mergeCell ref="P192:S192"/>
    <mergeCell ref="T192:AM192"/>
    <mergeCell ref="AN192:BC192"/>
    <mergeCell ref="B193:C193"/>
    <mergeCell ref="D193:G193"/>
    <mergeCell ref="H193:O193"/>
    <mergeCell ref="P193:S193"/>
    <mergeCell ref="T193:AM193"/>
    <mergeCell ref="AN193:BC193"/>
    <mergeCell ref="B194:C194"/>
    <mergeCell ref="D194:G194"/>
    <mergeCell ref="H194:O194"/>
    <mergeCell ref="P194:S194"/>
    <mergeCell ref="T194:AM194"/>
    <mergeCell ref="AN194:BC194"/>
    <mergeCell ref="B195:C195"/>
    <mergeCell ref="D195:G195"/>
    <mergeCell ref="H195:O195"/>
    <mergeCell ref="P195:S195"/>
    <mergeCell ref="T195:AM195"/>
    <mergeCell ref="AN195:BC195"/>
    <mergeCell ref="B196:C196"/>
    <mergeCell ref="D196:G196"/>
    <mergeCell ref="H196:O196"/>
    <mergeCell ref="P196:S196"/>
    <mergeCell ref="T196:AM196"/>
    <mergeCell ref="AN196:BC196"/>
    <mergeCell ref="B197:C197"/>
    <mergeCell ref="D197:G197"/>
    <mergeCell ref="H197:O197"/>
    <mergeCell ref="P197:S197"/>
    <mergeCell ref="T197:AM197"/>
    <mergeCell ref="AN197:BC197"/>
    <mergeCell ref="B198:C198"/>
    <mergeCell ref="D198:G198"/>
    <mergeCell ref="H198:O198"/>
    <mergeCell ref="P198:S198"/>
    <mergeCell ref="T198:AM198"/>
    <mergeCell ref="AN198:BC198"/>
    <mergeCell ref="B199:C199"/>
    <mergeCell ref="D199:G199"/>
    <mergeCell ref="H199:O199"/>
    <mergeCell ref="P199:S199"/>
    <mergeCell ref="T199:AM199"/>
    <mergeCell ref="AN199:BC199"/>
    <mergeCell ref="B200:C200"/>
    <mergeCell ref="D200:G200"/>
    <mergeCell ref="H200:O200"/>
    <mergeCell ref="P200:S200"/>
    <mergeCell ref="T200:AM200"/>
    <mergeCell ref="AN200:BC200"/>
    <mergeCell ref="B201:C201"/>
    <mergeCell ref="D201:G201"/>
    <mergeCell ref="H201:O201"/>
    <mergeCell ref="P201:S201"/>
    <mergeCell ref="T201:AM201"/>
    <mergeCell ref="AN201:BC201"/>
    <mergeCell ref="B202:C202"/>
    <mergeCell ref="D202:G202"/>
    <mergeCell ref="H202:O202"/>
    <mergeCell ref="P202:S202"/>
    <mergeCell ref="T202:AM202"/>
    <mergeCell ref="AN202:BC202"/>
    <mergeCell ref="B203:C203"/>
    <mergeCell ref="D203:G203"/>
    <mergeCell ref="H203:O203"/>
    <mergeCell ref="P203:S203"/>
    <mergeCell ref="T203:AM203"/>
    <mergeCell ref="AN203:BC203"/>
    <mergeCell ref="B204:C204"/>
    <mergeCell ref="D204:G204"/>
    <mergeCell ref="H204:O204"/>
    <mergeCell ref="P204:S204"/>
    <mergeCell ref="T204:AM204"/>
    <mergeCell ref="AN204:BC204"/>
    <mergeCell ref="B205:C205"/>
    <mergeCell ref="D205:G205"/>
    <mergeCell ref="H205:O205"/>
    <mergeCell ref="P205:S205"/>
    <mergeCell ref="T205:AM205"/>
    <mergeCell ref="AN205:BC205"/>
    <mergeCell ref="B206:C206"/>
    <mergeCell ref="D206:G206"/>
    <mergeCell ref="H206:O206"/>
    <mergeCell ref="P206:S206"/>
    <mergeCell ref="T206:AM206"/>
    <mergeCell ref="AN206:BC206"/>
    <mergeCell ref="B207:C207"/>
    <mergeCell ref="D207:G207"/>
    <mergeCell ref="H207:O207"/>
    <mergeCell ref="P207:S207"/>
    <mergeCell ref="T207:AM207"/>
    <mergeCell ref="AN207:BC207"/>
    <mergeCell ref="B208:C208"/>
    <mergeCell ref="D208:G208"/>
    <mergeCell ref="H208:O208"/>
    <mergeCell ref="P208:S208"/>
    <mergeCell ref="T208:AM208"/>
    <mergeCell ref="AN208:BC208"/>
    <mergeCell ref="B209:C209"/>
    <mergeCell ref="D209:G209"/>
    <mergeCell ref="H209:O209"/>
    <mergeCell ref="P209:S209"/>
    <mergeCell ref="T209:AM209"/>
    <mergeCell ref="AN209:BC209"/>
    <mergeCell ref="B210:C210"/>
    <mergeCell ref="D210:G210"/>
    <mergeCell ref="H210:O210"/>
    <mergeCell ref="P210:S210"/>
    <mergeCell ref="T210:AM210"/>
    <mergeCell ref="AN210:BC210"/>
    <mergeCell ref="B211:C211"/>
    <mergeCell ref="D211:G211"/>
    <mergeCell ref="H211:O211"/>
    <mergeCell ref="P211:S211"/>
    <mergeCell ref="T211:AM211"/>
    <mergeCell ref="AN211:BC211"/>
    <mergeCell ref="B212:C212"/>
    <mergeCell ref="D212:G212"/>
    <mergeCell ref="H212:O212"/>
    <mergeCell ref="P212:S212"/>
    <mergeCell ref="T212:AM212"/>
    <mergeCell ref="AN212:BC212"/>
    <mergeCell ref="B213:C213"/>
    <mergeCell ref="D213:G213"/>
    <mergeCell ref="H213:O213"/>
    <mergeCell ref="P213:S213"/>
    <mergeCell ref="T213:AM213"/>
    <mergeCell ref="AN213:BC213"/>
    <mergeCell ref="B214:C214"/>
    <mergeCell ref="E214:BC214"/>
    <mergeCell ref="C216:AK216"/>
    <mergeCell ref="AL216:BC216"/>
    <mergeCell ref="B217:C217"/>
    <mergeCell ref="D217:G217"/>
    <mergeCell ref="H217:O217"/>
    <mergeCell ref="P217:V217"/>
    <mergeCell ref="W217:AB217"/>
    <mergeCell ref="AC217:AF217"/>
    <mergeCell ref="AG217:BC217"/>
    <mergeCell ref="B218:C218"/>
    <mergeCell ref="D218:G218"/>
    <mergeCell ref="H218:O218"/>
    <mergeCell ref="P218:V218"/>
    <mergeCell ref="W218:AB218"/>
    <mergeCell ref="AC218:AF218"/>
    <mergeCell ref="AG218:BC218"/>
    <mergeCell ref="B219:C219"/>
    <mergeCell ref="D219:G219"/>
    <mergeCell ref="H219:O219"/>
    <mergeCell ref="P219:V219"/>
    <mergeCell ref="W219:AB219"/>
    <mergeCell ref="AC219:AF219"/>
    <mergeCell ref="AG219:BC219"/>
    <mergeCell ref="B220:C220"/>
    <mergeCell ref="D220:G220"/>
    <mergeCell ref="H220:O220"/>
    <mergeCell ref="P220:V220"/>
    <mergeCell ref="W220:AB220"/>
    <mergeCell ref="AC220:AF220"/>
    <mergeCell ref="AG220:BC220"/>
    <mergeCell ref="B221:C221"/>
    <mergeCell ref="D221:G221"/>
    <mergeCell ref="H221:O221"/>
    <mergeCell ref="P221:V221"/>
    <mergeCell ref="W221:AB221"/>
    <mergeCell ref="AC221:AF221"/>
    <mergeCell ref="AG221:BC221"/>
    <mergeCell ref="B222:C222"/>
    <mergeCell ref="D222:G222"/>
    <mergeCell ref="H222:O222"/>
    <mergeCell ref="P222:V222"/>
    <mergeCell ref="W222:AB222"/>
    <mergeCell ref="AC222:AF222"/>
    <mergeCell ref="AG222:BC222"/>
    <mergeCell ref="B223:C223"/>
    <mergeCell ref="D223:G223"/>
    <mergeCell ref="H223:O223"/>
    <mergeCell ref="P223:V223"/>
    <mergeCell ref="W223:AB223"/>
    <mergeCell ref="AC223:AF223"/>
    <mergeCell ref="AG223:BC223"/>
    <mergeCell ref="B224:C224"/>
    <mergeCell ref="D224:G224"/>
    <mergeCell ref="H224:O224"/>
    <mergeCell ref="P224:V224"/>
    <mergeCell ref="W224:AB224"/>
    <mergeCell ref="AC224:AF224"/>
    <mergeCell ref="AG224:BC224"/>
    <mergeCell ref="B225:C225"/>
    <mergeCell ref="D225:G225"/>
    <mergeCell ref="H225:O225"/>
    <mergeCell ref="P225:V225"/>
    <mergeCell ref="W225:AB225"/>
    <mergeCell ref="AC225:AF225"/>
    <mergeCell ref="AG225:BC225"/>
    <mergeCell ref="B226:C226"/>
    <mergeCell ref="D226:G226"/>
    <mergeCell ref="H226:O226"/>
    <mergeCell ref="P226:V226"/>
    <mergeCell ref="W226:AB226"/>
    <mergeCell ref="AC226:AF226"/>
    <mergeCell ref="AG226:BC226"/>
    <mergeCell ref="B227:C227"/>
    <mergeCell ref="D227:G227"/>
    <mergeCell ref="H227:O227"/>
    <mergeCell ref="P227:V227"/>
    <mergeCell ref="W227:AB227"/>
    <mergeCell ref="AC227:AF227"/>
    <mergeCell ref="AG227:BC227"/>
    <mergeCell ref="B228:C228"/>
    <mergeCell ref="D228:G228"/>
    <mergeCell ref="H228:O228"/>
    <mergeCell ref="P228:V228"/>
    <mergeCell ref="W228:AB228"/>
    <mergeCell ref="AC228:AF228"/>
    <mergeCell ref="AG228:BC228"/>
    <mergeCell ref="B229:C229"/>
    <mergeCell ref="D229:G229"/>
    <mergeCell ref="H229:O229"/>
    <mergeCell ref="P229:V229"/>
    <mergeCell ref="W229:AB229"/>
    <mergeCell ref="AC229:AF229"/>
    <mergeCell ref="AG229:BC229"/>
    <mergeCell ref="B230:C230"/>
    <mergeCell ref="D230:G230"/>
    <mergeCell ref="H230:O230"/>
    <mergeCell ref="P230:V230"/>
    <mergeCell ref="W230:AB230"/>
    <mergeCell ref="AC230:AF230"/>
    <mergeCell ref="AG230:BC230"/>
    <mergeCell ref="B231:C231"/>
    <mergeCell ref="D231:G231"/>
    <mergeCell ref="H231:O231"/>
    <mergeCell ref="P231:V231"/>
    <mergeCell ref="W231:AB231"/>
    <mergeCell ref="AC231:AF231"/>
    <mergeCell ref="AG231:BC231"/>
    <mergeCell ref="B232:C232"/>
    <mergeCell ref="D232:G232"/>
    <mergeCell ref="H232:O232"/>
    <mergeCell ref="P232:V232"/>
    <mergeCell ref="W232:AB232"/>
    <mergeCell ref="AC232:AF232"/>
    <mergeCell ref="AG232:BC232"/>
    <mergeCell ref="B233:C233"/>
    <mergeCell ref="D233:G233"/>
    <mergeCell ref="H233:O233"/>
    <mergeCell ref="P233:V233"/>
    <mergeCell ref="W233:AB233"/>
    <mergeCell ref="AC233:AF233"/>
    <mergeCell ref="AG233:BC233"/>
    <mergeCell ref="B234:C234"/>
    <mergeCell ref="D234:G234"/>
    <mergeCell ref="H234:O234"/>
    <mergeCell ref="P234:V234"/>
    <mergeCell ref="W234:AB234"/>
    <mergeCell ref="AC234:AF234"/>
    <mergeCell ref="AG234:BC234"/>
    <mergeCell ref="B235:C235"/>
    <mergeCell ref="D235:G235"/>
    <mergeCell ref="H235:O235"/>
    <mergeCell ref="P235:V235"/>
    <mergeCell ref="W235:AB235"/>
    <mergeCell ref="AC235:AF235"/>
    <mergeCell ref="AG235:BC235"/>
    <mergeCell ref="B236:C236"/>
    <mergeCell ref="D236:G236"/>
    <mergeCell ref="H236:O236"/>
    <mergeCell ref="P236:V236"/>
    <mergeCell ref="W236:AB236"/>
    <mergeCell ref="AC236:AF236"/>
    <mergeCell ref="AG236:BC236"/>
    <mergeCell ref="B237:C237"/>
    <mergeCell ref="D237:G237"/>
    <mergeCell ref="H237:O237"/>
    <mergeCell ref="P237:V237"/>
    <mergeCell ref="W237:AB237"/>
    <mergeCell ref="AC237:AF237"/>
    <mergeCell ref="AG237:BC237"/>
    <mergeCell ref="B238:C238"/>
    <mergeCell ref="D238:G238"/>
    <mergeCell ref="H238:O238"/>
    <mergeCell ref="P238:V238"/>
    <mergeCell ref="W238:AB238"/>
    <mergeCell ref="AC238:AF238"/>
    <mergeCell ref="AG238:BC238"/>
    <mergeCell ref="B239:C239"/>
    <mergeCell ref="D239:G239"/>
    <mergeCell ref="H239:O239"/>
    <mergeCell ref="P239:V239"/>
    <mergeCell ref="W239:AB239"/>
    <mergeCell ref="AC239:AF239"/>
    <mergeCell ref="AG239:BC239"/>
    <mergeCell ref="B240:C240"/>
    <mergeCell ref="D240:G240"/>
    <mergeCell ref="H240:O240"/>
    <mergeCell ref="P240:V240"/>
    <mergeCell ref="W240:AB240"/>
    <mergeCell ref="AC240:AF240"/>
    <mergeCell ref="AG240:BC240"/>
    <mergeCell ref="B241:C241"/>
    <mergeCell ref="D241:G241"/>
    <mergeCell ref="H241:O241"/>
    <mergeCell ref="P241:V241"/>
    <mergeCell ref="W241:AB241"/>
    <mergeCell ref="AC241:AF241"/>
    <mergeCell ref="AG241:BC241"/>
    <mergeCell ref="B242:C242"/>
    <mergeCell ref="D242:G242"/>
    <mergeCell ref="H242:O242"/>
    <mergeCell ref="P242:V242"/>
    <mergeCell ref="W242:AB242"/>
    <mergeCell ref="AC242:AF242"/>
    <mergeCell ref="AG242:BC242"/>
    <mergeCell ref="B243:C243"/>
    <mergeCell ref="D243:G243"/>
    <mergeCell ref="H243:O243"/>
    <mergeCell ref="P243:V243"/>
    <mergeCell ref="W243:AB243"/>
    <mergeCell ref="AC243:AF243"/>
    <mergeCell ref="AG243:BC243"/>
    <mergeCell ref="B244:C244"/>
    <mergeCell ref="D244:G244"/>
    <mergeCell ref="H244:O244"/>
    <mergeCell ref="P244:V244"/>
    <mergeCell ref="W244:AB244"/>
    <mergeCell ref="AC244:AF244"/>
    <mergeCell ref="AG244:BC244"/>
    <mergeCell ref="B245:C245"/>
    <mergeCell ref="D245:G245"/>
    <mergeCell ref="H245:O245"/>
    <mergeCell ref="P245:V245"/>
    <mergeCell ref="W245:AB245"/>
    <mergeCell ref="AC245:AF245"/>
    <mergeCell ref="AG245:BC245"/>
    <mergeCell ref="B246:C246"/>
    <mergeCell ref="D246:G246"/>
    <mergeCell ref="H246:O246"/>
    <mergeCell ref="P246:V246"/>
    <mergeCell ref="W246:AB246"/>
    <mergeCell ref="AC246:AF246"/>
    <mergeCell ref="AG246:BC246"/>
    <mergeCell ref="B247:C247"/>
    <mergeCell ref="D247:G247"/>
    <mergeCell ref="H247:O247"/>
    <mergeCell ref="P247:V247"/>
    <mergeCell ref="W247:AB247"/>
    <mergeCell ref="AC247:AF247"/>
    <mergeCell ref="AG247:BC247"/>
    <mergeCell ref="B248:C248"/>
    <mergeCell ref="D248:G248"/>
    <mergeCell ref="H248:O248"/>
    <mergeCell ref="P248:V248"/>
    <mergeCell ref="W248:AB248"/>
    <mergeCell ref="AC248:AF248"/>
    <mergeCell ref="AG248:BC248"/>
    <mergeCell ref="B249:C249"/>
    <mergeCell ref="D249:G249"/>
    <mergeCell ref="H249:O249"/>
    <mergeCell ref="P249:V249"/>
    <mergeCell ref="W249:AB249"/>
    <mergeCell ref="AC249:AF249"/>
    <mergeCell ref="AG249:BC249"/>
    <mergeCell ref="B250:C250"/>
    <mergeCell ref="D250:G250"/>
    <mergeCell ref="H250:O250"/>
    <mergeCell ref="P250:V250"/>
    <mergeCell ref="W250:AB250"/>
    <mergeCell ref="AC250:AF250"/>
    <mergeCell ref="AG250:BC250"/>
    <mergeCell ref="B251:C251"/>
    <mergeCell ref="D251:G251"/>
    <mergeCell ref="H251:O251"/>
    <mergeCell ref="P251:V251"/>
    <mergeCell ref="W251:AB251"/>
    <mergeCell ref="AC251:AF251"/>
    <mergeCell ref="AG251:BC251"/>
    <mergeCell ref="B252:C252"/>
    <mergeCell ref="D252:G252"/>
    <mergeCell ref="H252:O252"/>
    <mergeCell ref="P252:V252"/>
    <mergeCell ref="W252:AB252"/>
    <mergeCell ref="AC252:AF252"/>
    <mergeCell ref="AG252:BC252"/>
    <mergeCell ref="B253:C253"/>
    <mergeCell ref="D253:G253"/>
    <mergeCell ref="H253:O253"/>
    <mergeCell ref="P253:V253"/>
    <mergeCell ref="W253:AB253"/>
    <mergeCell ref="AC253:AF253"/>
    <mergeCell ref="AG253:BC253"/>
    <mergeCell ref="B254:C254"/>
    <mergeCell ref="D254:G254"/>
    <mergeCell ref="H254:O254"/>
    <mergeCell ref="P254:V254"/>
    <mergeCell ref="W254:AB254"/>
    <mergeCell ref="AC254:AF254"/>
    <mergeCell ref="AG254:BC254"/>
    <mergeCell ref="B255:C255"/>
    <mergeCell ref="D255:G255"/>
    <mergeCell ref="H255:O255"/>
    <mergeCell ref="P255:V255"/>
    <mergeCell ref="W255:AB255"/>
    <mergeCell ref="AC255:AF255"/>
    <mergeCell ref="AG255:BC255"/>
    <mergeCell ref="B256:C256"/>
    <mergeCell ref="D256:G256"/>
    <mergeCell ref="H256:O256"/>
    <mergeCell ref="P256:V256"/>
    <mergeCell ref="W256:AB256"/>
    <mergeCell ref="AC256:AF256"/>
    <mergeCell ref="AG256:BC256"/>
    <mergeCell ref="B257:C257"/>
    <mergeCell ref="D257:G257"/>
    <mergeCell ref="H257:O257"/>
    <mergeCell ref="P257:V257"/>
    <mergeCell ref="W257:AB257"/>
    <mergeCell ref="AC257:AF257"/>
    <mergeCell ref="AG257:BC257"/>
    <mergeCell ref="B258:C258"/>
    <mergeCell ref="D258:G258"/>
    <mergeCell ref="H258:O258"/>
    <mergeCell ref="P258:V258"/>
    <mergeCell ref="W258:AB258"/>
    <mergeCell ref="AC258:AF258"/>
    <mergeCell ref="AG258:BC258"/>
    <mergeCell ref="B259:C259"/>
    <mergeCell ref="D259:G259"/>
    <mergeCell ref="H259:O259"/>
    <mergeCell ref="P259:V259"/>
    <mergeCell ref="W259:AB259"/>
    <mergeCell ref="AC259:AF259"/>
    <mergeCell ref="AG259:BC259"/>
    <mergeCell ref="B260:C260"/>
    <mergeCell ref="D260:G260"/>
    <mergeCell ref="H260:O260"/>
    <mergeCell ref="P260:V260"/>
    <mergeCell ref="W260:AB260"/>
    <mergeCell ref="AC260:AF260"/>
    <mergeCell ref="AG260:BC260"/>
    <mergeCell ref="B261:C261"/>
    <mergeCell ref="D261:G261"/>
    <mergeCell ref="H261:O261"/>
    <mergeCell ref="P261:V261"/>
    <mergeCell ref="W261:AB261"/>
    <mergeCell ref="AC261:AF261"/>
    <mergeCell ref="AG261:BC261"/>
    <mergeCell ref="B262:C262"/>
    <mergeCell ref="D262:G262"/>
    <mergeCell ref="H262:O262"/>
    <mergeCell ref="P262:V262"/>
    <mergeCell ref="W262:AB262"/>
    <mergeCell ref="AC262:AF262"/>
    <mergeCell ref="AG262:BC262"/>
    <mergeCell ref="B263:C263"/>
    <mergeCell ref="D263:G263"/>
    <mergeCell ref="H263:O263"/>
    <mergeCell ref="P263:V263"/>
    <mergeCell ref="W263:AB263"/>
    <mergeCell ref="AC263:AF263"/>
    <mergeCell ref="AG263:BC263"/>
    <mergeCell ref="B264:C264"/>
    <mergeCell ref="D264:G264"/>
    <mergeCell ref="H264:O264"/>
    <mergeCell ref="P264:V264"/>
    <mergeCell ref="W264:AB264"/>
    <mergeCell ref="AC264:AF264"/>
    <mergeCell ref="AG264:BC264"/>
    <mergeCell ref="B265:C265"/>
    <mergeCell ref="D265:G265"/>
    <mergeCell ref="H265:O265"/>
    <mergeCell ref="P265:V265"/>
    <mergeCell ref="W265:AB265"/>
    <mergeCell ref="AC265:AF265"/>
    <mergeCell ref="AG265:BC265"/>
    <mergeCell ref="B266:C266"/>
    <mergeCell ref="D266:G266"/>
    <mergeCell ref="H266:O266"/>
    <mergeCell ref="P266:V266"/>
    <mergeCell ref="W266:AB266"/>
    <mergeCell ref="AC266:AF266"/>
    <mergeCell ref="AG266:BC266"/>
    <mergeCell ref="B267:C267"/>
    <mergeCell ref="D267:G267"/>
    <mergeCell ref="H267:O267"/>
    <mergeCell ref="P267:V267"/>
    <mergeCell ref="W267:AB267"/>
    <mergeCell ref="AC267:AF267"/>
    <mergeCell ref="AG267:BC267"/>
    <mergeCell ref="B268:C268"/>
    <mergeCell ref="D268:G268"/>
    <mergeCell ref="H268:O268"/>
    <mergeCell ref="P268:V268"/>
    <mergeCell ref="W268:AB268"/>
    <mergeCell ref="AC268:AF268"/>
    <mergeCell ref="AG268:BC268"/>
    <mergeCell ref="B269:C269"/>
    <mergeCell ref="D269:G269"/>
    <mergeCell ref="H269:O269"/>
    <mergeCell ref="P269:V269"/>
    <mergeCell ref="W269:AB269"/>
    <mergeCell ref="AC269:AF269"/>
    <mergeCell ref="AG269:BC269"/>
    <mergeCell ref="B270:C270"/>
    <mergeCell ref="D270:G270"/>
    <mergeCell ref="H270:O270"/>
    <mergeCell ref="P270:V270"/>
    <mergeCell ref="W270:AB270"/>
    <mergeCell ref="AC270:AF270"/>
    <mergeCell ref="AG270:BC270"/>
    <mergeCell ref="B271:C271"/>
    <mergeCell ref="D271:G271"/>
    <mergeCell ref="H271:O271"/>
    <mergeCell ref="P271:V271"/>
    <mergeCell ref="W271:AB271"/>
    <mergeCell ref="AC271:AF271"/>
    <mergeCell ref="AG271:BC271"/>
    <mergeCell ref="B272:C272"/>
    <mergeCell ref="D272:G272"/>
    <mergeCell ref="H272:O272"/>
    <mergeCell ref="P272:V272"/>
    <mergeCell ref="W272:AB272"/>
    <mergeCell ref="AC272:AF272"/>
    <mergeCell ref="AG272:BC272"/>
    <mergeCell ref="B273:C273"/>
    <mergeCell ref="D273:G273"/>
    <mergeCell ref="H273:O273"/>
    <mergeCell ref="P273:V273"/>
    <mergeCell ref="W273:AB273"/>
    <mergeCell ref="AC273:AF273"/>
    <mergeCell ref="AG273:BC273"/>
    <mergeCell ref="B274:C274"/>
    <mergeCell ref="D274:G274"/>
    <mergeCell ref="H274:O274"/>
    <mergeCell ref="P274:V274"/>
    <mergeCell ref="W274:AB274"/>
    <mergeCell ref="AC274:AF274"/>
    <mergeCell ref="AG274:BC274"/>
    <mergeCell ref="B275:C275"/>
    <mergeCell ref="D275:G275"/>
    <mergeCell ref="H275:O275"/>
    <mergeCell ref="P275:V275"/>
    <mergeCell ref="W275:AB275"/>
    <mergeCell ref="AC275:AF275"/>
    <mergeCell ref="AG275:BC275"/>
    <mergeCell ref="B276:C276"/>
    <mergeCell ref="D276:G276"/>
    <mergeCell ref="H276:O276"/>
    <mergeCell ref="P276:V276"/>
    <mergeCell ref="W276:AB276"/>
    <mergeCell ref="AC276:AF276"/>
    <mergeCell ref="AG276:BC276"/>
    <mergeCell ref="B277:C277"/>
    <mergeCell ref="D277:G277"/>
    <mergeCell ref="H277:O277"/>
    <mergeCell ref="P277:V277"/>
    <mergeCell ref="W277:AB277"/>
    <mergeCell ref="AC277:AF277"/>
    <mergeCell ref="AG277:BC277"/>
    <mergeCell ref="B278:C278"/>
    <mergeCell ref="D278:G278"/>
    <mergeCell ref="H278:O278"/>
    <mergeCell ref="P278:V278"/>
    <mergeCell ref="W278:AB278"/>
    <mergeCell ref="AC278:AF278"/>
    <mergeCell ref="AG278:BC278"/>
    <mergeCell ref="B279:C279"/>
    <mergeCell ref="D279:G279"/>
    <mergeCell ref="H279:O279"/>
    <mergeCell ref="P279:V279"/>
    <mergeCell ref="W279:AB279"/>
    <mergeCell ref="AC279:AF279"/>
    <mergeCell ref="AG279:BC279"/>
    <mergeCell ref="B280:C280"/>
    <mergeCell ref="D280:G280"/>
    <mergeCell ref="H280:O280"/>
    <mergeCell ref="P280:V280"/>
    <mergeCell ref="W280:AB280"/>
    <mergeCell ref="AC280:AF280"/>
    <mergeCell ref="AG280:BC280"/>
    <mergeCell ref="B281:C281"/>
    <mergeCell ref="D281:G281"/>
    <mergeCell ref="H281:O281"/>
    <mergeCell ref="P281:V281"/>
    <mergeCell ref="W281:AB281"/>
    <mergeCell ref="AC281:AF281"/>
    <mergeCell ref="AG281:BC281"/>
    <mergeCell ref="B282:C282"/>
    <mergeCell ref="D282:G282"/>
    <mergeCell ref="H282:O282"/>
    <mergeCell ref="P282:V282"/>
    <mergeCell ref="W282:AB282"/>
    <mergeCell ref="AC282:AF282"/>
    <mergeCell ref="AG282:BC282"/>
    <mergeCell ref="B283:C283"/>
    <mergeCell ref="D283:G283"/>
    <mergeCell ref="H283:O283"/>
    <mergeCell ref="P283:V283"/>
    <mergeCell ref="W283:AB283"/>
    <mergeCell ref="AC283:AF283"/>
    <mergeCell ref="AG283:BC283"/>
    <mergeCell ref="B284:C284"/>
    <mergeCell ref="D284:G284"/>
    <mergeCell ref="H284:O284"/>
    <mergeCell ref="P284:V284"/>
    <mergeCell ref="W284:AB284"/>
    <mergeCell ref="AC284:AF284"/>
    <mergeCell ref="AG284:BC284"/>
    <mergeCell ref="B285:C285"/>
    <mergeCell ref="D285:G285"/>
    <mergeCell ref="H285:O285"/>
    <mergeCell ref="P285:V285"/>
    <mergeCell ref="W285:AB285"/>
    <mergeCell ref="AC285:AF285"/>
    <mergeCell ref="AG285:BC285"/>
    <mergeCell ref="B286:C286"/>
    <mergeCell ref="D286:G286"/>
    <mergeCell ref="H286:O286"/>
    <mergeCell ref="P286:V286"/>
    <mergeCell ref="W286:AB286"/>
    <mergeCell ref="AC286:AF286"/>
    <mergeCell ref="AG286:BC286"/>
    <mergeCell ref="B287:C287"/>
    <mergeCell ref="D287:G287"/>
    <mergeCell ref="H287:O287"/>
    <mergeCell ref="P287:V287"/>
    <mergeCell ref="W287:AB287"/>
    <mergeCell ref="AC287:AF287"/>
    <mergeCell ref="AG287:BC287"/>
    <mergeCell ref="B288:C288"/>
    <mergeCell ref="D288:G288"/>
    <mergeCell ref="H288:O288"/>
    <mergeCell ref="P288:V288"/>
    <mergeCell ref="W288:AB288"/>
    <mergeCell ref="AC288:AF288"/>
    <mergeCell ref="AG288:BC288"/>
    <mergeCell ref="B289:C289"/>
    <mergeCell ref="D289:G289"/>
    <mergeCell ref="H289:O289"/>
    <mergeCell ref="P289:V289"/>
    <mergeCell ref="W289:AB289"/>
    <mergeCell ref="AC289:AF289"/>
    <mergeCell ref="AG289:BC289"/>
    <mergeCell ref="B290:C290"/>
    <mergeCell ref="D290:G290"/>
    <mergeCell ref="H290:O290"/>
    <mergeCell ref="P290:V290"/>
    <mergeCell ref="W290:AB290"/>
    <mergeCell ref="AC290:AF290"/>
    <mergeCell ref="AG290:BC290"/>
    <mergeCell ref="B291:C291"/>
    <mergeCell ref="D291:G291"/>
    <mergeCell ref="H291:O291"/>
    <mergeCell ref="P291:V291"/>
    <mergeCell ref="W291:AB291"/>
    <mergeCell ref="AC291:AF291"/>
    <mergeCell ref="AG291:BC291"/>
    <mergeCell ref="B292:C292"/>
    <mergeCell ref="D292:G292"/>
    <mergeCell ref="H292:O292"/>
    <mergeCell ref="P292:V292"/>
    <mergeCell ref="W292:AB292"/>
    <mergeCell ref="AC292:AF292"/>
    <mergeCell ref="AG292:BC292"/>
    <mergeCell ref="B293:C293"/>
    <mergeCell ref="D293:G293"/>
    <mergeCell ref="H293:O293"/>
    <mergeCell ref="P293:V293"/>
    <mergeCell ref="W293:AB293"/>
    <mergeCell ref="AC293:AF293"/>
    <mergeCell ref="AG293:BC293"/>
    <mergeCell ref="B294:C294"/>
    <mergeCell ref="D294:G294"/>
    <mergeCell ref="H294:O294"/>
    <mergeCell ref="P294:V294"/>
    <mergeCell ref="W294:AB294"/>
    <mergeCell ref="AC294:AF294"/>
    <mergeCell ref="AG294:BC294"/>
    <mergeCell ref="B295:C295"/>
    <mergeCell ref="D295:G295"/>
    <mergeCell ref="H295:O295"/>
    <mergeCell ref="P295:V295"/>
    <mergeCell ref="W295:AB295"/>
    <mergeCell ref="AC295:AF295"/>
    <mergeCell ref="AG295:BC295"/>
    <mergeCell ref="B296:C296"/>
    <mergeCell ref="D296:G296"/>
    <mergeCell ref="H296:O296"/>
    <mergeCell ref="P296:V296"/>
    <mergeCell ref="W296:AB296"/>
    <mergeCell ref="AC296:AF296"/>
    <mergeCell ref="AG296:BC296"/>
    <mergeCell ref="B297:C297"/>
    <mergeCell ref="D297:G297"/>
    <mergeCell ref="H297:O297"/>
    <mergeCell ref="P297:V297"/>
    <mergeCell ref="W297:AB297"/>
    <mergeCell ref="AC297:AF297"/>
    <mergeCell ref="AG297:BC297"/>
    <mergeCell ref="B298:C298"/>
    <mergeCell ref="D298:G298"/>
    <mergeCell ref="H298:O298"/>
    <mergeCell ref="P298:V298"/>
    <mergeCell ref="W298:AB298"/>
    <mergeCell ref="AC298:AF298"/>
    <mergeCell ref="AG298:BC298"/>
    <mergeCell ref="B299:C299"/>
    <mergeCell ref="D299:G299"/>
    <mergeCell ref="H299:O299"/>
    <mergeCell ref="P299:V299"/>
    <mergeCell ref="W299:AB299"/>
    <mergeCell ref="AC299:AF299"/>
    <mergeCell ref="AG299:BC299"/>
    <mergeCell ref="B300:C300"/>
    <mergeCell ref="D300:G300"/>
    <mergeCell ref="H300:O300"/>
    <mergeCell ref="P300:V300"/>
    <mergeCell ref="W300:AB300"/>
    <mergeCell ref="AC300:AF300"/>
    <mergeCell ref="AG300:BC300"/>
    <mergeCell ref="B301:C301"/>
    <mergeCell ref="D301:G301"/>
    <mergeCell ref="H301:O301"/>
    <mergeCell ref="P301:V301"/>
    <mergeCell ref="W301:AB301"/>
    <mergeCell ref="AC301:AF301"/>
    <mergeCell ref="AG301:BC301"/>
    <mergeCell ref="B302:C302"/>
    <mergeCell ref="D302:G302"/>
    <mergeCell ref="H302:O302"/>
    <mergeCell ref="P302:V302"/>
    <mergeCell ref="W302:AB302"/>
    <mergeCell ref="AC302:AF302"/>
    <mergeCell ref="AG302:BC302"/>
    <mergeCell ref="B303:C303"/>
    <mergeCell ref="D303:G303"/>
    <mergeCell ref="H303:O303"/>
    <mergeCell ref="P303:V303"/>
    <mergeCell ref="W303:AB303"/>
    <mergeCell ref="AC303:AF303"/>
    <mergeCell ref="AG303:BC303"/>
    <mergeCell ref="B304:C304"/>
    <mergeCell ref="D304:G304"/>
    <mergeCell ref="H304:O304"/>
    <mergeCell ref="P304:V304"/>
    <mergeCell ref="W304:AB304"/>
    <mergeCell ref="AC304:AF304"/>
    <mergeCell ref="AG304:BC304"/>
    <mergeCell ref="B305:C305"/>
    <mergeCell ref="D305:G305"/>
    <mergeCell ref="H305:O305"/>
    <mergeCell ref="P305:V305"/>
    <mergeCell ref="W305:AB305"/>
    <mergeCell ref="AC305:AF305"/>
    <mergeCell ref="AG305:BC305"/>
    <mergeCell ref="B306:C306"/>
    <mergeCell ref="D306:G306"/>
    <mergeCell ref="H306:O306"/>
    <mergeCell ref="P306:V306"/>
    <mergeCell ref="W306:AB306"/>
    <mergeCell ref="AC306:AF306"/>
    <mergeCell ref="AG306:BC306"/>
    <mergeCell ref="B307:C307"/>
    <mergeCell ref="D307:G307"/>
    <mergeCell ref="H307:O307"/>
    <mergeCell ref="P307:V307"/>
    <mergeCell ref="W307:AB307"/>
    <mergeCell ref="AC307:AF307"/>
    <mergeCell ref="AG307:BC307"/>
    <mergeCell ref="B308:C308"/>
    <mergeCell ref="D308:G308"/>
    <mergeCell ref="H308:O308"/>
    <mergeCell ref="P308:V308"/>
    <mergeCell ref="W308:AB308"/>
    <mergeCell ref="AC308:AF308"/>
    <mergeCell ref="AG308:BC308"/>
    <mergeCell ref="B309:C309"/>
    <mergeCell ref="D309:G309"/>
    <mergeCell ref="H309:O309"/>
    <mergeCell ref="P309:V309"/>
    <mergeCell ref="W309:AB309"/>
    <mergeCell ref="AC309:AF309"/>
    <mergeCell ref="AG309:BC309"/>
    <mergeCell ref="B310:C310"/>
    <mergeCell ref="D310:G310"/>
    <mergeCell ref="H310:O310"/>
    <mergeCell ref="P310:V310"/>
    <mergeCell ref="W310:AB310"/>
    <mergeCell ref="AC310:AF310"/>
    <mergeCell ref="AG310:BC310"/>
    <mergeCell ref="B311:C311"/>
    <mergeCell ref="D311:G311"/>
    <mergeCell ref="H311:O311"/>
    <mergeCell ref="P311:V311"/>
    <mergeCell ref="W311:AB311"/>
    <mergeCell ref="AC311:AF311"/>
    <mergeCell ref="AG311:BC311"/>
    <mergeCell ref="B312:C312"/>
    <mergeCell ref="D312:G312"/>
    <mergeCell ref="H312:O312"/>
    <mergeCell ref="P312:V312"/>
    <mergeCell ref="W312:AB312"/>
    <mergeCell ref="AC312:AF312"/>
    <mergeCell ref="AG312:BC312"/>
    <mergeCell ref="B313:C313"/>
    <mergeCell ref="D313:G313"/>
    <mergeCell ref="H313:O313"/>
    <mergeCell ref="P313:V313"/>
    <mergeCell ref="W313:AB313"/>
    <mergeCell ref="AC313:AF313"/>
    <mergeCell ref="AG313:BC313"/>
    <mergeCell ref="B314:C314"/>
    <mergeCell ref="D314:G314"/>
    <mergeCell ref="H314:O314"/>
    <mergeCell ref="P314:V314"/>
    <mergeCell ref="W314:AB314"/>
    <mergeCell ref="AC314:AF314"/>
    <mergeCell ref="AG314:BC314"/>
    <mergeCell ref="B315:C315"/>
    <mergeCell ref="D315:G315"/>
    <mergeCell ref="H315:O315"/>
    <mergeCell ref="P315:V315"/>
    <mergeCell ref="W315:AB315"/>
    <mergeCell ref="AC315:AF315"/>
    <mergeCell ref="AG315:BC315"/>
    <mergeCell ref="B316:C316"/>
    <mergeCell ref="D316:G316"/>
    <mergeCell ref="H316:O316"/>
    <mergeCell ref="P316:V316"/>
    <mergeCell ref="W316:AB316"/>
    <mergeCell ref="AC316:AF316"/>
    <mergeCell ref="AG316:BC316"/>
    <mergeCell ref="B317:C317"/>
    <mergeCell ref="D317:G317"/>
    <mergeCell ref="H317:O317"/>
    <mergeCell ref="P317:V317"/>
    <mergeCell ref="W317:AB317"/>
    <mergeCell ref="AC317:AF317"/>
    <mergeCell ref="AG317:BC317"/>
    <mergeCell ref="B318:C318"/>
    <mergeCell ref="D318:G318"/>
    <mergeCell ref="H318:O318"/>
    <mergeCell ref="P318:V318"/>
    <mergeCell ref="W318:AB318"/>
    <mergeCell ref="AC318:AF318"/>
    <mergeCell ref="AG318:BC318"/>
    <mergeCell ref="B319:C319"/>
    <mergeCell ref="D319:G319"/>
    <mergeCell ref="H319:O319"/>
    <mergeCell ref="P319:V319"/>
    <mergeCell ref="W319:AB319"/>
    <mergeCell ref="AC319:AF319"/>
    <mergeCell ref="AG319:BC319"/>
    <mergeCell ref="B320:C320"/>
    <mergeCell ref="D320:G320"/>
    <mergeCell ref="H320:O320"/>
    <mergeCell ref="P320:V320"/>
    <mergeCell ref="W320:AB320"/>
    <mergeCell ref="AC320:AF320"/>
    <mergeCell ref="AG320:BC320"/>
    <mergeCell ref="B321:C321"/>
    <mergeCell ref="D321:G321"/>
    <mergeCell ref="H321:O321"/>
    <mergeCell ref="P321:V321"/>
    <mergeCell ref="W321:AB321"/>
    <mergeCell ref="AC321:AF321"/>
    <mergeCell ref="AG321:BC321"/>
    <mergeCell ref="B322:C322"/>
    <mergeCell ref="D322:G322"/>
    <mergeCell ref="H322:O322"/>
    <mergeCell ref="P322:V322"/>
    <mergeCell ref="W322:AB322"/>
    <mergeCell ref="AC322:AF322"/>
    <mergeCell ref="AG322:BC322"/>
    <mergeCell ref="B323:C323"/>
    <mergeCell ref="D323:G323"/>
    <mergeCell ref="H323:O323"/>
    <mergeCell ref="P323:V323"/>
    <mergeCell ref="W323:AB323"/>
    <mergeCell ref="AC323:AF323"/>
    <mergeCell ref="AG323:BC323"/>
    <mergeCell ref="B324:C324"/>
    <mergeCell ref="D324:G324"/>
    <mergeCell ref="H324:O324"/>
    <mergeCell ref="P324:V324"/>
    <mergeCell ref="W324:AB324"/>
    <mergeCell ref="AC324:AF324"/>
    <mergeCell ref="AG324:BC324"/>
    <mergeCell ref="B325:C325"/>
    <mergeCell ref="D325:G325"/>
    <mergeCell ref="H325:O325"/>
    <mergeCell ref="P325:V325"/>
    <mergeCell ref="W325:AB325"/>
    <mergeCell ref="AC325:AF325"/>
    <mergeCell ref="AG325:BC325"/>
    <mergeCell ref="B326:C326"/>
    <mergeCell ref="D326:G326"/>
    <mergeCell ref="H326:O326"/>
    <mergeCell ref="P326:V326"/>
    <mergeCell ref="W326:AB326"/>
    <mergeCell ref="AC326:AF326"/>
    <mergeCell ref="AG326:BC326"/>
    <mergeCell ref="B327:C327"/>
    <mergeCell ref="D327:G327"/>
    <mergeCell ref="H327:O327"/>
    <mergeCell ref="P327:V327"/>
    <mergeCell ref="W327:AB327"/>
    <mergeCell ref="AC327:AF327"/>
    <mergeCell ref="AG327:BC327"/>
    <mergeCell ref="B328:C328"/>
    <mergeCell ref="D328:G328"/>
    <mergeCell ref="H328:O328"/>
    <mergeCell ref="P328:V328"/>
    <mergeCell ref="W328:AB328"/>
    <mergeCell ref="AC328:AF328"/>
    <mergeCell ref="AG328:BC328"/>
    <mergeCell ref="B329:C329"/>
    <mergeCell ref="D329:G329"/>
    <mergeCell ref="H329:O329"/>
    <mergeCell ref="P329:V329"/>
    <mergeCell ref="W329:AB329"/>
    <mergeCell ref="AC329:AF329"/>
    <mergeCell ref="AG329:BC329"/>
    <mergeCell ref="B330:C330"/>
    <mergeCell ref="D330:G330"/>
    <mergeCell ref="H330:O330"/>
    <mergeCell ref="P330:V330"/>
    <mergeCell ref="W330:AB330"/>
    <mergeCell ref="AC330:AF330"/>
    <mergeCell ref="AG330:BC330"/>
    <mergeCell ref="B331:C331"/>
    <mergeCell ref="D331:G331"/>
    <mergeCell ref="H331:O331"/>
    <mergeCell ref="P331:V331"/>
    <mergeCell ref="W331:AB331"/>
    <mergeCell ref="AC331:AF331"/>
    <mergeCell ref="AG331:BC331"/>
    <mergeCell ref="B332:C332"/>
    <mergeCell ref="D332:G332"/>
    <mergeCell ref="H332:O332"/>
    <mergeCell ref="P332:V332"/>
    <mergeCell ref="W332:AB332"/>
    <mergeCell ref="AC332:AF332"/>
    <mergeCell ref="AG332:BC332"/>
    <mergeCell ref="B333:C333"/>
    <mergeCell ref="D333:G333"/>
    <mergeCell ref="H333:O333"/>
    <mergeCell ref="P333:V333"/>
    <mergeCell ref="W333:AB333"/>
    <mergeCell ref="AC333:AF333"/>
    <mergeCell ref="AG333:BC333"/>
    <mergeCell ref="B334:C334"/>
    <mergeCell ref="D334:G334"/>
    <mergeCell ref="H334:O334"/>
    <mergeCell ref="P334:V334"/>
    <mergeCell ref="W334:AB334"/>
    <mergeCell ref="AC334:AF334"/>
    <mergeCell ref="AG334:BC334"/>
    <mergeCell ref="B335:C335"/>
    <mergeCell ref="D335:G335"/>
    <mergeCell ref="H335:O335"/>
    <mergeCell ref="P335:V335"/>
    <mergeCell ref="W335:AB335"/>
    <mergeCell ref="AC335:AF335"/>
    <mergeCell ref="AG335:BC335"/>
    <mergeCell ref="B336:C336"/>
    <mergeCell ref="D336:G336"/>
    <mergeCell ref="H336:O336"/>
    <mergeCell ref="P336:V336"/>
    <mergeCell ref="W336:AB336"/>
    <mergeCell ref="AC336:AF336"/>
    <mergeCell ref="AG336:BC336"/>
    <mergeCell ref="B337:C337"/>
    <mergeCell ref="D337:G337"/>
    <mergeCell ref="H337:O337"/>
    <mergeCell ref="P337:V337"/>
    <mergeCell ref="W337:AB337"/>
    <mergeCell ref="AC337:AF337"/>
    <mergeCell ref="AG337:BC337"/>
    <mergeCell ref="B338:C338"/>
    <mergeCell ref="D338:G338"/>
    <mergeCell ref="H338:O338"/>
    <mergeCell ref="P338:V338"/>
    <mergeCell ref="W338:AB338"/>
    <mergeCell ref="AC338:AF338"/>
    <mergeCell ref="AG338:BC338"/>
    <mergeCell ref="B339:C339"/>
    <mergeCell ref="D339:G339"/>
    <mergeCell ref="H339:O339"/>
    <mergeCell ref="P339:V339"/>
    <mergeCell ref="W339:AB339"/>
    <mergeCell ref="AC339:AF339"/>
    <mergeCell ref="AG339:BC339"/>
    <mergeCell ref="B340:C340"/>
    <mergeCell ref="D340:G340"/>
    <mergeCell ref="H340:O340"/>
    <mergeCell ref="P340:V340"/>
    <mergeCell ref="W340:AB340"/>
    <mergeCell ref="AC340:AF340"/>
    <mergeCell ref="AG340:BC340"/>
    <mergeCell ref="B341:C341"/>
    <mergeCell ref="D341:G341"/>
    <mergeCell ref="H341:O341"/>
    <mergeCell ref="P341:V341"/>
    <mergeCell ref="W341:AB341"/>
    <mergeCell ref="AC341:AF341"/>
    <mergeCell ref="AG341:BC341"/>
    <mergeCell ref="B342:C342"/>
    <mergeCell ref="D342:G342"/>
    <mergeCell ref="H342:O342"/>
    <mergeCell ref="P342:V342"/>
    <mergeCell ref="W342:AB342"/>
    <mergeCell ref="AC342:AF342"/>
    <mergeCell ref="AG342:BC342"/>
    <mergeCell ref="B343:C343"/>
    <mergeCell ref="D343:G343"/>
    <mergeCell ref="H343:O343"/>
    <mergeCell ref="P343:V343"/>
    <mergeCell ref="W343:AB343"/>
    <mergeCell ref="AC343:AF343"/>
    <mergeCell ref="AG343:BC343"/>
    <mergeCell ref="B344:C344"/>
    <mergeCell ref="D344:G344"/>
    <mergeCell ref="H344:O344"/>
    <mergeCell ref="P344:V344"/>
    <mergeCell ref="W344:AB344"/>
    <mergeCell ref="AC344:AF344"/>
    <mergeCell ref="AG344:BC344"/>
    <mergeCell ref="B345:C345"/>
    <mergeCell ref="D345:G345"/>
    <mergeCell ref="H345:O345"/>
    <mergeCell ref="P345:V345"/>
    <mergeCell ref="W345:AB345"/>
    <mergeCell ref="AC345:AF345"/>
    <mergeCell ref="AG345:BC345"/>
    <mergeCell ref="B346:C346"/>
    <mergeCell ref="D346:G346"/>
    <mergeCell ref="H346:O346"/>
    <mergeCell ref="P346:V346"/>
    <mergeCell ref="W346:AB346"/>
    <mergeCell ref="AC346:AF346"/>
    <mergeCell ref="AG346:BC346"/>
    <mergeCell ref="B347:C347"/>
    <mergeCell ref="D347:G347"/>
    <mergeCell ref="H347:O347"/>
    <mergeCell ref="P347:V347"/>
    <mergeCell ref="W347:AB347"/>
    <mergeCell ref="AC347:AF347"/>
    <mergeCell ref="AG347:BC347"/>
    <mergeCell ref="B348:C348"/>
    <mergeCell ref="D348:G348"/>
    <mergeCell ref="H348:O348"/>
    <mergeCell ref="P348:V348"/>
    <mergeCell ref="W348:AB348"/>
    <mergeCell ref="AC348:AF348"/>
    <mergeCell ref="AG348:BC348"/>
    <mergeCell ref="B349:C349"/>
    <mergeCell ref="D349:G349"/>
    <mergeCell ref="H349:O349"/>
    <mergeCell ref="P349:V349"/>
    <mergeCell ref="W349:AB349"/>
    <mergeCell ref="AC349:AF349"/>
    <mergeCell ref="AG349:BC349"/>
    <mergeCell ref="B350:C350"/>
    <mergeCell ref="D350:G350"/>
    <mergeCell ref="H350:O350"/>
    <mergeCell ref="P350:V350"/>
    <mergeCell ref="W350:AB350"/>
    <mergeCell ref="AC350:AF350"/>
    <mergeCell ref="AG350:BC350"/>
    <mergeCell ref="B351:C351"/>
    <mergeCell ref="D351:G351"/>
    <mergeCell ref="H351:O351"/>
    <mergeCell ref="P351:V351"/>
    <mergeCell ref="W351:AB351"/>
    <mergeCell ref="AC351:AF351"/>
    <mergeCell ref="AG351:BC351"/>
    <mergeCell ref="B352:C352"/>
    <mergeCell ref="D352:G352"/>
    <mergeCell ref="H352:O352"/>
    <mergeCell ref="P352:V352"/>
    <mergeCell ref="W352:AB352"/>
    <mergeCell ref="AC352:AF352"/>
    <mergeCell ref="AG352:BC352"/>
    <mergeCell ref="B353:C353"/>
    <mergeCell ref="D353:G353"/>
    <mergeCell ref="H353:O353"/>
    <mergeCell ref="P353:V353"/>
    <mergeCell ref="W353:AB353"/>
    <mergeCell ref="AC353:AF353"/>
    <mergeCell ref="AG353:BC353"/>
    <mergeCell ref="B354:C354"/>
    <mergeCell ref="D354:G354"/>
    <mergeCell ref="H354:O354"/>
    <mergeCell ref="P354:V354"/>
    <mergeCell ref="W354:AB354"/>
    <mergeCell ref="AC354:AF354"/>
    <mergeCell ref="AG354:BC354"/>
    <mergeCell ref="B355:C355"/>
    <mergeCell ref="D355:G355"/>
    <mergeCell ref="H355:O355"/>
    <mergeCell ref="P355:V355"/>
    <mergeCell ref="W355:AB355"/>
    <mergeCell ref="AC355:AF355"/>
    <mergeCell ref="AG355:BC355"/>
    <mergeCell ref="B356:C356"/>
    <mergeCell ref="D356:G356"/>
    <mergeCell ref="H356:O356"/>
    <mergeCell ref="P356:V356"/>
    <mergeCell ref="W356:AB356"/>
    <mergeCell ref="AC356:AF356"/>
    <mergeCell ref="AG356:BC356"/>
    <mergeCell ref="B357:C357"/>
    <mergeCell ref="D357:G357"/>
    <mergeCell ref="H357:O357"/>
    <mergeCell ref="P357:V357"/>
    <mergeCell ref="W357:AB357"/>
    <mergeCell ref="AC357:AF357"/>
    <mergeCell ref="AG357:BC357"/>
    <mergeCell ref="B358:C358"/>
    <mergeCell ref="D358:G358"/>
    <mergeCell ref="H358:O358"/>
    <mergeCell ref="P358:V358"/>
    <mergeCell ref="W358:AB358"/>
    <mergeCell ref="AC358:AF358"/>
    <mergeCell ref="AG358:BC358"/>
    <mergeCell ref="B359:C359"/>
    <mergeCell ref="D359:G359"/>
    <mergeCell ref="H359:O359"/>
    <mergeCell ref="P359:V359"/>
    <mergeCell ref="W359:AB359"/>
    <mergeCell ref="AC359:AF359"/>
    <mergeCell ref="AG359:BC359"/>
    <mergeCell ref="B360:C360"/>
    <mergeCell ref="D360:G360"/>
    <mergeCell ref="H360:O360"/>
    <mergeCell ref="P360:V360"/>
    <mergeCell ref="W360:AB360"/>
    <mergeCell ref="AC360:AF360"/>
    <mergeCell ref="AG360:BC360"/>
    <mergeCell ref="B361:C361"/>
    <mergeCell ref="D361:G361"/>
    <mergeCell ref="H361:O361"/>
    <mergeCell ref="P361:V361"/>
    <mergeCell ref="W361:AB361"/>
    <mergeCell ref="AC361:AF361"/>
    <mergeCell ref="AG361:BC361"/>
    <mergeCell ref="B362:C362"/>
    <mergeCell ref="D362:G362"/>
    <mergeCell ref="H362:O362"/>
    <mergeCell ref="P362:V362"/>
    <mergeCell ref="W362:AB362"/>
    <mergeCell ref="AC362:AF362"/>
    <mergeCell ref="AG362:BC362"/>
    <mergeCell ref="B363:C363"/>
    <mergeCell ref="D363:G363"/>
    <mergeCell ref="H363:O363"/>
    <mergeCell ref="P363:V363"/>
    <mergeCell ref="W363:AB363"/>
    <mergeCell ref="AC363:AF363"/>
    <mergeCell ref="AG363:BC363"/>
    <mergeCell ref="B364:C364"/>
    <mergeCell ref="D364:G364"/>
    <mergeCell ref="H364:O364"/>
    <mergeCell ref="P364:V364"/>
    <mergeCell ref="W364:AB364"/>
    <mergeCell ref="AC364:AF364"/>
    <mergeCell ref="AG364:BC364"/>
    <mergeCell ref="B365:C365"/>
    <mergeCell ref="D365:G365"/>
    <mergeCell ref="H365:O365"/>
    <mergeCell ref="P365:V365"/>
    <mergeCell ref="W365:AB365"/>
    <mergeCell ref="AC365:AF365"/>
    <mergeCell ref="AG365:BC365"/>
    <mergeCell ref="B366:C366"/>
    <mergeCell ref="D366:G366"/>
    <mergeCell ref="H366:O366"/>
    <mergeCell ref="P366:V366"/>
    <mergeCell ref="W366:AB366"/>
    <mergeCell ref="AC366:AF366"/>
    <mergeCell ref="AG366:BC366"/>
    <mergeCell ref="B367:C367"/>
    <mergeCell ref="D367:G367"/>
    <mergeCell ref="H367:O367"/>
    <mergeCell ref="P367:V367"/>
    <mergeCell ref="W367:AB367"/>
    <mergeCell ref="AC367:AF367"/>
    <mergeCell ref="AG367:BC367"/>
    <mergeCell ref="B368:C368"/>
    <mergeCell ref="D368:G368"/>
    <mergeCell ref="H368:O368"/>
    <mergeCell ref="P368:V368"/>
    <mergeCell ref="W368:AB368"/>
    <mergeCell ref="AC368:AF368"/>
    <mergeCell ref="AG368:BC368"/>
    <mergeCell ref="B369:C369"/>
    <mergeCell ref="D369:G369"/>
    <mergeCell ref="H369:O369"/>
    <mergeCell ref="P369:V369"/>
    <mergeCell ref="W369:AB369"/>
    <mergeCell ref="AC369:AF369"/>
    <mergeCell ref="AG369:BC369"/>
    <mergeCell ref="B370:C370"/>
    <mergeCell ref="D370:G370"/>
    <mergeCell ref="H370:O370"/>
    <mergeCell ref="P370:V370"/>
    <mergeCell ref="W370:AB370"/>
    <mergeCell ref="AC370:AF370"/>
    <mergeCell ref="AG370:BC370"/>
    <mergeCell ref="B371:C371"/>
    <mergeCell ref="D371:G371"/>
    <mergeCell ref="H371:O371"/>
    <mergeCell ref="P371:V371"/>
    <mergeCell ref="W371:AB371"/>
    <mergeCell ref="AC371:AF371"/>
    <mergeCell ref="AG371:BC371"/>
    <mergeCell ref="B372:C372"/>
    <mergeCell ref="D372:G372"/>
    <mergeCell ref="H372:O372"/>
    <mergeCell ref="P372:V372"/>
    <mergeCell ref="W372:AB372"/>
    <mergeCell ref="AC372:AF372"/>
    <mergeCell ref="AG372:BC372"/>
    <mergeCell ref="B373:C373"/>
    <mergeCell ref="D373:G373"/>
    <mergeCell ref="H373:O373"/>
    <mergeCell ref="P373:V373"/>
    <mergeCell ref="W373:AB373"/>
    <mergeCell ref="AC373:AF373"/>
    <mergeCell ref="AG373:BC373"/>
    <mergeCell ref="B374:C374"/>
    <mergeCell ref="D374:G374"/>
    <mergeCell ref="H374:O374"/>
    <mergeCell ref="P374:V374"/>
    <mergeCell ref="W374:AB374"/>
    <mergeCell ref="AC374:AF374"/>
    <mergeCell ref="AG374:BC374"/>
    <mergeCell ref="B375:C375"/>
    <mergeCell ref="D375:G375"/>
    <mergeCell ref="H375:O375"/>
    <mergeCell ref="P375:V375"/>
    <mergeCell ref="W375:AB375"/>
    <mergeCell ref="AC375:AF375"/>
    <mergeCell ref="AG375:BC375"/>
    <mergeCell ref="B376:C376"/>
    <mergeCell ref="D376:G376"/>
    <mergeCell ref="H376:O376"/>
    <mergeCell ref="P376:V376"/>
    <mergeCell ref="W376:AB376"/>
    <mergeCell ref="AC376:AF376"/>
    <mergeCell ref="AG376:BC376"/>
    <mergeCell ref="B377:C377"/>
    <mergeCell ref="D377:G377"/>
    <mergeCell ref="H377:O377"/>
    <mergeCell ref="P377:V377"/>
    <mergeCell ref="W377:AB377"/>
    <mergeCell ref="AC377:AF377"/>
    <mergeCell ref="AG377:BC377"/>
    <mergeCell ref="B378:C378"/>
    <mergeCell ref="D378:G378"/>
    <mergeCell ref="H378:O378"/>
    <mergeCell ref="P378:V378"/>
    <mergeCell ref="W378:AB378"/>
    <mergeCell ref="AC378:AF378"/>
    <mergeCell ref="AG378:BC378"/>
    <mergeCell ref="B379:C379"/>
    <mergeCell ref="D379:G379"/>
    <mergeCell ref="H379:O379"/>
    <mergeCell ref="P379:V379"/>
    <mergeCell ref="W379:AB379"/>
    <mergeCell ref="AC379:AF379"/>
    <mergeCell ref="AG379:BC379"/>
    <mergeCell ref="B380:C380"/>
    <mergeCell ref="D380:G380"/>
    <mergeCell ref="H380:O380"/>
    <mergeCell ref="P380:V380"/>
    <mergeCell ref="W380:AB380"/>
    <mergeCell ref="AC380:AF380"/>
    <mergeCell ref="AG380:BC380"/>
    <mergeCell ref="B381:C381"/>
    <mergeCell ref="D381:G381"/>
    <mergeCell ref="H381:O381"/>
    <mergeCell ref="P381:V381"/>
    <mergeCell ref="W381:AB381"/>
    <mergeCell ref="AC381:AF381"/>
    <mergeCell ref="AG381:BC381"/>
    <mergeCell ref="B382:C382"/>
    <mergeCell ref="D382:G382"/>
    <mergeCell ref="H382:O382"/>
    <mergeCell ref="P382:V382"/>
    <mergeCell ref="W382:AB382"/>
    <mergeCell ref="AC382:AF382"/>
    <mergeCell ref="AG382:BC382"/>
    <mergeCell ref="B383:C383"/>
    <mergeCell ref="D383:G383"/>
    <mergeCell ref="H383:O383"/>
    <mergeCell ref="P383:V383"/>
    <mergeCell ref="W383:AB383"/>
    <mergeCell ref="AC383:AF383"/>
    <mergeCell ref="AG383:BC383"/>
    <mergeCell ref="B384:C384"/>
    <mergeCell ref="D384:G384"/>
    <mergeCell ref="H384:O384"/>
    <mergeCell ref="P384:V384"/>
    <mergeCell ref="W384:AB384"/>
    <mergeCell ref="AC384:AF384"/>
    <mergeCell ref="AG384:BC384"/>
    <mergeCell ref="B385:C385"/>
    <mergeCell ref="D385:G385"/>
    <mergeCell ref="H385:O385"/>
    <mergeCell ref="P385:V385"/>
    <mergeCell ref="W385:AB385"/>
    <mergeCell ref="AC385:AF385"/>
    <mergeCell ref="AG385:BC385"/>
    <mergeCell ref="B386:C386"/>
    <mergeCell ref="D386:G386"/>
    <mergeCell ref="H386:O386"/>
    <mergeCell ref="P386:V386"/>
    <mergeCell ref="W386:AB386"/>
    <mergeCell ref="AC386:AF386"/>
    <mergeCell ref="AG386:BC386"/>
    <mergeCell ref="B387:C387"/>
    <mergeCell ref="D387:G387"/>
    <mergeCell ref="H387:O387"/>
    <mergeCell ref="P387:V387"/>
    <mergeCell ref="W387:AB387"/>
    <mergeCell ref="AC387:AF387"/>
    <mergeCell ref="AG387:BC387"/>
    <mergeCell ref="B388:C388"/>
    <mergeCell ref="D388:G388"/>
    <mergeCell ref="H388:O388"/>
    <mergeCell ref="P388:V388"/>
    <mergeCell ref="W388:AB388"/>
    <mergeCell ref="AC388:AF388"/>
    <mergeCell ref="AG388:BC388"/>
    <mergeCell ref="B389:C389"/>
    <mergeCell ref="D389:G389"/>
    <mergeCell ref="H389:O389"/>
    <mergeCell ref="P389:V389"/>
    <mergeCell ref="W389:AB389"/>
    <mergeCell ref="AC389:AF389"/>
    <mergeCell ref="AG389:BC389"/>
    <mergeCell ref="B390:C390"/>
    <mergeCell ref="D390:G390"/>
    <mergeCell ref="H390:O390"/>
    <mergeCell ref="P390:V390"/>
    <mergeCell ref="W390:AB390"/>
    <mergeCell ref="AC390:AF390"/>
    <mergeCell ref="AG390:BC390"/>
    <mergeCell ref="B391:C391"/>
    <mergeCell ref="D391:G391"/>
    <mergeCell ref="H391:O391"/>
    <mergeCell ref="P391:V391"/>
    <mergeCell ref="W391:AB391"/>
    <mergeCell ref="AC391:AF391"/>
    <mergeCell ref="AG391:BC391"/>
    <mergeCell ref="B392:C392"/>
    <mergeCell ref="D392:G392"/>
    <mergeCell ref="H392:O392"/>
    <mergeCell ref="P392:V392"/>
    <mergeCell ref="W392:AB392"/>
    <mergeCell ref="AC392:AF392"/>
    <mergeCell ref="AG392:BC392"/>
    <mergeCell ref="B393:C393"/>
    <mergeCell ref="D393:G393"/>
    <mergeCell ref="H393:O393"/>
    <mergeCell ref="P393:V393"/>
    <mergeCell ref="W393:AB393"/>
    <mergeCell ref="AC393:AF393"/>
    <mergeCell ref="AG393:BC393"/>
    <mergeCell ref="B394:C394"/>
    <mergeCell ref="D394:G394"/>
    <mergeCell ref="H394:O394"/>
    <mergeCell ref="P394:V394"/>
    <mergeCell ref="W394:AB394"/>
    <mergeCell ref="AC394:AF394"/>
    <mergeCell ref="AG394:BC394"/>
    <mergeCell ref="B395:C395"/>
    <mergeCell ref="D395:G395"/>
    <mergeCell ref="H395:O395"/>
    <mergeCell ref="P395:V395"/>
    <mergeCell ref="W395:AB395"/>
    <mergeCell ref="AC395:AF395"/>
    <mergeCell ref="AG395:BC395"/>
    <mergeCell ref="B396:C396"/>
    <mergeCell ref="D396:G396"/>
    <mergeCell ref="H396:O396"/>
    <mergeCell ref="P396:V396"/>
    <mergeCell ref="W396:AB396"/>
    <mergeCell ref="AC396:AF396"/>
    <mergeCell ref="AG396:BC396"/>
    <mergeCell ref="B397:C397"/>
    <mergeCell ref="D397:G397"/>
    <mergeCell ref="H397:O397"/>
    <mergeCell ref="P397:V397"/>
    <mergeCell ref="W397:AB397"/>
    <mergeCell ref="AC397:AF397"/>
    <mergeCell ref="AG397:BC397"/>
    <mergeCell ref="B398:C398"/>
    <mergeCell ref="D398:G398"/>
    <mergeCell ref="H398:O398"/>
    <mergeCell ref="P398:V398"/>
    <mergeCell ref="W398:AB398"/>
    <mergeCell ref="AC398:AF398"/>
    <mergeCell ref="AG398:BC398"/>
    <mergeCell ref="B399:C399"/>
    <mergeCell ref="D399:G399"/>
    <mergeCell ref="H399:O399"/>
    <mergeCell ref="P399:V399"/>
    <mergeCell ref="W399:AB399"/>
    <mergeCell ref="AC399:AF399"/>
    <mergeCell ref="AG399:BC399"/>
    <mergeCell ref="B400:C400"/>
    <mergeCell ref="D400:G400"/>
    <mergeCell ref="H400:O400"/>
    <mergeCell ref="P400:V400"/>
    <mergeCell ref="W400:AB400"/>
    <mergeCell ref="AC400:AF400"/>
    <mergeCell ref="AG400:BC400"/>
    <mergeCell ref="B401:C401"/>
    <mergeCell ref="D401:G401"/>
    <mergeCell ref="H401:O401"/>
    <mergeCell ref="P401:V401"/>
    <mergeCell ref="W401:AB401"/>
    <mergeCell ref="AC401:AF401"/>
    <mergeCell ref="AG401:BC401"/>
    <mergeCell ref="B402:C402"/>
    <mergeCell ref="D402:G402"/>
    <mergeCell ref="H402:O402"/>
    <mergeCell ref="P402:V402"/>
    <mergeCell ref="W402:AB402"/>
    <mergeCell ref="AC402:AF402"/>
    <mergeCell ref="AG402:BC402"/>
    <mergeCell ref="B403:C403"/>
    <mergeCell ref="D403:G403"/>
    <mergeCell ref="H403:O403"/>
    <mergeCell ref="P403:V403"/>
    <mergeCell ref="W403:AB403"/>
    <mergeCell ref="AC403:AF403"/>
    <mergeCell ref="AG403:BC403"/>
    <mergeCell ref="B404:C404"/>
    <mergeCell ref="D404:G404"/>
    <mergeCell ref="H404:O404"/>
    <mergeCell ref="P404:V404"/>
    <mergeCell ref="W404:AB404"/>
    <mergeCell ref="AC404:AF404"/>
    <mergeCell ref="AG404:BC404"/>
    <mergeCell ref="B405:C405"/>
    <mergeCell ref="D405:G405"/>
    <mergeCell ref="H405:O405"/>
    <mergeCell ref="P405:V405"/>
    <mergeCell ref="W405:AB405"/>
    <mergeCell ref="AC405:AF405"/>
    <mergeCell ref="AG405:BC405"/>
    <mergeCell ref="B406:C406"/>
    <mergeCell ref="D406:G406"/>
    <mergeCell ref="H406:O406"/>
    <mergeCell ref="P406:V406"/>
    <mergeCell ref="W406:AB406"/>
    <mergeCell ref="AC406:AF406"/>
    <mergeCell ref="AG406:BC406"/>
    <mergeCell ref="B407:C407"/>
    <mergeCell ref="D407:G407"/>
    <mergeCell ref="H407:O407"/>
    <mergeCell ref="P407:V407"/>
    <mergeCell ref="W407:AB407"/>
    <mergeCell ref="AC407:AF407"/>
    <mergeCell ref="AG407:BC407"/>
    <mergeCell ref="B408:C408"/>
    <mergeCell ref="D408:G408"/>
    <mergeCell ref="H408:O408"/>
    <mergeCell ref="P408:V408"/>
    <mergeCell ref="W408:AB408"/>
    <mergeCell ref="AC408:AF408"/>
    <mergeCell ref="AG408:BC408"/>
    <mergeCell ref="B409:C409"/>
    <mergeCell ref="D409:G409"/>
    <mergeCell ref="H409:O409"/>
    <mergeCell ref="P409:V409"/>
    <mergeCell ref="W409:AB409"/>
    <mergeCell ref="AC409:AF409"/>
    <mergeCell ref="AG409:BC409"/>
    <mergeCell ref="B410:C410"/>
    <mergeCell ref="D410:G410"/>
    <mergeCell ref="H410:O410"/>
    <mergeCell ref="P410:V410"/>
    <mergeCell ref="W410:AB410"/>
    <mergeCell ref="AC410:AF410"/>
    <mergeCell ref="AG410:BC410"/>
    <mergeCell ref="B411:C411"/>
    <mergeCell ref="D411:G411"/>
    <mergeCell ref="H411:O411"/>
    <mergeCell ref="P411:V411"/>
    <mergeCell ref="W411:AB411"/>
    <mergeCell ref="AC411:AF411"/>
    <mergeCell ref="AG411:BC411"/>
    <mergeCell ref="B412:C412"/>
    <mergeCell ref="D412:G412"/>
    <mergeCell ref="H412:O412"/>
    <mergeCell ref="P412:V412"/>
    <mergeCell ref="W412:AB412"/>
    <mergeCell ref="AC412:AF412"/>
    <mergeCell ref="AG412:BC412"/>
    <mergeCell ref="B413:C413"/>
    <mergeCell ref="D413:G413"/>
    <mergeCell ref="H413:O413"/>
    <mergeCell ref="P413:V413"/>
    <mergeCell ref="W413:AB413"/>
    <mergeCell ref="AC413:AF413"/>
    <mergeCell ref="AG413:BC413"/>
    <mergeCell ref="B414:C414"/>
    <mergeCell ref="D414:G414"/>
    <mergeCell ref="H414:O414"/>
    <mergeCell ref="P414:V414"/>
    <mergeCell ref="W414:AB414"/>
    <mergeCell ref="AC414:AF414"/>
    <mergeCell ref="AG414:BC414"/>
    <mergeCell ref="B415:C415"/>
    <mergeCell ref="D415:G415"/>
    <mergeCell ref="H415:O415"/>
    <mergeCell ref="P415:V415"/>
    <mergeCell ref="W415:AB415"/>
    <mergeCell ref="AC415:AF415"/>
    <mergeCell ref="AG415:BC415"/>
    <mergeCell ref="B416:C416"/>
    <mergeCell ref="D416:G416"/>
    <mergeCell ref="H416:O416"/>
    <mergeCell ref="P416:V416"/>
    <mergeCell ref="W416:AB416"/>
    <mergeCell ref="AC416:AF416"/>
    <mergeCell ref="AG416:BC416"/>
    <mergeCell ref="B417:C417"/>
    <mergeCell ref="D417:G417"/>
    <mergeCell ref="H417:O417"/>
    <mergeCell ref="P417:V417"/>
    <mergeCell ref="W417:AB417"/>
    <mergeCell ref="AC417:AF417"/>
    <mergeCell ref="AG417:BC417"/>
    <mergeCell ref="B418:C418"/>
    <mergeCell ref="D418:G418"/>
    <mergeCell ref="H418:O418"/>
    <mergeCell ref="P418:V418"/>
    <mergeCell ref="W418:AB418"/>
    <mergeCell ref="AC418:AF418"/>
    <mergeCell ref="AG418:BC418"/>
    <mergeCell ref="B419:C419"/>
    <mergeCell ref="D419:G419"/>
    <mergeCell ref="H419:O419"/>
    <mergeCell ref="P419:V419"/>
    <mergeCell ref="W419:AB419"/>
    <mergeCell ref="AC419:AF419"/>
    <mergeCell ref="AG419:BC419"/>
    <mergeCell ref="B420:C420"/>
    <mergeCell ref="D420:G420"/>
    <mergeCell ref="H420:O420"/>
    <mergeCell ref="P420:V420"/>
    <mergeCell ref="W420:AB420"/>
    <mergeCell ref="AC420:AF420"/>
    <mergeCell ref="AG420:BC420"/>
    <mergeCell ref="B421:C421"/>
    <mergeCell ref="D421:G421"/>
    <mergeCell ref="H421:O421"/>
    <mergeCell ref="P421:V421"/>
    <mergeCell ref="W421:AB421"/>
    <mergeCell ref="AC421:AF421"/>
    <mergeCell ref="AG421:BC421"/>
    <mergeCell ref="B422:C422"/>
    <mergeCell ref="D422:G422"/>
    <mergeCell ref="H422:O422"/>
    <mergeCell ref="P422:V422"/>
    <mergeCell ref="W422:AB422"/>
    <mergeCell ref="AC422:AF422"/>
    <mergeCell ref="AG422:BC422"/>
    <mergeCell ref="B423:C423"/>
    <mergeCell ref="D423:G423"/>
    <mergeCell ref="H423:O423"/>
    <mergeCell ref="P423:V423"/>
    <mergeCell ref="W423:AB423"/>
    <mergeCell ref="AC423:AF423"/>
    <mergeCell ref="AG423:BC423"/>
    <mergeCell ref="B424:C424"/>
    <mergeCell ref="D424:G424"/>
    <mergeCell ref="H424:O424"/>
    <mergeCell ref="P424:V424"/>
    <mergeCell ref="W424:AB424"/>
    <mergeCell ref="AC424:AF424"/>
    <mergeCell ref="AG424:BC424"/>
    <mergeCell ref="B425:C425"/>
    <mergeCell ref="D425:G425"/>
    <mergeCell ref="H425:O425"/>
    <mergeCell ref="P425:V425"/>
    <mergeCell ref="W425:AB425"/>
    <mergeCell ref="AC425:AF425"/>
    <mergeCell ref="AG425:BC425"/>
    <mergeCell ref="B426:C426"/>
    <mergeCell ref="D426:G426"/>
    <mergeCell ref="H426:O426"/>
    <mergeCell ref="P426:V426"/>
    <mergeCell ref="W426:AB426"/>
    <mergeCell ref="AC426:AF426"/>
    <mergeCell ref="AG426:BC426"/>
    <mergeCell ref="B427:C427"/>
    <mergeCell ref="D427:G427"/>
    <mergeCell ref="H427:O427"/>
    <mergeCell ref="P427:V427"/>
    <mergeCell ref="W427:AB427"/>
    <mergeCell ref="AC427:AF427"/>
    <mergeCell ref="AG427:BC427"/>
    <mergeCell ref="B428:C428"/>
    <mergeCell ref="D428:G428"/>
    <mergeCell ref="H428:O428"/>
    <mergeCell ref="P428:V428"/>
    <mergeCell ref="W428:AB428"/>
    <mergeCell ref="AC428:AF428"/>
    <mergeCell ref="AG428:BC428"/>
    <mergeCell ref="B429:C429"/>
    <mergeCell ref="D429:G429"/>
    <mergeCell ref="H429:O429"/>
    <mergeCell ref="P429:V429"/>
    <mergeCell ref="W429:AB429"/>
    <mergeCell ref="AC429:AF429"/>
    <mergeCell ref="AG429:BC429"/>
    <mergeCell ref="B430:C430"/>
    <mergeCell ref="D430:G430"/>
    <mergeCell ref="H430:O430"/>
    <mergeCell ref="P430:V430"/>
    <mergeCell ref="W430:AB430"/>
    <mergeCell ref="AC430:AF430"/>
    <mergeCell ref="AG430:BC430"/>
    <mergeCell ref="B431:C431"/>
    <mergeCell ref="D431:G431"/>
    <mergeCell ref="H431:O431"/>
    <mergeCell ref="P431:V431"/>
    <mergeCell ref="W431:AB431"/>
    <mergeCell ref="AC431:AF431"/>
    <mergeCell ref="AG431:BC431"/>
    <mergeCell ref="B432:C432"/>
    <mergeCell ref="D432:G432"/>
    <mergeCell ref="H432:O432"/>
    <mergeCell ref="P432:V432"/>
    <mergeCell ref="W432:AB432"/>
    <mergeCell ref="AC432:AF432"/>
    <mergeCell ref="AG432:BC432"/>
    <mergeCell ref="B433:C433"/>
    <mergeCell ref="D433:G433"/>
    <mergeCell ref="H433:O433"/>
    <mergeCell ref="P433:V433"/>
    <mergeCell ref="W433:AB433"/>
    <mergeCell ref="AC433:AF433"/>
    <mergeCell ref="AG433:BC433"/>
    <mergeCell ref="B434:C434"/>
    <mergeCell ref="D434:G434"/>
    <mergeCell ref="H434:O434"/>
    <mergeCell ref="P434:V434"/>
    <mergeCell ref="W434:AB434"/>
    <mergeCell ref="AC434:AF434"/>
    <mergeCell ref="AG434:BC434"/>
    <mergeCell ref="B435:C435"/>
    <mergeCell ref="D435:G435"/>
    <mergeCell ref="H435:O435"/>
    <mergeCell ref="P435:V435"/>
    <mergeCell ref="W435:AB435"/>
    <mergeCell ref="AC435:AF435"/>
    <mergeCell ref="AG435:BC435"/>
    <mergeCell ref="B436:C436"/>
    <mergeCell ref="D436:G436"/>
    <mergeCell ref="H436:O436"/>
    <mergeCell ref="P436:V436"/>
    <mergeCell ref="W436:AB436"/>
    <mergeCell ref="AC436:AF436"/>
    <mergeCell ref="AG436:BC436"/>
    <mergeCell ref="B437:C437"/>
    <mergeCell ref="D437:G437"/>
    <mergeCell ref="H437:O437"/>
    <mergeCell ref="P437:V437"/>
    <mergeCell ref="W437:AB437"/>
    <mergeCell ref="AC437:AF437"/>
    <mergeCell ref="AG437:BC437"/>
    <mergeCell ref="B438:C438"/>
    <mergeCell ref="D438:G438"/>
    <mergeCell ref="H438:O438"/>
    <mergeCell ref="P438:V438"/>
    <mergeCell ref="W438:AB438"/>
    <mergeCell ref="AC438:AF438"/>
    <mergeCell ref="AG438:BC438"/>
    <mergeCell ref="B439:C439"/>
    <mergeCell ref="D439:G439"/>
    <mergeCell ref="H439:O439"/>
    <mergeCell ref="P439:V439"/>
    <mergeCell ref="W439:AB439"/>
    <mergeCell ref="AC439:AF439"/>
    <mergeCell ref="AG439:BC439"/>
    <mergeCell ref="B440:C440"/>
    <mergeCell ref="D440:G440"/>
    <mergeCell ref="H440:O440"/>
    <mergeCell ref="P440:V440"/>
    <mergeCell ref="W440:AB440"/>
    <mergeCell ref="AC440:AF440"/>
    <mergeCell ref="AG440:BC440"/>
    <mergeCell ref="B441:C441"/>
    <mergeCell ref="D441:G441"/>
    <mergeCell ref="H441:O441"/>
    <mergeCell ref="P441:V441"/>
    <mergeCell ref="W441:AB441"/>
    <mergeCell ref="AC441:AF441"/>
    <mergeCell ref="AG441:BC441"/>
    <mergeCell ref="B442:C442"/>
    <mergeCell ref="D442:G442"/>
    <mergeCell ref="H442:O442"/>
    <mergeCell ref="P442:V442"/>
    <mergeCell ref="W442:AB442"/>
    <mergeCell ref="AC442:AF442"/>
    <mergeCell ref="AG442:BC442"/>
    <mergeCell ref="B443:C443"/>
    <mergeCell ref="D443:G443"/>
    <mergeCell ref="H443:O443"/>
    <mergeCell ref="P443:V443"/>
    <mergeCell ref="W443:AB443"/>
    <mergeCell ref="AC443:AF443"/>
    <mergeCell ref="AG443:BC443"/>
    <mergeCell ref="B444:C444"/>
    <mergeCell ref="D444:G444"/>
    <mergeCell ref="H444:O444"/>
    <mergeCell ref="P444:V444"/>
    <mergeCell ref="W444:AB444"/>
    <mergeCell ref="AC444:AF444"/>
    <mergeCell ref="AG444:BC444"/>
    <mergeCell ref="B445:C445"/>
    <mergeCell ref="D445:G445"/>
    <mergeCell ref="H445:O445"/>
    <mergeCell ref="P445:V445"/>
    <mergeCell ref="W445:AB445"/>
    <mergeCell ref="AC445:AF445"/>
    <mergeCell ref="AG445:BC445"/>
    <mergeCell ref="B446:C446"/>
    <mergeCell ref="D446:G446"/>
    <mergeCell ref="H446:O446"/>
    <mergeCell ref="P446:V446"/>
    <mergeCell ref="W446:AB446"/>
    <mergeCell ref="AC446:AF446"/>
    <mergeCell ref="AG446:BC446"/>
    <mergeCell ref="B447:C447"/>
    <mergeCell ref="D447:G447"/>
    <mergeCell ref="H447:O447"/>
    <mergeCell ref="P447:V447"/>
    <mergeCell ref="W447:AB447"/>
    <mergeCell ref="AC447:AF447"/>
    <mergeCell ref="AG447:BC447"/>
    <mergeCell ref="B448:C448"/>
    <mergeCell ref="D448:G448"/>
    <mergeCell ref="H448:O448"/>
    <mergeCell ref="P448:V448"/>
    <mergeCell ref="W448:AB448"/>
    <mergeCell ref="AC448:AF448"/>
    <mergeCell ref="AG448:BC448"/>
    <mergeCell ref="B449:C449"/>
    <mergeCell ref="D449:G449"/>
    <mergeCell ref="H449:O449"/>
    <mergeCell ref="P449:V449"/>
    <mergeCell ref="W449:AB449"/>
    <mergeCell ref="AC449:AF449"/>
    <mergeCell ref="AG449:BC449"/>
    <mergeCell ref="B450:C450"/>
    <mergeCell ref="D450:G450"/>
    <mergeCell ref="H450:O450"/>
    <mergeCell ref="P450:V450"/>
    <mergeCell ref="W450:AB450"/>
    <mergeCell ref="AC450:AF450"/>
    <mergeCell ref="AG450:BC450"/>
    <mergeCell ref="B451:C451"/>
    <mergeCell ref="D451:G451"/>
    <mergeCell ref="H451:O451"/>
    <mergeCell ref="P451:V451"/>
    <mergeCell ref="W451:AB451"/>
    <mergeCell ref="AC451:AF451"/>
    <mergeCell ref="AG451:BC451"/>
    <mergeCell ref="B452:C452"/>
    <mergeCell ref="D452:G452"/>
    <mergeCell ref="H452:O452"/>
    <mergeCell ref="P452:V452"/>
    <mergeCell ref="W452:AB452"/>
    <mergeCell ref="AC452:AF452"/>
    <mergeCell ref="AG452:BC452"/>
    <mergeCell ref="B453:C453"/>
    <mergeCell ref="D453:G453"/>
    <mergeCell ref="H453:O453"/>
    <mergeCell ref="P453:V453"/>
    <mergeCell ref="W453:AB453"/>
    <mergeCell ref="AC453:AF453"/>
    <mergeCell ref="AG453:BC453"/>
    <mergeCell ref="B454:C454"/>
    <mergeCell ref="D454:G454"/>
    <mergeCell ref="H454:O454"/>
    <mergeCell ref="P454:V454"/>
    <mergeCell ref="W454:AB454"/>
    <mergeCell ref="AC454:AF454"/>
    <mergeCell ref="AG454:BC454"/>
    <mergeCell ref="B455:C455"/>
    <mergeCell ref="D455:G455"/>
    <mergeCell ref="H455:O455"/>
    <mergeCell ref="P455:V455"/>
    <mergeCell ref="W455:AB455"/>
    <mergeCell ref="AC455:AF455"/>
    <mergeCell ref="AG455:BC455"/>
    <mergeCell ref="B456:C456"/>
    <mergeCell ref="D456:G456"/>
    <mergeCell ref="H456:O456"/>
    <mergeCell ref="P456:V456"/>
    <mergeCell ref="W456:AB456"/>
    <mergeCell ref="AC456:AF456"/>
    <mergeCell ref="AG456:BC456"/>
    <mergeCell ref="B457:C457"/>
    <mergeCell ref="D457:G457"/>
    <mergeCell ref="H457:O457"/>
    <mergeCell ref="P457:V457"/>
    <mergeCell ref="W457:AB457"/>
    <mergeCell ref="AC457:AF457"/>
    <mergeCell ref="AG457:BC457"/>
    <mergeCell ref="B458:C458"/>
    <mergeCell ref="D458:G458"/>
    <mergeCell ref="H458:O458"/>
    <mergeCell ref="P458:V458"/>
    <mergeCell ref="W458:AB458"/>
    <mergeCell ref="AC458:AF458"/>
    <mergeCell ref="AG458:BC458"/>
    <mergeCell ref="B459:C459"/>
    <mergeCell ref="D459:G459"/>
    <mergeCell ref="H459:O459"/>
    <mergeCell ref="P459:V459"/>
    <mergeCell ref="W459:AB459"/>
    <mergeCell ref="AC459:AF459"/>
    <mergeCell ref="AG459:BC459"/>
    <mergeCell ref="B460:C460"/>
    <mergeCell ref="D460:G460"/>
    <mergeCell ref="H460:O460"/>
    <mergeCell ref="P460:V460"/>
    <mergeCell ref="W460:AB460"/>
    <mergeCell ref="AC460:AF460"/>
    <mergeCell ref="AG460:BC460"/>
    <mergeCell ref="B461:C461"/>
    <mergeCell ref="D461:G461"/>
    <mergeCell ref="H461:O461"/>
    <mergeCell ref="P461:V461"/>
    <mergeCell ref="W461:AB461"/>
    <mergeCell ref="AC461:AF461"/>
    <mergeCell ref="AG461:BC461"/>
    <mergeCell ref="B462:C462"/>
    <mergeCell ref="D462:G462"/>
    <mergeCell ref="H462:O462"/>
    <mergeCell ref="P462:V462"/>
    <mergeCell ref="W462:AB462"/>
    <mergeCell ref="AC462:AF462"/>
    <mergeCell ref="AG462:BC462"/>
    <mergeCell ref="B463:C463"/>
    <mergeCell ref="D463:G463"/>
    <mergeCell ref="H463:O463"/>
    <mergeCell ref="P463:V463"/>
    <mergeCell ref="W463:AB463"/>
    <mergeCell ref="AC463:AF463"/>
    <mergeCell ref="AG463:BC463"/>
    <mergeCell ref="B464:C464"/>
    <mergeCell ref="D464:G464"/>
    <mergeCell ref="H464:O464"/>
    <mergeCell ref="P464:V464"/>
    <mergeCell ref="W464:AB464"/>
    <mergeCell ref="AC464:AF464"/>
    <mergeCell ref="AG464:BC464"/>
    <mergeCell ref="B465:C465"/>
    <mergeCell ref="D465:G465"/>
    <mergeCell ref="H465:O465"/>
    <mergeCell ref="P465:V465"/>
    <mergeCell ref="W465:AB465"/>
    <mergeCell ref="AC465:AF465"/>
    <mergeCell ref="AG465:BC465"/>
    <mergeCell ref="B466:C466"/>
    <mergeCell ref="D466:G466"/>
    <mergeCell ref="H466:O466"/>
    <mergeCell ref="P466:V466"/>
    <mergeCell ref="W466:AB466"/>
    <mergeCell ref="AC466:AF466"/>
    <mergeCell ref="AG466:BC466"/>
    <mergeCell ref="B467:C467"/>
    <mergeCell ref="D467:G467"/>
    <mergeCell ref="H467:O467"/>
    <mergeCell ref="P467:V467"/>
    <mergeCell ref="W467:AB467"/>
    <mergeCell ref="AC467:AF467"/>
    <mergeCell ref="AG467:BC467"/>
    <mergeCell ref="B468:C468"/>
    <mergeCell ref="E468:BC468"/>
    <mergeCell ref="C470:AK470"/>
    <mergeCell ref="AL470:BC470"/>
    <mergeCell ref="B471:C471"/>
    <mergeCell ref="D471:G471"/>
    <mergeCell ref="H471:O471"/>
    <mergeCell ref="P471:V471"/>
    <mergeCell ref="W471:AB471"/>
    <mergeCell ref="AC471:AF471"/>
    <mergeCell ref="AG471:BC471"/>
    <mergeCell ref="B472:C472"/>
    <mergeCell ref="D472:G472"/>
    <mergeCell ref="H472:O472"/>
    <mergeCell ref="P472:V472"/>
    <mergeCell ref="W472:AB472"/>
    <mergeCell ref="AC472:AF472"/>
    <mergeCell ref="AG472:BC472"/>
    <mergeCell ref="B473:C473"/>
    <mergeCell ref="D473:G473"/>
    <mergeCell ref="H473:O473"/>
    <mergeCell ref="P473:V473"/>
    <mergeCell ref="W473:AB473"/>
    <mergeCell ref="AC473:AF473"/>
    <mergeCell ref="AG473:BC473"/>
    <mergeCell ref="B474:C474"/>
    <mergeCell ref="D474:G474"/>
    <mergeCell ref="H474:O474"/>
    <mergeCell ref="P474:V474"/>
    <mergeCell ref="W474:AB474"/>
    <mergeCell ref="AC474:AF474"/>
    <mergeCell ref="AG474:BC474"/>
    <mergeCell ref="B475:C475"/>
    <mergeCell ref="D475:G475"/>
    <mergeCell ref="H475:O475"/>
    <mergeCell ref="P475:V475"/>
    <mergeCell ref="W475:AB475"/>
    <mergeCell ref="AC475:AF475"/>
    <mergeCell ref="AG475:BC475"/>
    <mergeCell ref="B476:C476"/>
    <mergeCell ref="D476:G476"/>
    <mergeCell ref="H476:O476"/>
    <mergeCell ref="P476:V476"/>
    <mergeCell ref="W476:AB476"/>
    <mergeCell ref="AC476:AF476"/>
    <mergeCell ref="AG476:BC476"/>
    <mergeCell ref="B477:C477"/>
    <mergeCell ref="D477:G477"/>
    <mergeCell ref="H477:O477"/>
    <mergeCell ref="P477:V477"/>
    <mergeCell ref="W477:AB477"/>
    <mergeCell ref="AC477:AF477"/>
    <mergeCell ref="AG477:BC477"/>
    <mergeCell ref="B478:C478"/>
    <mergeCell ref="D478:G478"/>
    <mergeCell ref="H478:O478"/>
    <mergeCell ref="P478:V478"/>
    <mergeCell ref="W478:AB478"/>
    <mergeCell ref="AC478:AF478"/>
    <mergeCell ref="AG478:BC478"/>
    <mergeCell ref="B479:C479"/>
    <mergeCell ref="D479:G479"/>
    <mergeCell ref="H479:O479"/>
    <mergeCell ref="P479:V479"/>
    <mergeCell ref="W479:AB479"/>
    <mergeCell ref="AC479:AF479"/>
    <mergeCell ref="AG479:BC479"/>
    <mergeCell ref="B480:C480"/>
    <mergeCell ref="D480:G480"/>
    <mergeCell ref="H480:O480"/>
    <mergeCell ref="P480:V480"/>
    <mergeCell ref="W480:AB480"/>
    <mergeCell ref="AC480:AF480"/>
    <mergeCell ref="AG480:BC480"/>
    <mergeCell ref="B481:C481"/>
    <mergeCell ref="D481:G481"/>
    <mergeCell ref="H481:O481"/>
    <mergeCell ref="P481:V481"/>
    <mergeCell ref="W481:AB481"/>
    <mergeCell ref="AC481:AF481"/>
    <mergeCell ref="AG481:BC481"/>
    <mergeCell ref="B482:C482"/>
    <mergeCell ref="D482:G482"/>
    <mergeCell ref="H482:O482"/>
    <mergeCell ref="P482:V482"/>
    <mergeCell ref="W482:AB482"/>
    <mergeCell ref="AC482:AF482"/>
    <mergeCell ref="AG482:BC482"/>
    <mergeCell ref="B483:C483"/>
    <mergeCell ref="D483:G483"/>
    <mergeCell ref="H483:O483"/>
    <mergeCell ref="P483:V483"/>
    <mergeCell ref="W483:AB483"/>
    <mergeCell ref="AC483:AF483"/>
    <mergeCell ref="AG483:BC483"/>
    <mergeCell ref="B484:C484"/>
    <mergeCell ref="D484:G484"/>
    <mergeCell ref="H484:O484"/>
    <mergeCell ref="P484:V484"/>
    <mergeCell ref="W484:AB484"/>
    <mergeCell ref="AC484:AF484"/>
    <mergeCell ref="AG484:BC484"/>
    <mergeCell ref="B485:C485"/>
    <mergeCell ref="D485:G485"/>
    <mergeCell ref="H485:O485"/>
    <mergeCell ref="P485:V485"/>
    <mergeCell ref="W485:AB485"/>
    <mergeCell ref="AC485:AF485"/>
    <mergeCell ref="AG485:BC485"/>
    <mergeCell ref="B486:C486"/>
    <mergeCell ref="D486:G486"/>
    <mergeCell ref="H486:O486"/>
    <mergeCell ref="P486:V486"/>
    <mergeCell ref="W486:AB486"/>
    <mergeCell ref="AC486:AF486"/>
    <mergeCell ref="AG486:BC486"/>
    <mergeCell ref="B487:C487"/>
    <mergeCell ref="D487:G487"/>
    <mergeCell ref="H487:O487"/>
    <mergeCell ref="P487:V487"/>
    <mergeCell ref="W487:AB487"/>
    <mergeCell ref="AC487:AF487"/>
    <mergeCell ref="AG487:BC487"/>
    <mergeCell ref="B488:C488"/>
    <mergeCell ref="D488:G488"/>
    <mergeCell ref="H488:O488"/>
    <mergeCell ref="P488:V488"/>
    <mergeCell ref="W488:AB488"/>
    <mergeCell ref="AC488:AF488"/>
    <mergeCell ref="AG488:BC488"/>
    <mergeCell ref="B489:C489"/>
    <mergeCell ref="D489:G489"/>
    <mergeCell ref="H489:O489"/>
    <mergeCell ref="P489:V489"/>
    <mergeCell ref="W489:AB489"/>
    <mergeCell ref="AC489:AF489"/>
    <mergeCell ref="AG489:BC489"/>
    <mergeCell ref="B490:C490"/>
    <mergeCell ref="D490:G490"/>
    <mergeCell ref="H490:O490"/>
    <mergeCell ref="P490:V490"/>
    <mergeCell ref="W490:AB490"/>
    <mergeCell ref="AC490:AF490"/>
    <mergeCell ref="AG490:BC490"/>
    <mergeCell ref="B491:C491"/>
    <mergeCell ref="D491:G491"/>
    <mergeCell ref="H491:O491"/>
    <mergeCell ref="P491:V491"/>
    <mergeCell ref="W491:AB491"/>
    <mergeCell ref="AC491:AF491"/>
    <mergeCell ref="AG491:BC491"/>
    <mergeCell ref="B492:C492"/>
    <mergeCell ref="D492:G492"/>
    <mergeCell ref="H492:O492"/>
    <mergeCell ref="P492:V492"/>
    <mergeCell ref="W492:AB492"/>
    <mergeCell ref="AC492:AF492"/>
    <mergeCell ref="AG492:BC492"/>
    <mergeCell ref="B493:C493"/>
    <mergeCell ref="D493:G493"/>
    <mergeCell ref="H493:O493"/>
    <mergeCell ref="P493:V493"/>
    <mergeCell ref="W493:AB493"/>
    <mergeCell ref="AC493:AF493"/>
    <mergeCell ref="AG493:BC493"/>
    <mergeCell ref="B494:C494"/>
    <mergeCell ref="D494:G494"/>
    <mergeCell ref="H494:O494"/>
    <mergeCell ref="P494:V494"/>
    <mergeCell ref="W494:AB494"/>
    <mergeCell ref="AC494:AF494"/>
    <mergeCell ref="AG494:BC494"/>
    <mergeCell ref="B495:C495"/>
    <mergeCell ref="D495:G495"/>
    <mergeCell ref="H495:O495"/>
    <mergeCell ref="P495:V495"/>
    <mergeCell ref="W495:AB495"/>
    <mergeCell ref="AC495:AF495"/>
    <mergeCell ref="AG495:BC495"/>
    <mergeCell ref="B496:C496"/>
    <mergeCell ref="D496:G496"/>
    <mergeCell ref="H496:O496"/>
    <mergeCell ref="P496:V496"/>
    <mergeCell ref="W496:AB496"/>
    <mergeCell ref="AC496:AF496"/>
    <mergeCell ref="AG496:BC496"/>
    <mergeCell ref="B497:C497"/>
    <mergeCell ref="D497:G497"/>
    <mergeCell ref="H497:O497"/>
    <mergeCell ref="P497:V497"/>
    <mergeCell ref="W497:AB497"/>
    <mergeCell ref="AC497:AF497"/>
    <mergeCell ref="AG497:BC497"/>
    <mergeCell ref="B498:C498"/>
    <mergeCell ref="D498:G498"/>
    <mergeCell ref="H498:O498"/>
    <mergeCell ref="P498:V498"/>
    <mergeCell ref="W498:AB498"/>
    <mergeCell ref="AC498:AF498"/>
    <mergeCell ref="AG498:BC498"/>
    <mergeCell ref="B499:C499"/>
    <mergeCell ref="D499:G499"/>
    <mergeCell ref="H499:O499"/>
    <mergeCell ref="P499:V499"/>
    <mergeCell ref="W499:AB499"/>
    <mergeCell ref="AC499:AF499"/>
    <mergeCell ref="AG499:BC499"/>
    <mergeCell ref="B500:C500"/>
    <mergeCell ref="D500:G500"/>
    <mergeCell ref="H500:O500"/>
    <mergeCell ref="P500:V500"/>
    <mergeCell ref="W500:AB500"/>
    <mergeCell ref="AC500:AF500"/>
    <mergeCell ref="AG500:BC500"/>
    <mergeCell ref="B501:C501"/>
    <mergeCell ref="D501:G501"/>
    <mergeCell ref="H501:O501"/>
    <mergeCell ref="P501:V501"/>
    <mergeCell ref="W501:AB501"/>
    <mergeCell ref="AC501:AF501"/>
    <mergeCell ref="AG501:BC501"/>
    <mergeCell ref="B502:C502"/>
    <mergeCell ref="D502:G502"/>
    <mergeCell ref="H502:O502"/>
    <mergeCell ref="P502:V502"/>
    <mergeCell ref="W502:AB502"/>
    <mergeCell ref="AC502:AF502"/>
    <mergeCell ref="AG502:BC502"/>
    <mergeCell ref="B503:C503"/>
    <mergeCell ref="D503:G503"/>
    <mergeCell ref="H503:O503"/>
    <mergeCell ref="P503:V503"/>
    <mergeCell ref="W503:AB503"/>
    <mergeCell ref="AC503:AF503"/>
    <mergeCell ref="AG503:BC503"/>
    <mergeCell ref="B504:C504"/>
    <mergeCell ref="D504:G504"/>
    <mergeCell ref="H504:O504"/>
    <mergeCell ref="P504:V504"/>
    <mergeCell ref="W504:AB504"/>
    <mergeCell ref="AC504:AF504"/>
    <mergeCell ref="AG504:BC504"/>
    <mergeCell ref="B505:C505"/>
    <mergeCell ref="D505:G505"/>
    <mergeCell ref="H505:O505"/>
    <mergeCell ref="P505:V505"/>
    <mergeCell ref="W505:AB505"/>
    <mergeCell ref="AC505:AF505"/>
    <mergeCell ref="AG505:BC505"/>
    <mergeCell ref="B506:C506"/>
    <mergeCell ref="D506:G506"/>
    <mergeCell ref="H506:O506"/>
    <mergeCell ref="P506:V506"/>
    <mergeCell ref="W506:AB506"/>
    <mergeCell ref="AC506:AF506"/>
    <mergeCell ref="AG506:BC506"/>
    <mergeCell ref="B507:C507"/>
    <mergeCell ref="D507:G507"/>
    <mergeCell ref="H507:O507"/>
    <mergeCell ref="P507:V507"/>
    <mergeCell ref="W507:AB507"/>
    <mergeCell ref="AC507:AF507"/>
    <mergeCell ref="AG507:BC507"/>
    <mergeCell ref="B508:C508"/>
    <mergeCell ref="D508:G508"/>
    <mergeCell ref="H508:O508"/>
    <mergeCell ref="P508:V508"/>
    <mergeCell ref="W508:AB508"/>
    <mergeCell ref="AC508:AF508"/>
    <mergeCell ref="AG508:BC508"/>
    <mergeCell ref="B509:C509"/>
    <mergeCell ref="D509:G509"/>
    <mergeCell ref="H509:O509"/>
    <mergeCell ref="P509:V509"/>
    <mergeCell ref="W509:AB509"/>
    <mergeCell ref="AC509:AF509"/>
    <mergeCell ref="AG509:BC509"/>
    <mergeCell ref="B510:C510"/>
    <mergeCell ref="D510:G510"/>
    <mergeCell ref="H510:O510"/>
    <mergeCell ref="P510:V510"/>
    <mergeCell ref="W510:AB510"/>
    <mergeCell ref="AC510:AF510"/>
    <mergeCell ref="AG510:BC510"/>
    <mergeCell ref="B511:C511"/>
    <mergeCell ref="D511:G511"/>
    <mergeCell ref="H511:O511"/>
    <mergeCell ref="P511:V511"/>
    <mergeCell ref="W511:AB511"/>
    <mergeCell ref="AC511:AF511"/>
    <mergeCell ref="AG511:BC511"/>
    <mergeCell ref="B512:C512"/>
    <mergeCell ref="E512:BC512"/>
    <mergeCell ref="C514:AK514"/>
    <mergeCell ref="AL514:BC514"/>
    <mergeCell ref="B515:C515"/>
    <mergeCell ref="D515:G515"/>
    <mergeCell ref="H515:N515"/>
    <mergeCell ref="O515:AD515"/>
    <mergeCell ref="AE515:AH515"/>
    <mergeCell ref="AI515:AV515"/>
    <mergeCell ref="AW515:BC515"/>
    <mergeCell ref="B516:C516"/>
    <mergeCell ref="D516:G516"/>
    <mergeCell ref="H516:N516"/>
    <mergeCell ref="O516:AD516"/>
    <mergeCell ref="AE516:AH516"/>
    <mergeCell ref="AI516:AV516"/>
    <mergeCell ref="AW516:BC516"/>
    <mergeCell ref="B517:C517"/>
    <mergeCell ref="D517:G517"/>
    <mergeCell ref="H517:N517"/>
    <mergeCell ref="O517:AD517"/>
    <mergeCell ref="AE517:AH517"/>
    <mergeCell ref="AI517:AV517"/>
    <mergeCell ref="AW517:BC517"/>
    <mergeCell ref="B518:C518"/>
    <mergeCell ref="D518:G518"/>
    <mergeCell ref="H518:N518"/>
    <mergeCell ref="O518:AD518"/>
    <mergeCell ref="AE518:AH518"/>
    <mergeCell ref="AI518:AV518"/>
    <mergeCell ref="AW518:BC518"/>
    <mergeCell ref="B519:C519"/>
    <mergeCell ref="D519:G519"/>
    <mergeCell ref="H519:N519"/>
    <mergeCell ref="O519:AD519"/>
    <mergeCell ref="AE519:AH519"/>
    <mergeCell ref="AI519:AV519"/>
    <mergeCell ref="AW519:BC519"/>
    <mergeCell ref="B520:C520"/>
    <mergeCell ref="D520:G520"/>
    <mergeCell ref="H520:N520"/>
    <mergeCell ref="O520:AD520"/>
    <mergeCell ref="AE520:AH520"/>
    <mergeCell ref="AI520:AV520"/>
    <mergeCell ref="AW520:BC520"/>
    <mergeCell ref="B521:C521"/>
    <mergeCell ref="D521:G521"/>
    <mergeCell ref="H521:N521"/>
    <mergeCell ref="O521:AD521"/>
    <mergeCell ref="AE521:AH521"/>
    <mergeCell ref="AI521:AV521"/>
    <mergeCell ref="AW521:BC521"/>
    <mergeCell ref="B522:C522"/>
    <mergeCell ref="D522:G522"/>
    <mergeCell ref="H522:N522"/>
    <mergeCell ref="O522:AD522"/>
    <mergeCell ref="AE522:AH522"/>
    <mergeCell ref="AI522:AV522"/>
    <mergeCell ref="AW522:BC522"/>
    <mergeCell ref="B523:C523"/>
    <mergeCell ref="D523:G523"/>
    <mergeCell ref="H523:N523"/>
    <mergeCell ref="O523:AD523"/>
    <mergeCell ref="AE523:AH523"/>
    <mergeCell ref="AI523:AV523"/>
    <mergeCell ref="AW523:BC523"/>
    <mergeCell ref="B524:C524"/>
    <mergeCell ref="D524:G524"/>
    <mergeCell ref="H524:N524"/>
    <mergeCell ref="O524:AD524"/>
    <mergeCell ref="AE524:AH524"/>
    <mergeCell ref="AI524:AV524"/>
    <mergeCell ref="AW524:BC524"/>
    <mergeCell ref="B525:C525"/>
    <mergeCell ref="D525:G525"/>
    <mergeCell ref="H525:N525"/>
    <mergeCell ref="O525:AD525"/>
    <mergeCell ref="AE525:AH525"/>
    <mergeCell ref="AI525:AV525"/>
    <mergeCell ref="AW525:BC525"/>
    <mergeCell ref="B526:C526"/>
    <mergeCell ref="D526:G526"/>
    <mergeCell ref="H526:N526"/>
    <mergeCell ref="O526:AD526"/>
    <mergeCell ref="AE526:AH526"/>
    <mergeCell ref="AI526:AV526"/>
    <mergeCell ref="AW526:BC526"/>
    <mergeCell ref="B527:C527"/>
    <mergeCell ref="D527:G527"/>
    <mergeCell ref="H527:N527"/>
    <mergeCell ref="O527:AD527"/>
    <mergeCell ref="AE527:AH527"/>
    <mergeCell ref="AI527:AV527"/>
    <mergeCell ref="AW527:BC527"/>
    <mergeCell ref="B528:C528"/>
    <mergeCell ref="D528:G528"/>
    <mergeCell ref="H528:N528"/>
    <mergeCell ref="O528:AD528"/>
    <mergeCell ref="AE528:AH528"/>
    <mergeCell ref="AI528:AV528"/>
    <mergeCell ref="AW528:BC528"/>
    <mergeCell ref="B529:C529"/>
    <mergeCell ref="D529:G529"/>
    <mergeCell ref="H529:N529"/>
    <mergeCell ref="O529:AD529"/>
    <mergeCell ref="AE529:AH529"/>
    <mergeCell ref="AI529:AV529"/>
    <mergeCell ref="AW529:BC529"/>
    <mergeCell ref="B530:C530"/>
    <mergeCell ref="D530:G530"/>
    <mergeCell ref="H530:N530"/>
    <mergeCell ref="O530:AD530"/>
    <mergeCell ref="AE530:AH530"/>
    <mergeCell ref="AI530:AV530"/>
    <mergeCell ref="AW530:BC530"/>
    <mergeCell ref="B531:C531"/>
    <mergeCell ref="D531:G531"/>
    <mergeCell ref="H531:N531"/>
    <mergeCell ref="O531:AD531"/>
    <mergeCell ref="AE531:AH531"/>
    <mergeCell ref="AI531:AV531"/>
    <mergeCell ref="AW531:BC531"/>
    <mergeCell ref="B532:C532"/>
    <mergeCell ref="D532:G532"/>
    <mergeCell ref="H532:N532"/>
    <mergeCell ref="O532:AD532"/>
    <mergeCell ref="AE532:AH532"/>
    <mergeCell ref="AI532:AV532"/>
    <mergeCell ref="AW532:BC532"/>
    <mergeCell ref="B533:C533"/>
    <mergeCell ref="D533:G533"/>
    <mergeCell ref="H533:N533"/>
    <mergeCell ref="O533:AD533"/>
    <mergeCell ref="AE533:AH533"/>
    <mergeCell ref="AI533:AV533"/>
    <mergeCell ref="AW533:BC533"/>
    <mergeCell ref="B534:C534"/>
    <mergeCell ref="D534:G534"/>
    <mergeCell ref="H534:N534"/>
    <mergeCell ref="O534:AD534"/>
    <mergeCell ref="AE534:AH534"/>
    <mergeCell ref="AI534:AV534"/>
    <mergeCell ref="AW534:BC534"/>
    <mergeCell ref="B535:C535"/>
    <mergeCell ref="D535:G535"/>
    <mergeCell ref="H535:N535"/>
    <mergeCell ref="O535:AD535"/>
    <mergeCell ref="AE535:AH535"/>
    <mergeCell ref="AI535:AV535"/>
    <mergeCell ref="AW535:BC535"/>
    <mergeCell ref="B536:C536"/>
    <mergeCell ref="D536:G536"/>
    <mergeCell ref="H536:N536"/>
    <mergeCell ref="O536:AD536"/>
    <mergeCell ref="AE536:AH536"/>
    <mergeCell ref="AI536:AV536"/>
    <mergeCell ref="AW536:BC536"/>
    <mergeCell ref="B537:C537"/>
    <mergeCell ref="D537:G537"/>
    <mergeCell ref="H537:N537"/>
    <mergeCell ref="O537:AD537"/>
    <mergeCell ref="AE537:AH537"/>
    <mergeCell ref="AI537:AV537"/>
    <mergeCell ref="AW537:BC537"/>
    <mergeCell ref="B538:C538"/>
    <mergeCell ref="D538:G538"/>
    <mergeCell ref="H538:N538"/>
    <mergeCell ref="O538:AD538"/>
    <mergeCell ref="AE538:AH538"/>
    <mergeCell ref="AI538:AV538"/>
    <mergeCell ref="AW538:BC538"/>
    <mergeCell ref="B539:C539"/>
    <mergeCell ref="D539:G539"/>
    <mergeCell ref="H539:N539"/>
    <mergeCell ref="O539:AD539"/>
    <mergeCell ref="AE539:AH539"/>
    <mergeCell ref="AI539:AV539"/>
    <mergeCell ref="AW539:BC539"/>
    <mergeCell ref="B540:C540"/>
    <mergeCell ref="D540:G540"/>
    <mergeCell ref="H540:N540"/>
    <mergeCell ref="O540:AD540"/>
    <mergeCell ref="AE540:AH540"/>
    <mergeCell ref="AI540:AV540"/>
    <mergeCell ref="AW540:BC540"/>
    <mergeCell ref="B541:C541"/>
    <mergeCell ref="D541:G541"/>
    <mergeCell ref="H541:N541"/>
    <mergeCell ref="O541:AD541"/>
    <mergeCell ref="AE541:AH541"/>
    <mergeCell ref="AI541:AV541"/>
    <mergeCell ref="AW541:BC541"/>
    <mergeCell ref="B542:C542"/>
    <mergeCell ref="D542:G542"/>
    <mergeCell ref="H542:N542"/>
    <mergeCell ref="O542:AD542"/>
    <mergeCell ref="AE542:AH542"/>
    <mergeCell ref="AI542:AV542"/>
    <mergeCell ref="AW542:BC542"/>
    <mergeCell ref="B543:C543"/>
    <mergeCell ref="D543:G543"/>
    <mergeCell ref="H543:N543"/>
    <mergeCell ref="O543:AD543"/>
    <mergeCell ref="AE543:AH543"/>
    <mergeCell ref="AI543:AV543"/>
    <mergeCell ref="AW543:BC543"/>
    <mergeCell ref="B544:C544"/>
    <mergeCell ref="D544:G544"/>
    <mergeCell ref="H544:N544"/>
    <mergeCell ref="O544:AD544"/>
    <mergeCell ref="AE544:AH544"/>
    <mergeCell ref="AI544:AV544"/>
    <mergeCell ref="AW544:BC544"/>
    <mergeCell ref="B545:C545"/>
    <mergeCell ref="D545:G545"/>
    <mergeCell ref="H545:N545"/>
    <mergeCell ref="O545:AD545"/>
    <mergeCell ref="AE545:AH545"/>
    <mergeCell ref="AI545:AV545"/>
    <mergeCell ref="AW545:BC545"/>
    <mergeCell ref="B546:C546"/>
    <mergeCell ref="D546:G546"/>
    <mergeCell ref="H546:N546"/>
    <mergeCell ref="O546:AD546"/>
    <mergeCell ref="AE546:AH546"/>
    <mergeCell ref="AI546:AV546"/>
    <mergeCell ref="AW546:BC546"/>
    <mergeCell ref="B547:C547"/>
    <mergeCell ref="D547:G547"/>
    <mergeCell ref="H547:N547"/>
    <mergeCell ref="O547:AD547"/>
    <mergeCell ref="AE547:AH547"/>
    <mergeCell ref="AI547:AV547"/>
    <mergeCell ref="AW547:BC547"/>
    <mergeCell ref="B548:C548"/>
    <mergeCell ref="D548:G548"/>
    <mergeCell ref="H548:N548"/>
    <mergeCell ref="O548:AD548"/>
    <mergeCell ref="AE548:AH548"/>
    <mergeCell ref="AI548:AV548"/>
    <mergeCell ref="AW548:BC548"/>
    <mergeCell ref="B549:C549"/>
    <mergeCell ref="D549:G549"/>
    <mergeCell ref="H549:N549"/>
    <mergeCell ref="O549:AD549"/>
    <mergeCell ref="AE549:AH549"/>
    <mergeCell ref="AI549:AV549"/>
    <mergeCell ref="AW549:BC549"/>
    <mergeCell ref="B550:C550"/>
    <mergeCell ref="D550:G550"/>
    <mergeCell ref="H550:N550"/>
    <mergeCell ref="O550:AD550"/>
    <mergeCell ref="AE550:AH550"/>
    <mergeCell ref="AI550:AV550"/>
    <mergeCell ref="AW550:BC550"/>
    <mergeCell ref="B551:C551"/>
    <mergeCell ref="D551:G551"/>
    <mergeCell ref="H551:N551"/>
    <mergeCell ref="O551:AD551"/>
    <mergeCell ref="AE551:AH551"/>
    <mergeCell ref="AI551:AV551"/>
    <mergeCell ref="AW551:BC551"/>
    <mergeCell ref="B552:C552"/>
    <mergeCell ref="D552:G552"/>
    <mergeCell ref="H552:N552"/>
    <mergeCell ref="O552:AD552"/>
    <mergeCell ref="AE552:AH552"/>
    <mergeCell ref="AI552:AV552"/>
    <mergeCell ref="AW552:BC552"/>
    <mergeCell ref="B553:C553"/>
    <mergeCell ref="D553:G553"/>
    <mergeCell ref="H553:N553"/>
    <mergeCell ref="O553:AD553"/>
    <mergeCell ref="AE553:AH553"/>
    <mergeCell ref="AI553:AV553"/>
    <mergeCell ref="AW553:BC553"/>
    <mergeCell ref="B554:C554"/>
    <mergeCell ref="D554:G554"/>
    <mergeCell ref="H554:N554"/>
    <mergeCell ref="O554:AD554"/>
    <mergeCell ref="AE554:AH554"/>
    <mergeCell ref="AI554:AV554"/>
    <mergeCell ref="AW554:BC554"/>
    <mergeCell ref="B555:C555"/>
    <mergeCell ref="D555:G555"/>
    <mergeCell ref="H555:N555"/>
    <mergeCell ref="O555:AD555"/>
    <mergeCell ref="AE555:AH555"/>
    <mergeCell ref="AI555:AV555"/>
    <mergeCell ref="AW555:BC555"/>
    <mergeCell ref="B556:C556"/>
    <mergeCell ref="E556:BC556"/>
    <mergeCell ref="C558:AK558"/>
    <mergeCell ref="AL558:BC558"/>
    <mergeCell ref="B559:C559"/>
    <mergeCell ref="D559:G559"/>
    <mergeCell ref="H559:P559"/>
    <mergeCell ref="Q559:W559"/>
    <mergeCell ref="X559:AB559"/>
    <mergeCell ref="AC559:AG559"/>
    <mergeCell ref="AH559:AK559"/>
    <mergeCell ref="AL559:BC559"/>
    <mergeCell ref="B560:C560"/>
    <mergeCell ref="D560:G560"/>
    <mergeCell ref="H560:P560"/>
    <mergeCell ref="Q560:W560"/>
    <mergeCell ref="X560:AB560"/>
    <mergeCell ref="AC560:AG560"/>
    <mergeCell ref="AH560:AK560"/>
    <mergeCell ref="AL560:BC560"/>
    <mergeCell ref="B561:C561"/>
    <mergeCell ref="D561:G561"/>
    <mergeCell ref="H561:P561"/>
    <mergeCell ref="Q561:W561"/>
    <mergeCell ref="X561:AB561"/>
    <mergeCell ref="AC561:AG561"/>
    <mergeCell ref="AH561:AK561"/>
    <mergeCell ref="AL561:BC561"/>
    <mergeCell ref="B562:C562"/>
    <mergeCell ref="D562:G562"/>
    <mergeCell ref="H562:P562"/>
    <mergeCell ref="Q562:W562"/>
    <mergeCell ref="X562:AB562"/>
    <mergeCell ref="AC562:AG562"/>
    <mergeCell ref="AH562:AK562"/>
    <mergeCell ref="AL562:BC562"/>
    <mergeCell ref="B563:C563"/>
    <mergeCell ref="D563:G563"/>
    <mergeCell ref="H563:P563"/>
    <mergeCell ref="Q563:W563"/>
    <mergeCell ref="X563:AB563"/>
    <mergeCell ref="AC563:AG563"/>
    <mergeCell ref="AH563:AK563"/>
    <mergeCell ref="AL563:BC563"/>
    <mergeCell ref="B564:C564"/>
    <mergeCell ref="D564:G564"/>
    <mergeCell ref="H564:P564"/>
    <mergeCell ref="Q564:W564"/>
    <mergeCell ref="X564:AB564"/>
    <mergeCell ref="AC564:AG564"/>
    <mergeCell ref="AH564:AK564"/>
    <mergeCell ref="AL564:BC564"/>
    <mergeCell ref="B565:C565"/>
    <mergeCell ref="D565:G565"/>
    <mergeCell ref="H565:P565"/>
    <mergeCell ref="Q565:W565"/>
    <mergeCell ref="X565:AB565"/>
    <mergeCell ref="AC565:AG565"/>
    <mergeCell ref="AH565:AK565"/>
    <mergeCell ref="AL565:BC565"/>
    <mergeCell ref="B566:C566"/>
    <mergeCell ref="D566:G566"/>
    <mergeCell ref="H566:P566"/>
    <mergeCell ref="Q566:W566"/>
    <mergeCell ref="X566:AB566"/>
    <mergeCell ref="AC566:AG566"/>
    <mergeCell ref="AH566:AK566"/>
    <mergeCell ref="AL566:BC566"/>
    <mergeCell ref="B567:C567"/>
    <mergeCell ref="D567:G567"/>
    <mergeCell ref="H567:P567"/>
    <mergeCell ref="Q567:W567"/>
    <mergeCell ref="X567:AB567"/>
    <mergeCell ref="AC567:AG567"/>
    <mergeCell ref="AH567:AK567"/>
    <mergeCell ref="AL567:BC567"/>
    <mergeCell ref="B568:C568"/>
    <mergeCell ref="D568:G568"/>
    <mergeCell ref="H568:P568"/>
    <mergeCell ref="Q568:W568"/>
    <mergeCell ref="X568:AB568"/>
    <mergeCell ref="AC568:AG568"/>
    <mergeCell ref="AH568:AK568"/>
    <mergeCell ref="AL568:BC568"/>
    <mergeCell ref="B569:C569"/>
    <mergeCell ref="D569:G569"/>
    <mergeCell ref="H569:P569"/>
    <mergeCell ref="Q569:W569"/>
    <mergeCell ref="X569:AB569"/>
    <mergeCell ref="AC569:AG569"/>
    <mergeCell ref="AH569:AK569"/>
    <mergeCell ref="AL569:BC569"/>
    <mergeCell ref="B570:C570"/>
    <mergeCell ref="D570:G570"/>
    <mergeCell ref="H570:P570"/>
    <mergeCell ref="Q570:W570"/>
    <mergeCell ref="X570:AB570"/>
    <mergeCell ref="AC570:AG570"/>
    <mergeCell ref="AH570:AK570"/>
    <mergeCell ref="AL570:BC570"/>
    <mergeCell ref="B571:C571"/>
    <mergeCell ref="D571:G571"/>
    <mergeCell ref="H571:P571"/>
    <mergeCell ref="Q571:W571"/>
    <mergeCell ref="X571:AB571"/>
    <mergeCell ref="AC571:AG571"/>
    <mergeCell ref="AH571:AK571"/>
    <mergeCell ref="AL571:BC571"/>
    <mergeCell ref="B572:C572"/>
    <mergeCell ref="D572:G572"/>
    <mergeCell ref="H572:P572"/>
    <mergeCell ref="Q572:W572"/>
    <mergeCell ref="X572:AB572"/>
    <mergeCell ref="AC572:AG572"/>
    <mergeCell ref="AH572:AK572"/>
    <mergeCell ref="AL572:BC572"/>
    <mergeCell ref="B573:C573"/>
    <mergeCell ref="D573:G573"/>
    <mergeCell ref="H573:P573"/>
    <mergeCell ref="Q573:W573"/>
    <mergeCell ref="X573:AB573"/>
    <mergeCell ref="AC573:AG573"/>
    <mergeCell ref="AH573:AK573"/>
    <mergeCell ref="AL573:BC573"/>
    <mergeCell ref="B574:C574"/>
    <mergeCell ref="D574:G574"/>
    <mergeCell ref="H574:P574"/>
    <mergeCell ref="Q574:W574"/>
    <mergeCell ref="X574:AB574"/>
    <mergeCell ref="AC574:AG574"/>
    <mergeCell ref="AH574:AK574"/>
    <mergeCell ref="AL574:BC574"/>
    <mergeCell ref="B575:C575"/>
    <mergeCell ref="D575:G575"/>
    <mergeCell ref="H575:P575"/>
    <mergeCell ref="Q575:W575"/>
    <mergeCell ref="X575:AB575"/>
    <mergeCell ref="AC575:AG575"/>
    <mergeCell ref="AH575:AK575"/>
    <mergeCell ref="AL575:BC575"/>
    <mergeCell ref="B576:C576"/>
    <mergeCell ref="D576:G576"/>
    <mergeCell ref="H576:P576"/>
    <mergeCell ref="Q576:W576"/>
    <mergeCell ref="X576:AB576"/>
    <mergeCell ref="AC576:AG576"/>
    <mergeCell ref="AH576:AK576"/>
    <mergeCell ref="AL576:BC576"/>
    <mergeCell ref="B577:C577"/>
    <mergeCell ref="D577:G577"/>
    <mergeCell ref="H577:P577"/>
    <mergeCell ref="Q577:W577"/>
    <mergeCell ref="X577:AB577"/>
    <mergeCell ref="AC577:AG577"/>
    <mergeCell ref="AH577:AK577"/>
    <mergeCell ref="AL577:BC577"/>
    <mergeCell ref="B578:C578"/>
    <mergeCell ref="D578:G578"/>
    <mergeCell ref="H578:P578"/>
    <mergeCell ref="Q578:W578"/>
    <mergeCell ref="X578:AB578"/>
    <mergeCell ref="AC578:AG578"/>
    <mergeCell ref="AH578:AK578"/>
    <mergeCell ref="AL578:BC578"/>
    <mergeCell ref="B579:C579"/>
    <mergeCell ref="D579:G579"/>
    <mergeCell ref="H579:P579"/>
    <mergeCell ref="Q579:W579"/>
    <mergeCell ref="X579:AB579"/>
    <mergeCell ref="AC579:AG579"/>
    <mergeCell ref="AH579:AK579"/>
    <mergeCell ref="AL579:BC579"/>
    <mergeCell ref="B580:C580"/>
    <mergeCell ref="D580:G580"/>
    <mergeCell ref="H580:P580"/>
    <mergeCell ref="Q580:W580"/>
    <mergeCell ref="X580:AB580"/>
    <mergeCell ref="AC580:AG580"/>
    <mergeCell ref="AH580:AK580"/>
    <mergeCell ref="AL580:BC580"/>
    <mergeCell ref="B581:C581"/>
    <mergeCell ref="D581:G581"/>
    <mergeCell ref="H581:P581"/>
    <mergeCell ref="Q581:W581"/>
    <mergeCell ref="X581:AB581"/>
    <mergeCell ref="AC581:AG581"/>
    <mergeCell ref="AH581:AK581"/>
    <mergeCell ref="AL581:BC581"/>
    <mergeCell ref="B582:C582"/>
    <mergeCell ref="D582:G582"/>
    <mergeCell ref="H582:P582"/>
    <mergeCell ref="Q582:W582"/>
    <mergeCell ref="X582:AB582"/>
    <mergeCell ref="AC582:AG582"/>
    <mergeCell ref="AH582:AK582"/>
    <mergeCell ref="AL582:BC582"/>
    <mergeCell ref="B583:C583"/>
    <mergeCell ref="D583:G583"/>
    <mergeCell ref="H583:P583"/>
    <mergeCell ref="Q583:W583"/>
    <mergeCell ref="X583:AB583"/>
    <mergeCell ref="AC583:AG583"/>
    <mergeCell ref="AH583:AK583"/>
    <mergeCell ref="AL583:BC583"/>
    <mergeCell ref="B584:C584"/>
    <mergeCell ref="D584:G584"/>
    <mergeCell ref="H584:P584"/>
    <mergeCell ref="Q584:W584"/>
    <mergeCell ref="X584:AB584"/>
    <mergeCell ref="AC584:AG584"/>
    <mergeCell ref="AH584:AK584"/>
    <mergeCell ref="AL584:BC584"/>
    <mergeCell ref="B585:C585"/>
    <mergeCell ref="D585:G585"/>
    <mergeCell ref="H585:P585"/>
    <mergeCell ref="Q585:W585"/>
    <mergeCell ref="X585:AB585"/>
    <mergeCell ref="AC585:AG585"/>
    <mergeCell ref="AH585:AK585"/>
    <mergeCell ref="AL585:BC585"/>
    <mergeCell ref="B586:C586"/>
    <mergeCell ref="D586:G586"/>
    <mergeCell ref="H586:P586"/>
    <mergeCell ref="Q586:W586"/>
    <mergeCell ref="X586:AB586"/>
    <mergeCell ref="AC586:AG586"/>
    <mergeCell ref="AH586:AK586"/>
    <mergeCell ref="AL586:BC586"/>
    <mergeCell ref="B587:C587"/>
    <mergeCell ref="D587:G587"/>
    <mergeCell ref="H587:P587"/>
    <mergeCell ref="Q587:W587"/>
    <mergeCell ref="X587:AB587"/>
    <mergeCell ref="AC587:AG587"/>
    <mergeCell ref="AH587:AK587"/>
    <mergeCell ref="AL587:BC587"/>
    <mergeCell ref="B588:C588"/>
    <mergeCell ref="D588:G588"/>
    <mergeCell ref="H588:P588"/>
    <mergeCell ref="Q588:W588"/>
    <mergeCell ref="X588:AB588"/>
    <mergeCell ref="AC588:AG588"/>
    <mergeCell ref="AH588:AK588"/>
    <mergeCell ref="AL588:BC588"/>
    <mergeCell ref="B589:C589"/>
    <mergeCell ref="D589:G589"/>
    <mergeCell ref="H589:P589"/>
    <mergeCell ref="Q589:W589"/>
    <mergeCell ref="X589:AB589"/>
    <mergeCell ref="AC589:AG589"/>
    <mergeCell ref="AH589:AK589"/>
    <mergeCell ref="AL589:BC589"/>
    <mergeCell ref="B590:C590"/>
    <mergeCell ref="D590:G590"/>
    <mergeCell ref="H590:P590"/>
    <mergeCell ref="Q590:W590"/>
    <mergeCell ref="X590:AB590"/>
    <mergeCell ref="AC590:AG590"/>
    <mergeCell ref="AH590:AK590"/>
    <mergeCell ref="AL590:BC590"/>
    <mergeCell ref="B591:C591"/>
    <mergeCell ref="D591:G591"/>
    <mergeCell ref="H591:P591"/>
    <mergeCell ref="Q591:W591"/>
    <mergeCell ref="X591:AB591"/>
    <mergeCell ref="AC591:AG591"/>
    <mergeCell ref="AH591:AK591"/>
    <mergeCell ref="AL591:BC591"/>
    <mergeCell ref="B592:C592"/>
    <mergeCell ref="D592:G592"/>
    <mergeCell ref="H592:P592"/>
    <mergeCell ref="Q592:W592"/>
    <mergeCell ref="X592:AB592"/>
    <mergeCell ref="AC592:AG592"/>
    <mergeCell ref="AH592:AK592"/>
    <mergeCell ref="AL592:BC592"/>
    <mergeCell ref="B593:C593"/>
    <mergeCell ref="D593:G593"/>
    <mergeCell ref="H593:P593"/>
    <mergeCell ref="Q593:W593"/>
    <mergeCell ref="X593:AB593"/>
    <mergeCell ref="AC593:AG593"/>
    <mergeCell ref="AH593:AK593"/>
    <mergeCell ref="AL593:BC593"/>
    <mergeCell ref="B594:C594"/>
    <mergeCell ref="D594:G594"/>
    <mergeCell ref="H594:P594"/>
    <mergeCell ref="Q594:W594"/>
    <mergeCell ref="X594:AB594"/>
    <mergeCell ref="AC594:AG594"/>
    <mergeCell ref="AH594:AK594"/>
    <mergeCell ref="AL594:BC594"/>
    <mergeCell ref="B595:C595"/>
    <mergeCell ref="D595:G595"/>
    <mergeCell ref="H595:P595"/>
    <mergeCell ref="Q595:W595"/>
    <mergeCell ref="X595:AB595"/>
    <mergeCell ref="AC595:AG595"/>
    <mergeCell ref="AH595:AK595"/>
    <mergeCell ref="AL595:BC595"/>
    <mergeCell ref="B596:C596"/>
    <mergeCell ref="D596:G596"/>
    <mergeCell ref="H596:P596"/>
    <mergeCell ref="Q596:W596"/>
    <mergeCell ref="X596:AB596"/>
    <mergeCell ref="AC596:AG596"/>
    <mergeCell ref="AH596:AK596"/>
    <mergeCell ref="AL596:BC596"/>
    <mergeCell ref="B597:C597"/>
    <mergeCell ref="D597:G597"/>
    <mergeCell ref="H597:P597"/>
    <mergeCell ref="Q597:W597"/>
    <mergeCell ref="X597:AB597"/>
    <mergeCell ref="AC597:AG597"/>
    <mergeCell ref="AH597:AK597"/>
    <mergeCell ref="AL597:BC597"/>
    <mergeCell ref="B598:C598"/>
    <mergeCell ref="D598:G598"/>
    <mergeCell ref="H598:P598"/>
    <mergeCell ref="Q598:W598"/>
    <mergeCell ref="X598:AB598"/>
    <mergeCell ref="AC598:AG598"/>
    <mergeCell ref="AH598:AK598"/>
    <mergeCell ref="AL598:BC598"/>
    <mergeCell ref="B599:C599"/>
    <mergeCell ref="D599:G599"/>
    <mergeCell ref="H599:P599"/>
    <mergeCell ref="Q599:W599"/>
    <mergeCell ref="X599:AB599"/>
    <mergeCell ref="AC599:AG599"/>
    <mergeCell ref="AH599:AK599"/>
    <mergeCell ref="AL599:BC599"/>
    <mergeCell ref="B600:C600"/>
    <mergeCell ref="E600:BC600"/>
    <mergeCell ref="C602:AK602"/>
    <mergeCell ref="AL602:BC602"/>
    <mergeCell ref="B603:C603"/>
    <mergeCell ref="D603:G603"/>
    <mergeCell ref="H603:K603"/>
    <mergeCell ref="L603:AG603"/>
    <mergeCell ref="AH603:AK603"/>
    <mergeCell ref="AL603:AU603"/>
    <mergeCell ref="AV603:BC603"/>
    <mergeCell ref="B604:C604"/>
    <mergeCell ref="D604:G604"/>
    <mergeCell ref="H604:K604"/>
    <mergeCell ref="L604:AG604"/>
    <mergeCell ref="AH604:AK604"/>
    <mergeCell ref="AL604:AU604"/>
    <mergeCell ref="AV604:BC604"/>
    <mergeCell ref="B605:C605"/>
    <mergeCell ref="D605:G605"/>
    <mergeCell ref="H605:K605"/>
    <mergeCell ref="L605:AG605"/>
    <mergeCell ref="AH605:AK605"/>
    <mergeCell ref="AL605:AU605"/>
    <mergeCell ref="AV605:BC605"/>
    <mergeCell ref="B606:C606"/>
    <mergeCell ref="D606:G606"/>
    <mergeCell ref="H606:K606"/>
    <mergeCell ref="L606:AG606"/>
    <mergeCell ref="AH606:AK606"/>
    <mergeCell ref="AL606:AU606"/>
    <mergeCell ref="AV606:BC606"/>
    <mergeCell ref="B607:C607"/>
    <mergeCell ref="D607:G607"/>
    <mergeCell ref="H607:K607"/>
    <mergeCell ref="L607:AG607"/>
    <mergeCell ref="AH607:AK607"/>
    <mergeCell ref="AL607:AU607"/>
    <mergeCell ref="AV607:BC607"/>
    <mergeCell ref="B608:C608"/>
    <mergeCell ref="D608:G608"/>
    <mergeCell ref="H608:K608"/>
    <mergeCell ref="L608:AG608"/>
    <mergeCell ref="AH608:AK608"/>
    <mergeCell ref="AL608:AU608"/>
    <mergeCell ref="AV608:BC608"/>
    <mergeCell ref="B609:C609"/>
    <mergeCell ref="D609:G609"/>
    <mergeCell ref="H609:K609"/>
    <mergeCell ref="L609:AG609"/>
    <mergeCell ref="AH609:AK609"/>
    <mergeCell ref="AL609:AU609"/>
    <mergeCell ref="AV609:BC609"/>
    <mergeCell ref="B610:C610"/>
    <mergeCell ref="D610:G610"/>
    <mergeCell ref="H610:K610"/>
    <mergeCell ref="L610:AG610"/>
    <mergeCell ref="AH610:AK610"/>
    <mergeCell ref="AL610:AU610"/>
    <mergeCell ref="AV610:BC610"/>
    <mergeCell ref="B611:C611"/>
    <mergeCell ref="D611:G611"/>
    <mergeCell ref="H611:K611"/>
    <mergeCell ref="L611:AG611"/>
    <mergeCell ref="AH611:AK611"/>
    <mergeCell ref="AL611:AU611"/>
    <mergeCell ref="AV611:BC611"/>
    <mergeCell ref="B612:C612"/>
    <mergeCell ref="D612:G612"/>
    <mergeCell ref="H612:K612"/>
    <mergeCell ref="L612:AG612"/>
    <mergeCell ref="AH612:AK612"/>
    <mergeCell ref="AL612:AU612"/>
    <mergeCell ref="AV612:BC612"/>
    <mergeCell ref="B613:C613"/>
    <mergeCell ref="D613:G613"/>
    <mergeCell ref="H613:K613"/>
    <mergeCell ref="L613:AG613"/>
    <mergeCell ref="AH613:AK613"/>
    <mergeCell ref="AL613:AU613"/>
    <mergeCell ref="AV613:BC613"/>
    <mergeCell ref="B614:C614"/>
    <mergeCell ref="D614:G614"/>
    <mergeCell ref="H614:K614"/>
    <mergeCell ref="L614:AG614"/>
    <mergeCell ref="AH614:AK614"/>
    <mergeCell ref="AL614:AU614"/>
    <mergeCell ref="AV614:BC614"/>
    <mergeCell ref="B615:C615"/>
    <mergeCell ref="D615:G615"/>
    <mergeCell ref="H615:K615"/>
    <mergeCell ref="L615:AG615"/>
    <mergeCell ref="AH615:AK615"/>
    <mergeCell ref="AL615:AU615"/>
    <mergeCell ref="AV615:BC615"/>
    <mergeCell ref="B616:C616"/>
    <mergeCell ref="D616:G616"/>
    <mergeCell ref="H616:K616"/>
    <mergeCell ref="L616:AG616"/>
    <mergeCell ref="AH616:AK616"/>
    <mergeCell ref="AL616:AU616"/>
    <mergeCell ref="AV616:BC616"/>
    <mergeCell ref="B617:C617"/>
    <mergeCell ref="D617:G617"/>
    <mergeCell ref="H617:K617"/>
    <mergeCell ref="L617:AG617"/>
    <mergeCell ref="AH617:AK617"/>
    <mergeCell ref="AL617:AU617"/>
    <mergeCell ref="AV617:BC617"/>
    <mergeCell ref="B618:C618"/>
    <mergeCell ref="D618:G618"/>
    <mergeCell ref="H618:K618"/>
    <mergeCell ref="L618:AG618"/>
    <mergeCell ref="AH618:AK618"/>
    <mergeCell ref="AL618:AU618"/>
    <mergeCell ref="AV618:BC618"/>
    <mergeCell ref="B619:C619"/>
    <mergeCell ref="D619:G619"/>
    <mergeCell ref="H619:K619"/>
    <mergeCell ref="L619:AG619"/>
    <mergeCell ref="AH619:AK619"/>
    <mergeCell ref="AL619:AU619"/>
    <mergeCell ref="AV619:BC619"/>
    <mergeCell ref="B620:C620"/>
    <mergeCell ref="D620:G620"/>
    <mergeCell ref="H620:K620"/>
    <mergeCell ref="L620:AG620"/>
    <mergeCell ref="AH620:AK620"/>
    <mergeCell ref="AL620:AU620"/>
    <mergeCell ref="AV620:BC620"/>
    <mergeCell ref="B621:C621"/>
    <mergeCell ref="D621:G621"/>
    <mergeCell ref="H621:K621"/>
    <mergeCell ref="L621:AG621"/>
    <mergeCell ref="AH621:AK621"/>
    <mergeCell ref="AL621:AU621"/>
    <mergeCell ref="AV621:BC621"/>
    <mergeCell ref="B622:C622"/>
    <mergeCell ref="D622:G622"/>
    <mergeCell ref="H622:K622"/>
    <mergeCell ref="L622:AG622"/>
    <mergeCell ref="AH622:AK622"/>
    <mergeCell ref="AL622:AU622"/>
    <mergeCell ref="AV622:BC622"/>
    <mergeCell ref="B623:C623"/>
    <mergeCell ref="D623:G623"/>
    <mergeCell ref="H623:K623"/>
    <mergeCell ref="L623:AG623"/>
    <mergeCell ref="AH623:AK623"/>
    <mergeCell ref="AL623:AU623"/>
    <mergeCell ref="AV623:BC623"/>
    <mergeCell ref="B624:C624"/>
    <mergeCell ref="D624:G624"/>
    <mergeCell ref="H624:K624"/>
    <mergeCell ref="L624:AG624"/>
    <mergeCell ref="AH624:AK624"/>
    <mergeCell ref="AL624:AU624"/>
    <mergeCell ref="AV624:BC624"/>
    <mergeCell ref="B625:C625"/>
    <mergeCell ref="D625:G625"/>
    <mergeCell ref="H625:K625"/>
    <mergeCell ref="L625:AG625"/>
    <mergeCell ref="AH625:AK625"/>
    <mergeCell ref="AL625:AU625"/>
    <mergeCell ref="AV625:BC625"/>
    <mergeCell ref="B626:C626"/>
    <mergeCell ref="D626:G626"/>
    <mergeCell ref="H626:K626"/>
    <mergeCell ref="L626:AG626"/>
    <mergeCell ref="AH626:AK626"/>
    <mergeCell ref="AL626:AU626"/>
    <mergeCell ref="AV626:BC626"/>
    <mergeCell ref="B627:C627"/>
    <mergeCell ref="D627:G627"/>
    <mergeCell ref="H627:K627"/>
    <mergeCell ref="L627:AG627"/>
    <mergeCell ref="AH627:AK627"/>
    <mergeCell ref="AL627:AU627"/>
    <mergeCell ref="AV627:BC627"/>
    <mergeCell ref="B628:C628"/>
    <mergeCell ref="D628:G628"/>
    <mergeCell ref="H628:K628"/>
    <mergeCell ref="L628:AG628"/>
    <mergeCell ref="AH628:AK628"/>
    <mergeCell ref="AL628:AU628"/>
    <mergeCell ref="AV628:BC628"/>
    <mergeCell ref="B629:C629"/>
    <mergeCell ref="D629:G629"/>
    <mergeCell ref="H629:K629"/>
    <mergeCell ref="L629:AG629"/>
    <mergeCell ref="AH629:AK629"/>
    <mergeCell ref="AL629:AU629"/>
    <mergeCell ref="AV629:BC629"/>
    <mergeCell ref="B630:C630"/>
    <mergeCell ref="D630:G630"/>
    <mergeCell ref="H630:K630"/>
    <mergeCell ref="L630:AG630"/>
    <mergeCell ref="AH630:AK630"/>
    <mergeCell ref="AL630:AU630"/>
    <mergeCell ref="AV630:BC630"/>
    <mergeCell ref="B631:C631"/>
    <mergeCell ref="D631:G631"/>
    <mergeCell ref="H631:K631"/>
    <mergeCell ref="L631:AG631"/>
    <mergeCell ref="AH631:AK631"/>
    <mergeCell ref="AL631:AU631"/>
    <mergeCell ref="AV631:BC631"/>
    <mergeCell ref="B632:C632"/>
    <mergeCell ref="D632:G632"/>
    <mergeCell ref="H632:K632"/>
    <mergeCell ref="L632:AG632"/>
    <mergeCell ref="AH632:AK632"/>
    <mergeCell ref="AL632:AU632"/>
    <mergeCell ref="AV632:BC632"/>
    <mergeCell ref="B633:C633"/>
    <mergeCell ref="D633:G633"/>
    <mergeCell ref="H633:K633"/>
    <mergeCell ref="L633:AG633"/>
    <mergeCell ref="AH633:AK633"/>
    <mergeCell ref="AL633:AU633"/>
    <mergeCell ref="AV633:BC633"/>
    <mergeCell ref="B634:C634"/>
    <mergeCell ref="D634:G634"/>
    <mergeCell ref="H634:K634"/>
    <mergeCell ref="L634:AG634"/>
    <mergeCell ref="AH634:AK634"/>
    <mergeCell ref="AL634:AU634"/>
    <mergeCell ref="AV634:BC634"/>
    <mergeCell ref="B635:C635"/>
    <mergeCell ref="D635:G635"/>
    <mergeCell ref="H635:K635"/>
    <mergeCell ref="L635:AG635"/>
    <mergeCell ref="AH635:AK635"/>
    <mergeCell ref="AL635:AU635"/>
    <mergeCell ref="AV635:BC635"/>
    <mergeCell ref="B636:C636"/>
    <mergeCell ref="D636:G636"/>
    <mergeCell ref="H636:K636"/>
    <mergeCell ref="L636:AG636"/>
    <mergeCell ref="AH636:AK636"/>
    <mergeCell ref="AL636:AU636"/>
    <mergeCell ref="AV636:BC636"/>
    <mergeCell ref="B637:C637"/>
    <mergeCell ref="D637:G637"/>
    <mergeCell ref="H637:K637"/>
    <mergeCell ref="L637:AG637"/>
    <mergeCell ref="AH637:AK637"/>
    <mergeCell ref="AL637:AU637"/>
    <mergeCell ref="AV637:BC637"/>
    <mergeCell ref="B638:C638"/>
    <mergeCell ref="D638:G638"/>
    <mergeCell ref="H638:K638"/>
    <mergeCell ref="L638:AG638"/>
    <mergeCell ref="AH638:AK638"/>
    <mergeCell ref="AL638:AU638"/>
    <mergeCell ref="AV638:BC638"/>
    <mergeCell ref="B639:C639"/>
    <mergeCell ref="D639:G639"/>
    <mergeCell ref="H639:K639"/>
    <mergeCell ref="L639:AG639"/>
    <mergeCell ref="AH639:AK639"/>
    <mergeCell ref="AL639:AU639"/>
    <mergeCell ref="AV639:BC639"/>
    <mergeCell ref="B640:C640"/>
    <mergeCell ref="D640:G640"/>
    <mergeCell ref="H640:K640"/>
    <mergeCell ref="L640:AG640"/>
    <mergeCell ref="AH640:AK640"/>
    <mergeCell ref="AL640:AU640"/>
    <mergeCell ref="AV640:BC640"/>
    <mergeCell ref="B641:C641"/>
    <mergeCell ref="D641:G641"/>
    <mergeCell ref="H641:K641"/>
    <mergeCell ref="L641:AG641"/>
    <mergeCell ref="AH641:AK641"/>
    <mergeCell ref="AL641:AU641"/>
    <mergeCell ref="AV641:BC641"/>
    <mergeCell ref="B642:C642"/>
    <mergeCell ref="D642:G642"/>
    <mergeCell ref="H642:K642"/>
    <mergeCell ref="L642:AG642"/>
    <mergeCell ref="AH642:AK642"/>
    <mergeCell ref="AL642:AU642"/>
    <mergeCell ref="AV642:BC642"/>
    <mergeCell ref="B643:C643"/>
    <mergeCell ref="D643:G643"/>
    <mergeCell ref="H643:K643"/>
    <mergeCell ref="L643:AG643"/>
    <mergeCell ref="AH643:AK643"/>
    <mergeCell ref="AL643:AU643"/>
    <mergeCell ref="AV643:BC643"/>
    <mergeCell ref="B644:C644"/>
    <mergeCell ref="E644:BC644"/>
    <mergeCell ref="C646:AK646"/>
    <mergeCell ref="AL646:BC646"/>
    <mergeCell ref="B647:C647"/>
    <mergeCell ref="D647:G647"/>
    <mergeCell ref="H647:O647"/>
    <mergeCell ref="P647:S647"/>
    <mergeCell ref="T647:AE647"/>
    <mergeCell ref="AF647:BC647"/>
    <mergeCell ref="B648:C648"/>
    <mergeCell ref="D648:G648"/>
    <mergeCell ref="H648:O648"/>
    <mergeCell ref="P648:S648"/>
    <mergeCell ref="T648:AE648"/>
    <mergeCell ref="AF648:BC648"/>
    <mergeCell ref="B649:C649"/>
    <mergeCell ref="D649:G649"/>
    <mergeCell ref="H649:O649"/>
    <mergeCell ref="P649:S649"/>
    <mergeCell ref="T649:AE649"/>
    <mergeCell ref="AF649:BC649"/>
    <mergeCell ref="B650:C650"/>
    <mergeCell ref="D650:G650"/>
    <mergeCell ref="H650:O650"/>
    <mergeCell ref="P650:S650"/>
    <mergeCell ref="T650:AE650"/>
    <mergeCell ref="AF650:BC650"/>
    <mergeCell ref="B651:C651"/>
    <mergeCell ref="D651:G651"/>
    <mergeCell ref="H651:O651"/>
    <mergeCell ref="P651:S651"/>
    <mergeCell ref="T651:AE651"/>
    <mergeCell ref="AF651:BC651"/>
    <mergeCell ref="B652:C652"/>
    <mergeCell ref="D652:G652"/>
    <mergeCell ref="H652:O652"/>
    <mergeCell ref="P652:S652"/>
    <mergeCell ref="T652:AE652"/>
    <mergeCell ref="AF652:BC652"/>
    <mergeCell ref="B653:C653"/>
    <mergeCell ref="D653:G653"/>
    <mergeCell ref="H653:O653"/>
    <mergeCell ref="P653:S653"/>
    <mergeCell ref="T653:AE653"/>
    <mergeCell ref="AF653:BC653"/>
    <mergeCell ref="B654:C654"/>
    <mergeCell ref="D654:G654"/>
    <mergeCell ref="H654:O654"/>
    <mergeCell ref="P654:S654"/>
    <mergeCell ref="T654:AE654"/>
    <mergeCell ref="AF654:BC654"/>
    <mergeCell ref="B655:C655"/>
    <mergeCell ref="D655:G655"/>
    <mergeCell ref="H655:O655"/>
    <mergeCell ref="P655:S655"/>
    <mergeCell ref="T655:AE655"/>
    <mergeCell ref="AF655:BC655"/>
    <mergeCell ref="B656:C656"/>
    <mergeCell ref="D656:G656"/>
    <mergeCell ref="H656:O656"/>
    <mergeCell ref="P656:S656"/>
    <mergeCell ref="T656:AE656"/>
    <mergeCell ref="AF656:BC656"/>
    <mergeCell ref="B657:C657"/>
    <mergeCell ref="D657:G657"/>
    <mergeCell ref="H657:O657"/>
    <mergeCell ref="P657:S657"/>
    <mergeCell ref="T657:AE657"/>
    <mergeCell ref="AF657:BC657"/>
    <mergeCell ref="B658:C658"/>
    <mergeCell ref="D658:G658"/>
    <mergeCell ref="H658:O658"/>
    <mergeCell ref="P658:S658"/>
    <mergeCell ref="T658:AE658"/>
    <mergeCell ref="AF658:BC658"/>
    <mergeCell ref="B659:C659"/>
    <mergeCell ref="D659:G659"/>
    <mergeCell ref="H659:O659"/>
    <mergeCell ref="P659:S659"/>
    <mergeCell ref="T659:AE659"/>
    <mergeCell ref="AF659:BC659"/>
    <mergeCell ref="B660:C660"/>
    <mergeCell ref="D660:G660"/>
    <mergeCell ref="H660:O660"/>
    <mergeCell ref="P660:S660"/>
    <mergeCell ref="T660:AE660"/>
    <mergeCell ref="AF660:BC660"/>
    <mergeCell ref="B661:C661"/>
    <mergeCell ref="D661:G661"/>
    <mergeCell ref="H661:O661"/>
    <mergeCell ref="P661:S661"/>
    <mergeCell ref="T661:AE661"/>
    <mergeCell ref="AF661:BC661"/>
    <mergeCell ref="B662:C662"/>
    <mergeCell ref="D662:G662"/>
    <mergeCell ref="H662:O662"/>
    <mergeCell ref="P662:S662"/>
    <mergeCell ref="T662:AE662"/>
    <mergeCell ref="AF662:BC662"/>
    <mergeCell ref="B663:C663"/>
    <mergeCell ref="D663:G663"/>
    <mergeCell ref="H663:O663"/>
    <mergeCell ref="P663:S663"/>
    <mergeCell ref="T663:AE663"/>
    <mergeCell ref="AF663:BC663"/>
    <mergeCell ref="B664:C664"/>
    <mergeCell ref="D664:G664"/>
    <mergeCell ref="H664:O664"/>
    <mergeCell ref="P664:S664"/>
    <mergeCell ref="T664:AE664"/>
    <mergeCell ref="AF664:BC664"/>
    <mergeCell ref="B665:C665"/>
    <mergeCell ref="D665:G665"/>
    <mergeCell ref="H665:O665"/>
    <mergeCell ref="P665:S665"/>
    <mergeCell ref="T665:AE665"/>
    <mergeCell ref="AF665:BC665"/>
    <mergeCell ref="B666:C666"/>
    <mergeCell ref="D666:G666"/>
    <mergeCell ref="H666:O666"/>
    <mergeCell ref="P666:S666"/>
    <mergeCell ref="T666:AE666"/>
    <mergeCell ref="AF666:BC666"/>
    <mergeCell ref="B667:C667"/>
    <mergeCell ref="D667:G667"/>
    <mergeCell ref="H667:O667"/>
    <mergeCell ref="P667:S667"/>
    <mergeCell ref="T667:AE667"/>
    <mergeCell ref="AF667:BC667"/>
    <mergeCell ref="B668:C668"/>
    <mergeCell ref="D668:G668"/>
    <mergeCell ref="H668:O668"/>
    <mergeCell ref="P668:S668"/>
    <mergeCell ref="T668:AE668"/>
    <mergeCell ref="AF668:BC668"/>
    <mergeCell ref="B669:C669"/>
    <mergeCell ref="D669:G669"/>
    <mergeCell ref="H669:O669"/>
    <mergeCell ref="P669:S669"/>
    <mergeCell ref="T669:AE669"/>
    <mergeCell ref="AF669:BC669"/>
    <mergeCell ref="B670:C670"/>
    <mergeCell ref="D670:G670"/>
    <mergeCell ref="H670:O670"/>
    <mergeCell ref="P670:S670"/>
    <mergeCell ref="T670:AE670"/>
    <mergeCell ref="AF670:BC670"/>
    <mergeCell ref="B671:C671"/>
    <mergeCell ref="D671:G671"/>
    <mergeCell ref="H671:O671"/>
    <mergeCell ref="P671:S671"/>
    <mergeCell ref="T671:AE671"/>
    <mergeCell ref="AF671:BC671"/>
    <mergeCell ref="B672:C672"/>
    <mergeCell ref="D672:G672"/>
    <mergeCell ref="H672:O672"/>
    <mergeCell ref="P672:S672"/>
    <mergeCell ref="T672:AE672"/>
    <mergeCell ref="AF672:BC672"/>
    <mergeCell ref="B673:C673"/>
    <mergeCell ref="D673:G673"/>
    <mergeCell ref="H673:O673"/>
    <mergeCell ref="P673:S673"/>
    <mergeCell ref="T673:AE673"/>
    <mergeCell ref="AF673:BC673"/>
    <mergeCell ref="B674:C674"/>
    <mergeCell ref="D674:G674"/>
    <mergeCell ref="H674:O674"/>
    <mergeCell ref="P674:S674"/>
    <mergeCell ref="T674:AE674"/>
    <mergeCell ref="AF674:BC674"/>
    <mergeCell ref="B675:C675"/>
    <mergeCell ref="D675:G675"/>
    <mergeCell ref="H675:O675"/>
    <mergeCell ref="P675:S675"/>
    <mergeCell ref="T675:AE675"/>
    <mergeCell ref="AF675:BC675"/>
    <mergeCell ref="B676:C676"/>
    <mergeCell ref="D676:G676"/>
    <mergeCell ref="H676:O676"/>
    <mergeCell ref="P676:S676"/>
    <mergeCell ref="T676:AE676"/>
    <mergeCell ref="AF676:BC676"/>
    <mergeCell ref="B677:C677"/>
    <mergeCell ref="D677:G677"/>
    <mergeCell ref="H677:O677"/>
    <mergeCell ref="P677:S677"/>
    <mergeCell ref="T677:AE677"/>
    <mergeCell ref="AF677:BC677"/>
    <mergeCell ref="B678:C678"/>
    <mergeCell ref="D678:G678"/>
    <mergeCell ref="H678:O678"/>
    <mergeCell ref="P678:S678"/>
    <mergeCell ref="T678:AE678"/>
    <mergeCell ref="AF678:BC678"/>
    <mergeCell ref="B679:C679"/>
    <mergeCell ref="D679:G679"/>
    <mergeCell ref="H679:O679"/>
    <mergeCell ref="P679:S679"/>
    <mergeCell ref="T679:AE679"/>
    <mergeCell ref="AF679:BC679"/>
    <mergeCell ref="B680:C680"/>
    <mergeCell ref="D680:G680"/>
    <mergeCell ref="H680:O680"/>
    <mergeCell ref="P680:S680"/>
    <mergeCell ref="T680:AE680"/>
    <mergeCell ref="AF680:BC680"/>
    <mergeCell ref="B681:C681"/>
    <mergeCell ref="D681:G681"/>
    <mergeCell ref="H681:O681"/>
    <mergeCell ref="P681:S681"/>
    <mergeCell ref="T681:AE681"/>
    <mergeCell ref="AF681:BC681"/>
    <mergeCell ref="B682:C682"/>
    <mergeCell ref="D682:G682"/>
    <mergeCell ref="H682:O682"/>
    <mergeCell ref="P682:S682"/>
    <mergeCell ref="T682:AE682"/>
    <mergeCell ref="AF682:BC682"/>
    <mergeCell ref="B683:C683"/>
    <mergeCell ref="D683:G683"/>
    <mergeCell ref="H683:O683"/>
    <mergeCell ref="P683:S683"/>
    <mergeCell ref="T683:AE683"/>
    <mergeCell ref="AF683:BC683"/>
    <mergeCell ref="B684:C684"/>
    <mergeCell ref="D684:G684"/>
    <mergeCell ref="H684:O684"/>
    <mergeCell ref="P684:S684"/>
    <mergeCell ref="T684:AE684"/>
    <mergeCell ref="AF684:BC684"/>
    <mergeCell ref="B685:C685"/>
    <mergeCell ref="D685:G685"/>
    <mergeCell ref="H685:O685"/>
    <mergeCell ref="P685:S685"/>
    <mergeCell ref="T685:AE685"/>
    <mergeCell ref="AF685:BC685"/>
    <mergeCell ref="B686:C686"/>
    <mergeCell ref="D686:G686"/>
    <mergeCell ref="H686:O686"/>
    <mergeCell ref="P686:S686"/>
    <mergeCell ref="T686:AE686"/>
    <mergeCell ref="AF686:BC686"/>
    <mergeCell ref="B687:C687"/>
    <mergeCell ref="D687:G687"/>
    <mergeCell ref="H687:O687"/>
    <mergeCell ref="P687:S687"/>
    <mergeCell ref="T687:AE687"/>
    <mergeCell ref="AF687:BC687"/>
    <mergeCell ref="B688:C688"/>
    <mergeCell ref="E688:BC688"/>
    <mergeCell ref="C690:AK690"/>
    <mergeCell ref="AL690:BC690"/>
    <mergeCell ref="B691:C691"/>
    <mergeCell ref="D691:L691"/>
    <mergeCell ref="M691:T691"/>
    <mergeCell ref="U691:AQ691"/>
    <mergeCell ref="AR691:AY691"/>
    <mergeCell ref="AZ691:BC691"/>
    <mergeCell ref="B692:C692"/>
    <mergeCell ref="D692:L692"/>
    <mergeCell ref="M692:T692"/>
    <mergeCell ref="U692:AQ692"/>
    <mergeCell ref="AR692:AY692"/>
    <mergeCell ref="AZ692:BC692"/>
    <mergeCell ref="B693:C693"/>
    <mergeCell ref="D693:L693"/>
    <mergeCell ref="M693:T693"/>
    <mergeCell ref="U693:AQ693"/>
    <mergeCell ref="AR693:AY693"/>
    <mergeCell ref="AZ693:BC693"/>
    <mergeCell ref="B694:C694"/>
    <mergeCell ref="D694:L694"/>
    <mergeCell ref="M694:T694"/>
    <mergeCell ref="U694:AQ694"/>
    <mergeCell ref="AR694:AY694"/>
    <mergeCell ref="AZ694:BC694"/>
    <mergeCell ref="B695:C695"/>
    <mergeCell ref="D695:L695"/>
    <mergeCell ref="M695:T695"/>
    <mergeCell ref="U695:AQ695"/>
    <mergeCell ref="AR695:AY695"/>
    <mergeCell ref="AZ695:BC695"/>
    <mergeCell ref="B696:C696"/>
    <mergeCell ref="D696:L696"/>
    <mergeCell ref="M696:T696"/>
    <mergeCell ref="U696:AQ696"/>
    <mergeCell ref="AR696:AY696"/>
    <mergeCell ref="AZ696:BC696"/>
    <mergeCell ref="B697:C697"/>
    <mergeCell ref="D697:L697"/>
    <mergeCell ref="M697:T697"/>
    <mergeCell ref="U697:AQ697"/>
    <mergeCell ref="AR697:AY697"/>
    <mergeCell ref="AZ697:BC697"/>
    <mergeCell ref="B698:C698"/>
    <mergeCell ref="D698:L698"/>
    <mergeCell ref="M698:T698"/>
    <mergeCell ref="U698:AQ698"/>
    <mergeCell ref="AR698:AY698"/>
    <mergeCell ref="AZ698:BC698"/>
    <mergeCell ref="B699:C699"/>
    <mergeCell ref="D699:L699"/>
    <mergeCell ref="M699:T699"/>
    <mergeCell ref="U699:AQ699"/>
    <mergeCell ref="AR699:AY699"/>
    <mergeCell ref="AZ699:BC699"/>
    <mergeCell ref="B700:C700"/>
    <mergeCell ref="D700:L700"/>
    <mergeCell ref="M700:T700"/>
    <mergeCell ref="U700:AQ700"/>
    <mergeCell ref="AR700:AY700"/>
    <mergeCell ref="AZ700:BC700"/>
    <mergeCell ref="B701:C701"/>
    <mergeCell ref="D701:L701"/>
    <mergeCell ref="M701:T701"/>
    <mergeCell ref="U701:AQ701"/>
    <mergeCell ref="AR701:AY701"/>
    <mergeCell ref="AZ701:BC701"/>
    <mergeCell ref="B702:C702"/>
    <mergeCell ref="D702:L702"/>
    <mergeCell ref="M702:T702"/>
    <mergeCell ref="U702:AQ702"/>
    <mergeCell ref="AR702:AY702"/>
    <mergeCell ref="AZ702:BC702"/>
    <mergeCell ref="B703:C703"/>
    <mergeCell ref="D703:L703"/>
    <mergeCell ref="M703:T703"/>
    <mergeCell ref="U703:AQ703"/>
    <mergeCell ref="AR703:AY703"/>
    <mergeCell ref="AZ703:BC703"/>
    <mergeCell ref="B704:C704"/>
    <mergeCell ref="D704:L704"/>
    <mergeCell ref="M704:T704"/>
    <mergeCell ref="U704:AQ704"/>
    <mergeCell ref="AR704:AY704"/>
    <mergeCell ref="AZ704:BC704"/>
    <mergeCell ref="B705:C705"/>
    <mergeCell ref="D705:L705"/>
    <mergeCell ref="M705:T705"/>
    <mergeCell ref="U705:AQ705"/>
    <mergeCell ref="AR705:AY705"/>
    <mergeCell ref="AZ705:BC705"/>
    <mergeCell ref="B706:C706"/>
    <mergeCell ref="D706:L706"/>
    <mergeCell ref="M706:T706"/>
    <mergeCell ref="U706:AQ706"/>
    <mergeCell ref="AR706:AY706"/>
    <mergeCell ref="AZ706:BC706"/>
    <mergeCell ref="B707:C707"/>
    <mergeCell ref="D707:L707"/>
    <mergeCell ref="M707:T707"/>
    <mergeCell ref="U707:AQ707"/>
    <mergeCell ref="AR707:AY707"/>
    <mergeCell ref="AZ707:BC707"/>
    <mergeCell ref="B708:C708"/>
    <mergeCell ref="D708:L708"/>
    <mergeCell ref="M708:T708"/>
    <mergeCell ref="U708:AQ708"/>
    <mergeCell ref="AR708:AY708"/>
    <mergeCell ref="AZ708:BC708"/>
    <mergeCell ref="B709:C709"/>
    <mergeCell ref="D709:L709"/>
    <mergeCell ref="M709:T709"/>
    <mergeCell ref="U709:AQ709"/>
    <mergeCell ref="AR709:AY709"/>
    <mergeCell ref="AZ709:BC709"/>
    <mergeCell ref="B710:C710"/>
    <mergeCell ref="D710:L710"/>
    <mergeCell ref="M710:T710"/>
    <mergeCell ref="U710:AQ710"/>
    <mergeCell ref="AR710:AY710"/>
    <mergeCell ref="AZ710:BC710"/>
    <mergeCell ref="B711:C711"/>
    <mergeCell ref="D711:L711"/>
    <mergeCell ref="M711:T711"/>
    <mergeCell ref="U711:AQ711"/>
    <mergeCell ref="AR711:AY711"/>
    <mergeCell ref="AZ711:BC711"/>
    <mergeCell ref="B712:C712"/>
    <mergeCell ref="D712:L712"/>
    <mergeCell ref="M712:T712"/>
    <mergeCell ref="U712:AQ712"/>
    <mergeCell ref="AR712:AY712"/>
    <mergeCell ref="AZ712:BC712"/>
    <mergeCell ref="B713:C713"/>
    <mergeCell ref="D713:L713"/>
    <mergeCell ref="M713:T713"/>
    <mergeCell ref="U713:AQ713"/>
    <mergeCell ref="AR713:AY713"/>
    <mergeCell ref="AZ713:BC713"/>
    <mergeCell ref="B714:C714"/>
    <mergeCell ref="D714:L714"/>
    <mergeCell ref="M714:T714"/>
    <mergeCell ref="U714:AQ714"/>
    <mergeCell ref="AR714:AY714"/>
    <mergeCell ref="AZ714:BC714"/>
    <mergeCell ref="B715:C715"/>
    <mergeCell ref="D715:L715"/>
    <mergeCell ref="M715:T715"/>
    <mergeCell ref="U715:AQ715"/>
    <mergeCell ref="AR715:AY715"/>
    <mergeCell ref="AZ715:BC715"/>
    <mergeCell ref="B716:C716"/>
    <mergeCell ref="D716:L716"/>
    <mergeCell ref="M716:T716"/>
    <mergeCell ref="U716:AQ716"/>
    <mergeCell ref="AR716:AY716"/>
    <mergeCell ref="AZ716:BC716"/>
    <mergeCell ref="B717:C717"/>
    <mergeCell ref="D717:L717"/>
    <mergeCell ref="M717:T717"/>
    <mergeCell ref="U717:AQ717"/>
    <mergeCell ref="AR717:AY717"/>
    <mergeCell ref="AZ717:BC717"/>
    <mergeCell ref="B718:C718"/>
    <mergeCell ref="D718:L718"/>
    <mergeCell ref="M718:T718"/>
    <mergeCell ref="U718:AQ718"/>
    <mergeCell ref="AR718:AY718"/>
    <mergeCell ref="AZ718:BC718"/>
    <mergeCell ref="B719:C719"/>
    <mergeCell ref="D719:L719"/>
    <mergeCell ref="M719:T719"/>
    <mergeCell ref="U719:AQ719"/>
    <mergeCell ref="AR719:AY719"/>
    <mergeCell ref="AZ719:BC719"/>
    <mergeCell ref="B720:C720"/>
    <mergeCell ref="D720:L720"/>
    <mergeCell ref="M720:T720"/>
    <mergeCell ref="U720:AQ720"/>
    <mergeCell ref="AR720:AY720"/>
    <mergeCell ref="AZ720:BC720"/>
    <mergeCell ref="B721:C721"/>
    <mergeCell ref="D721:L721"/>
    <mergeCell ref="M721:T721"/>
    <mergeCell ref="U721:AQ721"/>
    <mergeCell ref="AR721:AY721"/>
    <mergeCell ref="AZ721:BC721"/>
    <mergeCell ref="B722:C722"/>
    <mergeCell ref="D722:L722"/>
    <mergeCell ref="M722:T722"/>
    <mergeCell ref="U722:AQ722"/>
    <mergeCell ref="AR722:AY722"/>
    <mergeCell ref="AZ722:BC722"/>
    <mergeCell ref="B723:C723"/>
    <mergeCell ref="D723:L723"/>
    <mergeCell ref="M723:T723"/>
    <mergeCell ref="U723:AQ723"/>
    <mergeCell ref="AR723:AY723"/>
    <mergeCell ref="AZ723:BC723"/>
    <mergeCell ref="B724:C724"/>
    <mergeCell ref="D724:L724"/>
    <mergeCell ref="M724:T724"/>
    <mergeCell ref="U724:AQ724"/>
    <mergeCell ref="AR724:AY724"/>
    <mergeCell ref="AZ724:BC724"/>
    <mergeCell ref="B725:C725"/>
    <mergeCell ref="D725:L725"/>
    <mergeCell ref="M725:T725"/>
    <mergeCell ref="U725:AQ725"/>
    <mergeCell ref="AR725:AY725"/>
    <mergeCell ref="AZ725:BC725"/>
    <mergeCell ref="B726:C726"/>
    <mergeCell ref="D726:L726"/>
    <mergeCell ref="M726:T726"/>
    <mergeCell ref="U726:AQ726"/>
    <mergeCell ref="AR726:AY726"/>
    <mergeCell ref="AZ726:BC726"/>
    <mergeCell ref="B727:C727"/>
    <mergeCell ref="D727:L727"/>
    <mergeCell ref="M727:T727"/>
    <mergeCell ref="U727:AQ727"/>
    <mergeCell ref="AR727:AY727"/>
    <mergeCell ref="AZ727:BC727"/>
    <mergeCell ref="B728:C728"/>
    <mergeCell ref="D728:L728"/>
    <mergeCell ref="M728:T728"/>
    <mergeCell ref="U728:AQ728"/>
    <mergeCell ref="AR728:AY728"/>
    <mergeCell ref="AZ728:BC728"/>
    <mergeCell ref="B729:C729"/>
    <mergeCell ref="D729:L729"/>
    <mergeCell ref="M729:T729"/>
    <mergeCell ref="U729:AQ729"/>
    <mergeCell ref="AR729:AY729"/>
    <mergeCell ref="AZ729:BC729"/>
    <mergeCell ref="B730:C730"/>
    <mergeCell ref="D730:L730"/>
    <mergeCell ref="M730:T730"/>
    <mergeCell ref="U730:AQ730"/>
    <mergeCell ref="AR730:AY730"/>
    <mergeCell ref="AZ730:BC730"/>
    <mergeCell ref="B731:C731"/>
    <mergeCell ref="D731:L731"/>
    <mergeCell ref="M731:T731"/>
    <mergeCell ref="U731:AQ731"/>
    <mergeCell ref="AR731:AY731"/>
    <mergeCell ref="AZ731:BC731"/>
    <mergeCell ref="B732:C732"/>
    <mergeCell ref="D732:L732"/>
    <mergeCell ref="M732:T732"/>
    <mergeCell ref="U732:AQ732"/>
    <mergeCell ref="AR732:AY732"/>
    <mergeCell ref="AZ732:BC732"/>
    <mergeCell ref="B733:C733"/>
    <mergeCell ref="D733:L733"/>
    <mergeCell ref="M733:T733"/>
    <mergeCell ref="U733:AQ733"/>
    <mergeCell ref="AR733:AY733"/>
    <mergeCell ref="AZ733:BC733"/>
    <mergeCell ref="B734:C734"/>
    <mergeCell ref="D734:L734"/>
    <mergeCell ref="M734:T734"/>
    <mergeCell ref="U734:AQ734"/>
    <mergeCell ref="AR734:AY734"/>
    <mergeCell ref="AZ734:BC734"/>
    <mergeCell ref="B735:C735"/>
    <mergeCell ref="D735:L735"/>
    <mergeCell ref="M735:T735"/>
    <mergeCell ref="U735:AQ735"/>
    <mergeCell ref="AR735:AY735"/>
    <mergeCell ref="AZ735:BC735"/>
    <mergeCell ref="B736:C736"/>
    <mergeCell ref="D736:L736"/>
    <mergeCell ref="M736:T736"/>
    <mergeCell ref="U736:AQ736"/>
    <mergeCell ref="AR736:AY736"/>
    <mergeCell ref="AZ736:BC736"/>
    <mergeCell ref="B737:C737"/>
    <mergeCell ref="D737:L737"/>
    <mergeCell ref="M737:T737"/>
    <mergeCell ref="U737:AQ737"/>
    <mergeCell ref="AR737:AY737"/>
    <mergeCell ref="AZ737:BC737"/>
    <mergeCell ref="B738:C738"/>
    <mergeCell ref="D738:L738"/>
    <mergeCell ref="M738:T738"/>
    <mergeCell ref="U738:AQ738"/>
    <mergeCell ref="AR738:AY738"/>
    <mergeCell ref="AZ738:BC738"/>
    <mergeCell ref="B739:C739"/>
    <mergeCell ref="D739:L739"/>
    <mergeCell ref="M739:T739"/>
    <mergeCell ref="U739:AQ739"/>
    <mergeCell ref="AR739:AY739"/>
    <mergeCell ref="AZ739:BC739"/>
    <mergeCell ref="B740:C740"/>
    <mergeCell ref="D740:L740"/>
    <mergeCell ref="M740:T740"/>
    <mergeCell ref="U740:AQ740"/>
    <mergeCell ref="AR740:AY740"/>
    <mergeCell ref="AZ740:BC740"/>
    <mergeCell ref="B741:C741"/>
    <mergeCell ref="D741:L741"/>
    <mergeCell ref="M741:T741"/>
    <mergeCell ref="U741:AQ741"/>
    <mergeCell ref="AR741:AY741"/>
    <mergeCell ref="AZ741:BC741"/>
    <mergeCell ref="B742:C742"/>
    <mergeCell ref="D742:L742"/>
    <mergeCell ref="M742:T742"/>
    <mergeCell ref="U742:AQ742"/>
    <mergeCell ref="AR742:AY742"/>
    <mergeCell ref="AZ742:BC742"/>
    <mergeCell ref="B743:C743"/>
    <mergeCell ref="D743:L743"/>
    <mergeCell ref="M743:T743"/>
    <mergeCell ref="U743:AQ743"/>
    <mergeCell ref="AR743:AY743"/>
    <mergeCell ref="AZ743:BC743"/>
    <mergeCell ref="B744:C744"/>
    <mergeCell ref="D744:L744"/>
    <mergeCell ref="M744:T744"/>
    <mergeCell ref="U744:AQ744"/>
    <mergeCell ref="AR744:AY744"/>
    <mergeCell ref="AZ744:BC744"/>
    <mergeCell ref="B745:C745"/>
    <mergeCell ref="D745:L745"/>
    <mergeCell ref="M745:T745"/>
    <mergeCell ref="U745:AQ745"/>
    <mergeCell ref="AR745:AY745"/>
    <mergeCell ref="AZ745:BC745"/>
    <mergeCell ref="B746:C746"/>
    <mergeCell ref="D746:L746"/>
    <mergeCell ref="M746:T746"/>
    <mergeCell ref="U746:AQ746"/>
    <mergeCell ref="AR746:AY746"/>
    <mergeCell ref="AZ746:BC746"/>
    <mergeCell ref="B747:C747"/>
    <mergeCell ref="D747:L747"/>
    <mergeCell ref="M747:T747"/>
    <mergeCell ref="U747:AQ747"/>
    <mergeCell ref="AR747:AY747"/>
    <mergeCell ref="AZ747:BC747"/>
    <mergeCell ref="B748:C748"/>
    <mergeCell ref="D748:L748"/>
    <mergeCell ref="M748:T748"/>
    <mergeCell ref="U748:AQ748"/>
    <mergeCell ref="AR748:AY748"/>
    <mergeCell ref="AZ748:BC748"/>
    <mergeCell ref="B749:C749"/>
    <mergeCell ref="D749:L749"/>
    <mergeCell ref="M749:T749"/>
    <mergeCell ref="U749:AQ749"/>
    <mergeCell ref="AR749:AY749"/>
    <mergeCell ref="AZ749:BC749"/>
    <mergeCell ref="B750:C750"/>
    <mergeCell ref="D750:L750"/>
    <mergeCell ref="M750:T750"/>
    <mergeCell ref="U750:AQ750"/>
    <mergeCell ref="AR750:AY750"/>
    <mergeCell ref="AZ750:BC750"/>
    <mergeCell ref="B751:C751"/>
    <mergeCell ref="D751:L751"/>
    <mergeCell ref="M751:T751"/>
    <mergeCell ref="U751:AQ751"/>
    <mergeCell ref="AR751:AY751"/>
    <mergeCell ref="AZ751:BC751"/>
    <mergeCell ref="C753:AK753"/>
    <mergeCell ref="AL753:BC753"/>
    <mergeCell ref="B754:C754"/>
    <mergeCell ref="D754:L754"/>
    <mergeCell ref="M754:X754"/>
    <mergeCell ref="Y754:AO754"/>
    <mergeCell ref="AP754:BC754"/>
    <mergeCell ref="B755:C755"/>
    <mergeCell ref="D755:L755"/>
    <mergeCell ref="M755:X755"/>
    <mergeCell ref="Y755:AO755"/>
    <mergeCell ref="AP755:BC755"/>
    <mergeCell ref="B756:C756"/>
    <mergeCell ref="D756:L756"/>
    <mergeCell ref="M756:X756"/>
    <mergeCell ref="Y756:AO756"/>
    <mergeCell ref="AP756:BC756"/>
    <mergeCell ref="B757:C757"/>
    <mergeCell ref="D757:L757"/>
    <mergeCell ref="M757:X757"/>
    <mergeCell ref="Y757:AO757"/>
    <mergeCell ref="AP757:BC757"/>
    <mergeCell ref="B758:C758"/>
    <mergeCell ref="D758:L758"/>
    <mergeCell ref="M758:X758"/>
    <mergeCell ref="Y758:AO758"/>
    <mergeCell ref="AP758:BC758"/>
    <mergeCell ref="B759:C759"/>
    <mergeCell ref="D759:L759"/>
    <mergeCell ref="M759:X759"/>
    <mergeCell ref="Y759:AO759"/>
    <mergeCell ref="AP759:BC759"/>
    <mergeCell ref="B760:C760"/>
    <mergeCell ref="D760:L760"/>
    <mergeCell ref="M760:X760"/>
    <mergeCell ref="Y760:AO760"/>
    <mergeCell ref="AP760:BC760"/>
    <mergeCell ref="B761:C761"/>
    <mergeCell ref="D761:L761"/>
    <mergeCell ref="M761:X761"/>
    <mergeCell ref="Y761:AO761"/>
    <mergeCell ref="AP761:BC761"/>
    <mergeCell ref="B762:C762"/>
    <mergeCell ref="D762:L762"/>
    <mergeCell ref="M762:X762"/>
    <mergeCell ref="Y762:AO762"/>
    <mergeCell ref="AP762:BC762"/>
    <mergeCell ref="B763:C763"/>
    <mergeCell ref="D763:L763"/>
    <mergeCell ref="M763:X763"/>
    <mergeCell ref="Y763:AO763"/>
    <mergeCell ref="AP763:BC763"/>
    <mergeCell ref="B764:C764"/>
    <mergeCell ref="D764:L764"/>
    <mergeCell ref="M764:X764"/>
    <mergeCell ref="Y764:AO764"/>
    <mergeCell ref="AP764:BC764"/>
    <mergeCell ref="B765:C765"/>
    <mergeCell ref="D765:L765"/>
    <mergeCell ref="M765:X765"/>
    <mergeCell ref="Y765:AO765"/>
    <mergeCell ref="AP765:BC765"/>
    <mergeCell ref="B766:C766"/>
    <mergeCell ref="D766:L766"/>
    <mergeCell ref="M766:X766"/>
    <mergeCell ref="Y766:AO766"/>
    <mergeCell ref="AP766:BC766"/>
    <mergeCell ref="B767:C767"/>
    <mergeCell ref="D767:L767"/>
    <mergeCell ref="M767:X767"/>
    <mergeCell ref="Y767:AO767"/>
    <mergeCell ref="AP767:BC767"/>
    <mergeCell ref="B768:C768"/>
    <mergeCell ref="D768:L768"/>
    <mergeCell ref="M768:X768"/>
    <mergeCell ref="Y768:AO768"/>
    <mergeCell ref="AP768:BC768"/>
    <mergeCell ref="B769:C769"/>
    <mergeCell ref="D769:L769"/>
    <mergeCell ref="M769:X769"/>
    <mergeCell ref="Y769:AO769"/>
    <mergeCell ref="AP769:BC769"/>
    <mergeCell ref="B770:C770"/>
    <mergeCell ref="D770:L770"/>
    <mergeCell ref="M770:X770"/>
    <mergeCell ref="Y770:AO770"/>
    <mergeCell ref="AP770:BC770"/>
    <mergeCell ref="B771:C771"/>
    <mergeCell ref="D771:L771"/>
    <mergeCell ref="M771:X771"/>
    <mergeCell ref="Y771:AO771"/>
    <mergeCell ref="AP771:BC771"/>
    <mergeCell ref="B772:C772"/>
    <mergeCell ref="D772:L772"/>
    <mergeCell ref="M772:X772"/>
    <mergeCell ref="Y772:AO772"/>
    <mergeCell ref="AP772:BC772"/>
    <mergeCell ref="B773:C773"/>
    <mergeCell ref="D773:L773"/>
    <mergeCell ref="M773:X773"/>
    <mergeCell ref="Y773:AO773"/>
    <mergeCell ref="AP773:BC773"/>
    <mergeCell ref="B774:C774"/>
    <mergeCell ref="D774:L774"/>
    <mergeCell ref="M774:X774"/>
    <mergeCell ref="Y774:AO774"/>
    <mergeCell ref="AP774:BC774"/>
    <mergeCell ref="B775:C775"/>
    <mergeCell ref="D775:L775"/>
    <mergeCell ref="M775:X775"/>
    <mergeCell ref="Y775:AO775"/>
    <mergeCell ref="AP775:BC775"/>
    <mergeCell ref="B776:C776"/>
    <mergeCell ref="D776:L776"/>
    <mergeCell ref="M776:X776"/>
    <mergeCell ref="Y776:AO776"/>
    <mergeCell ref="AP776:BC776"/>
    <mergeCell ref="B777:C777"/>
    <mergeCell ref="D777:L777"/>
    <mergeCell ref="M777:X777"/>
    <mergeCell ref="Y777:AO777"/>
    <mergeCell ref="AP777:BC777"/>
    <mergeCell ref="B778:C778"/>
    <mergeCell ref="D778:L778"/>
    <mergeCell ref="M778:X778"/>
    <mergeCell ref="Y778:AO778"/>
    <mergeCell ref="AP778:BC778"/>
    <mergeCell ref="B779:C779"/>
    <mergeCell ref="D779:L779"/>
    <mergeCell ref="M779:X779"/>
    <mergeCell ref="Y779:AO779"/>
    <mergeCell ref="AP779:BC779"/>
    <mergeCell ref="B780:C780"/>
    <mergeCell ref="D780:L780"/>
    <mergeCell ref="M780:X780"/>
    <mergeCell ref="Y780:AO780"/>
    <mergeCell ref="AP780:BC780"/>
    <mergeCell ref="B781:C781"/>
    <mergeCell ref="D781:L781"/>
    <mergeCell ref="M781:X781"/>
    <mergeCell ref="Y781:AO781"/>
    <mergeCell ref="AP781:BC781"/>
    <mergeCell ref="B782:C782"/>
    <mergeCell ref="D782:L782"/>
    <mergeCell ref="M782:X782"/>
    <mergeCell ref="Y782:AO782"/>
    <mergeCell ref="AP782:BC782"/>
    <mergeCell ref="B783:C783"/>
    <mergeCell ref="D783:L783"/>
    <mergeCell ref="M783:X783"/>
    <mergeCell ref="Y783:AO783"/>
    <mergeCell ref="AP783:BC783"/>
    <mergeCell ref="B784:C784"/>
    <mergeCell ref="D784:L784"/>
    <mergeCell ref="M784:X784"/>
    <mergeCell ref="Y784:AO784"/>
    <mergeCell ref="AP784:BC784"/>
    <mergeCell ref="B785:C785"/>
    <mergeCell ref="D785:L785"/>
    <mergeCell ref="M785:X785"/>
    <mergeCell ref="Y785:AO785"/>
    <mergeCell ref="AP785:BC785"/>
    <mergeCell ref="B786:C786"/>
    <mergeCell ref="D786:L786"/>
    <mergeCell ref="M786:X786"/>
    <mergeCell ref="Y786:AO786"/>
    <mergeCell ref="AP786:BC786"/>
    <mergeCell ref="B787:C787"/>
    <mergeCell ref="D787:L787"/>
    <mergeCell ref="M787:X787"/>
    <mergeCell ref="Y787:AO787"/>
    <mergeCell ref="AP787:BC787"/>
    <mergeCell ref="B788:C788"/>
    <mergeCell ref="D788:L788"/>
    <mergeCell ref="M788:X788"/>
    <mergeCell ref="Y788:AO788"/>
    <mergeCell ref="AP788:BC788"/>
    <mergeCell ref="B789:C789"/>
    <mergeCell ref="D789:L789"/>
    <mergeCell ref="M789:X789"/>
    <mergeCell ref="Y789:AO789"/>
    <mergeCell ref="AP789:BC789"/>
    <mergeCell ref="B790:C790"/>
    <mergeCell ref="D790:L790"/>
    <mergeCell ref="M790:X790"/>
    <mergeCell ref="Y790:AO790"/>
    <mergeCell ref="AP790:BC790"/>
    <mergeCell ref="B791:C791"/>
    <mergeCell ref="D791:L791"/>
    <mergeCell ref="M791:X791"/>
    <mergeCell ref="Y791:AO791"/>
    <mergeCell ref="AP791:BC791"/>
    <mergeCell ref="B792:C792"/>
    <mergeCell ref="D792:L792"/>
    <mergeCell ref="M792:X792"/>
    <mergeCell ref="Y792:AO792"/>
    <mergeCell ref="AP792:BC792"/>
    <mergeCell ref="B793:C793"/>
    <mergeCell ref="D793:L793"/>
    <mergeCell ref="M793:X793"/>
    <mergeCell ref="Y793:AO793"/>
    <mergeCell ref="AP793:BC793"/>
    <mergeCell ref="B794:C794"/>
    <mergeCell ref="D794:L794"/>
    <mergeCell ref="M794:X794"/>
    <mergeCell ref="Y794:AO794"/>
    <mergeCell ref="AP794:BC794"/>
    <mergeCell ref="C796:AK796"/>
    <mergeCell ref="AL796:BC796"/>
    <mergeCell ref="B797:C797"/>
    <mergeCell ref="D797:G797"/>
    <mergeCell ref="H797:P797"/>
    <mergeCell ref="Q797:V797"/>
    <mergeCell ref="W797:BC797"/>
    <mergeCell ref="B798:C798"/>
    <mergeCell ref="D798:G798"/>
    <mergeCell ref="H798:P798"/>
    <mergeCell ref="Q798:V798"/>
    <mergeCell ref="W798:BC798"/>
    <mergeCell ref="B799:C799"/>
    <mergeCell ref="D799:G799"/>
    <mergeCell ref="H799:P799"/>
    <mergeCell ref="Q799:V799"/>
    <mergeCell ref="W799:BC799"/>
    <mergeCell ref="B800:C800"/>
    <mergeCell ref="D800:G800"/>
    <mergeCell ref="H800:P800"/>
    <mergeCell ref="Q800:V800"/>
    <mergeCell ref="W800:BC800"/>
    <mergeCell ref="B801:C801"/>
    <mergeCell ref="D801:G801"/>
    <mergeCell ref="H801:P801"/>
    <mergeCell ref="Q801:V801"/>
    <mergeCell ref="W801:BC801"/>
    <mergeCell ref="B802:C802"/>
    <mergeCell ref="D802:G802"/>
    <mergeCell ref="H802:P802"/>
    <mergeCell ref="Q802:V802"/>
    <mergeCell ref="W802:BC802"/>
    <mergeCell ref="B803:C803"/>
    <mergeCell ref="D803:G803"/>
    <mergeCell ref="H803:P803"/>
    <mergeCell ref="Q803:V803"/>
    <mergeCell ref="W803:BC803"/>
    <mergeCell ref="B804:C804"/>
    <mergeCell ref="D804:G804"/>
    <mergeCell ref="H804:P804"/>
    <mergeCell ref="Q804:V804"/>
    <mergeCell ref="W804:BC804"/>
    <mergeCell ref="B805:C805"/>
    <mergeCell ref="D805:G805"/>
    <mergeCell ref="H805:P805"/>
    <mergeCell ref="Q805:V805"/>
    <mergeCell ref="W805:BC805"/>
    <mergeCell ref="B806:C806"/>
    <mergeCell ref="D806:G806"/>
    <mergeCell ref="H806:P806"/>
    <mergeCell ref="Q806:V806"/>
    <mergeCell ref="W806:BC806"/>
    <mergeCell ref="B807:C807"/>
    <mergeCell ref="D807:G807"/>
    <mergeCell ref="H807:P807"/>
    <mergeCell ref="Q807:V807"/>
    <mergeCell ref="W807:BC807"/>
    <mergeCell ref="B808:C808"/>
    <mergeCell ref="D808:G808"/>
    <mergeCell ref="H808:P808"/>
    <mergeCell ref="Q808:V808"/>
    <mergeCell ref="W808:BC808"/>
    <mergeCell ref="B809:C809"/>
    <mergeCell ref="D809:G809"/>
    <mergeCell ref="H809:P809"/>
    <mergeCell ref="Q809:V809"/>
    <mergeCell ref="W809:BC809"/>
    <mergeCell ref="B810:C810"/>
    <mergeCell ref="D810:G810"/>
    <mergeCell ref="H810:P810"/>
    <mergeCell ref="Q810:V810"/>
    <mergeCell ref="W810:BC810"/>
    <mergeCell ref="B811:C811"/>
    <mergeCell ref="D811:G811"/>
    <mergeCell ref="H811:P811"/>
    <mergeCell ref="Q811:V811"/>
    <mergeCell ref="W811:BC811"/>
    <mergeCell ref="B812:C812"/>
    <mergeCell ref="D812:G812"/>
    <mergeCell ref="H812:P812"/>
    <mergeCell ref="Q812:V812"/>
    <mergeCell ref="W812:BC812"/>
    <mergeCell ref="B813:C813"/>
    <mergeCell ref="D813:G813"/>
    <mergeCell ref="H813:P813"/>
    <mergeCell ref="Q813:V813"/>
    <mergeCell ref="W813:BC813"/>
    <mergeCell ref="B814:C814"/>
    <mergeCell ref="D814:G814"/>
    <mergeCell ref="H814:P814"/>
    <mergeCell ref="Q814:V814"/>
    <mergeCell ref="W814:BC814"/>
    <mergeCell ref="B815:C815"/>
    <mergeCell ref="D815:G815"/>
    <mergeCell ref="H815:P815"/>
    <mergeCell ref="Q815:V815"/>
    <mergeCell ref="W815:BC815"/>
    <mergeCell ref="B816:C816"/>
    <mergeCell ref="D816:G816"/>
    <mergeCell ref="H816:P816"/>
    <mergeCell ref="Q816:V816"/>
    <mergeCell ref="W816:BC816"/>
    <mergeCell ref="B817:C817"/>
    <mergeCell ref="D817:G817"/>
    <mergeCell ref="H817:P817"/>
    <mergeCell ref="Q817:V817"/>
    <mergeCell ref="W817:BC817"/>
    <mergeCell ref="B818:C818"/>
    <mergeCell ref="D818:G818"/>
    <mergeCell ref="H818:P818"/>
    <mergeCell ref="Q818:V818"/>
    <mergeCell ref="W818:BC818"/>
    <mergeCell ref="B819:C819"/>
    <mergeCell ref="D819:G819"/>
    <mergeCell ref="H819:P819"/>
    <mergeCell ref="Q819:V819"/>
    <mergeCell ref="W819:BC819"/>
    <mergeCell ref="B820:C820"/>
    <mergeCell ref="D820:G820"/>
    <mergeCell ref="H820:P820"/>
    <mergeCell ref="Q820:V820"/>
    <mergeCell ref="W820:BC820"/>
    <mergeCell ref="B821:C821"/>
    <mergeCell ref="D821:G821"/>
    <mergeCell ref="H821:P821"/>
    <mergeCell ref="Q821:V821"/>
    <mergeCell ref="W821:BC821"/>
    <mergeCell ref="B822:C822"/>
    <mergeCell ref="D822:G822"/>
    <mergeCell ref="H822:P822"/>
    <mergeCell ref="Q822:V822"/>
    <mergeCell ref="W822:BC822"/>
    <mergeCell ref="B823:C823"/>
    <mergeCell ref="D823:G823"/>
    <mergeCell ref="H823:P823"/>
    <mergeCell ref="Q823:V823"/>
    <mergeCell ref="W823:BC823"/>
    <mergeCell ref="B824:C824"/>
    <mergeCell ref="D824:G824"/>
    <mergeCell ref="H824:P824"/>
    <mergeCell ref="Q824:V824"/>
    <mergeCell ref="W824:BC824"/>
    <mergeCell ref="B825:C825"/>
    <mergeCell ref="D825:G825"/>
    <mergeCell ref="H825:P825"/>
    <mergeCell ref="Q825:V825"/>
    <mergeCell ref="W825:BC825"/>
    <mergeCell ref="B826:C826"/>
    <mergeCell ref="D826:G826"/>
    <mergeCell ref="H826:P826"/>
    <mergeCell ref="Q826:V826"/>
    <mergeCell ref="W826:BC826"/>
    <mergeCell ref="B827:C827"/>
    <mergeCell ref="D827:G827"/>
    <mergeCell ref="H827:P827"/>
    <mergeCell ref="Q827:V827"/>
    <mergeCell ref="W827:BC827"/>
    <mergeCell ref="B828:C828"/>
    <mergeCell ref="D828:G828"/>
    <mergeCell ref="H828:P828"/>
    <mergeCell ref="Q828:V828"/>
    <mergeCell ref="W828:BC828"/>
    <mergeCell ref="B829:C829"/>
    <mergeCell ref="D829:G829"/>
    <mergeCell ref="H829:P829"/>
    <mergeCell ref="Q829:V829"/>
    <mergeCell ref="W829:BC829"/>
    <mergeCell ref="B830:C830"/>
    <mergeCell ref="D830:G830"/>
    <mergeCell ref="H830:P830"/>
    <mergeCell ref="Q830:V830"/>
    <mergeCell ref="W830:BC830"/>
    <mergeCell ref="B831:C831"/>
    <mergeCell ref="D831:G831"/>
    <mergeCell ref="H831:P831"/>
    <mergeCell ref="Q831:V831"/>
    <mergeCell ref="W831:BC831"/>
    <mergeCell ref="B832:C832"/>
    <mergeCell ref="D832:G832"/>
    <mergeCell ref="H832:P832"/>
    <mergeCell ref="Q832:V832"/>
    <mergeCell ref="W832:BC832"/>
    <mergeCell ref="B833:C833"/>
    <mergeCell ref="D833:G833"/>
    <mergeCell ref="H833:P833"/>
    <mergeCell ref="Q833:V833"/>
    <mergeCell ref="W833:BC833"/>
    <mergeCell ref="B834:C834"/>
    <mergeCell ref="D834:G834"/>
    <mergeCell ref="H834:P834"/>
    <mergeCell ref="Q834:V834"/>
    <mergeCell ref="W834:BC834"/>
    <mergeCell ref="B835:C835"/>
    <mergeCell ref="D835:G835"/>
    <mergeCell ref="H835:P835"/>
    <mergeCell ref="Q835:V835"/>
    <mergeCell ref="W835:BC835"/>
    <mergeCell ref="B836:C836"/>
    <mergeCell ref="D836:G836"/>
    <mergeCell ref="H836:P836"/>
    <mergeCell ref="Q836:V836"/>
    <mergeCell ref="W836:BC836"/>
    <mergeCell ref="B837:C837"/>
    <mergeCell ref="D837:G837"/>
    <mergeCell ref="H837:P837"/>
    <mergeCell ref="Q837:V837"/>
    <mergeCell ref="W837:BC837"/>
    <mergeCell ref="B838:C838"/>
    <mergeCell ref="E838:BC838"/>
  </mergeCells>
  <dataValidations count="21">
    <dataValidation allowBlank="true" errorStyle="stop" operator="between" showDropDown="false" showErrorMessage="false" showInputMessage="false" sqref="H30:H129" type="list">
      <formula1>'4 Monthly Review'!$B$30:$B$37</formula1>
      <formula2>0</formula2>
    </dataValidation>
    <dataValidation allowBlank="true" errorStyle="stop" operator="between" showDropDown="false" showErrorMessage="false" showInputMessage="false" sqref="V30:V129" type="list">
      <formula1>"GT,QL,PI,PQ,OH,NC,SR,NF,GC,PB,OT"</formula1>
      <formula2>0</formula2>
    </dataValidation>
    <dataValidation allowBlank="true" errorStyle="stop" operator="between" showDropDown="false" showErrorMessage="false" showInputMessage="false" sqref="H134:H213" type="list">
      <formula1>'4 Monthly Review'!$B$30:$B$37</formula1>
      <formula2>0</formula2>
    </dataValidation>
    <dataValidation allowBlank="true" errorStyle="stop" operator="between" showDropDown="false" showErrorMessage="false" showInputMessage="false" sqref="P134:P213" type="list">
      <formula1>"SK,TP,BH,WB,OT"</formula1>
      <formula2>0</formula2>
    </dataValidation>
    <dataValidation allowBlank="true" errorStyle="stop" operator="between" showDropDown="false" showErrorMessage="false" showInputMessage="false" sqref="P218:P467" type="list">
      <formula1>'4 Monthly Review'!$B$30:$B$37</formula1>
      <formula2>0</formula2>
    </dataValidation>
    <dataValidation allowBlank="true" errorStyle="stop" operator="between" showDropDown="false" showErrorMessage="false" showInputMessage="false" sqref="AC218:AC467" type="list">
      <formula1>"PR,CM,NR,TM,BG,NF,PY,OT"</formula1>
      <formula2>0</formula2>
    </dataValidation>
    <dataValidation allowBlank="true" errorStyle="stop" operator="between" showDropDown="false" showErrorMessage="false" showInputMessage="false" sqref="P472:P511" type="list">
      <formula1>'4 Monthly Review'!$B$30:$B$37</formula1>
      <formula2>0</formula2>
    </dataValidation>
    <dataValidation allowBlank="true" errorStyle="stop" operator="between" showDropDown="false" showErrorMessage="false" showInputMessage="false" sqref="AC472:AC511" type="list">
      <formula1>"CC,ND,WQ,DP,CO,OT"</formula1>
      <formula2>0</formula2>
    </dataValidation>
    <dataValidation allowBlank="true" errorStyle="stop" operator="between" showDropDown="false" showErrorMessage="false" showInputMessage="false" sqref="H516:H555" type="list">
      <formula1>'4 Monthly Review'!$B$30:$B$37</formula1>
      <formula2>0</formula2>
    </dataValidation>
    <dataValidation allowBlank="true" errorStyle="stop" operator="between" showDropDown="false" showErrorMessage="false" showInputMessage="false" sqref="AE516:AE555" type="list">
      <formula1>"AM,PG,SB,PO,CU,OT"</formula1>
      <formula2>0</formula2>
    </dataValidation>
    <dataValidation allowBlank="true" errorStyle="stop" operator="between" showDropDown="false" showErrorMessage="false" showInputMessage="false" sqref="AW516:AW555" type="list">
      <formula1>"O,C"</formula1>
      <formula2>0</formula2>
    </dataValidation>
    <dataValidation allowBlank="true" errorStyle="stop" operator="between" showDropDown="false" showErrorMessage="false" showInputMessage="false" sqref="Q560:Q599" type="list">
      <formula1>'4 Monthly Review'!$B$30:$B$37</formula1>
      <formula2>0</formula2>
    </dataValidation>
    <dataValidation allowBlank="true" errorStyle="stop" operator="between" showDropDown="false" showErrorMessage="false" showInputMessage="false" sqref="AH560:AH599" type="list">
      <formula1>"CP,BV,LC,CL,OT"</formula1>
      <formula2>0</formula2>
    </dataValidation>
    <dataValidation allowBlank="true" errorStyle="stop" operator="between" showDropDown="false" showErrorMessage="false" showInputMessage="false" sqref="AL560:AL599" type="list">
      <formula1>"W,L,O"</formula1>
      <formula2>0</formula2>
    </dataValidation>
    <dataValidation allowBlank="true" errorStyle="stop" operator="between" showDropDown="false" showErrorMessage="false" showInputMessage="false" sqref="H604:H643" type="list">
      <formula1>"BOT,CRM,DB,LD"</formula1>
      <formula2>0</formula2>
    </dataValidation>
    <dataValidation allowBlank="true" errorStyle="stop" operator="between" showDropDown="false" showErrorMessage="false" showInputMessage="false" sqref="AH604:AH643" type="list">
      <formula1>"B,S,M"</formula1>
      <formula2>0</formula2>
    </dataValidation>
    <dataValidation allowBlank="true" errorStyle="stop" operator="between" showDropDown="false" showErrorMessage="false" showInputMessage="false" sqref="AV604:AV643" type="list">
      <formula1>"O,F"</formula1>
      <formula2>0</formula2>
    </dataValidation>
    <dataValidation allowBlank="true" errorStyle="stop" operator="between" showDropDown="false" showErrorMessage="false" showInputMessage="false" sqref="M692:M751" type="list">
      <formula1>'4 Monthly Review'!$B$30:$B$37</formula1>
      <formula2>0</formula2>
    </dataValidation>
    <dataValidation allowBlank="true" errorStyle="stop" operator="between" showDropDown="false" showErrorMessage="false" showInputMessage="false" sqref="AZ692:AZ751" type="list">
      <formula1>"1,2,3,4,5"</formula1>
      <formula2>0</formula2>
    </dataValidation>
    <dataValidation allowBlank="true" errorStyle="stop" operator="between" showDropDown="false" showErrorMessage="false" showInputMessage="false" sqref="D755:D794" type="list">
      <formula1>'4 Monthly Review'!$B$30:$B$37</formula1>
      <formula2>0</formula2>
    </dataValidation>
    <dataValidation allowBlank="true" errorStyle="stop" operator="between" showDropDown="false" showErrorMessage="false" showInputMessage="false" sqref="Q798:Q837" type="list">
      <formula1>"Y,N"</formula1>
      <formula2>0</formula2>
    </dataValidation>
  </dataValidations>
  <printOptions headings="false" gridLines="false" gridLinesSet="true" horizontalCentered="true" verticalCentered="false"/>
  <pageMargins left="0.3" right="0.3" top="0.3" bottom="0.3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AM9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.2"/>
    <col collapsed="false" customWidth="true" hidden="false" outlineLevel="0" max="39" min="2" style="0" width="2.3"/>
    <col collapsed="false" customWidth="true" hidden="false" outlineLevel="0" max="40" min="40" style="0" width="1.2"/>
  </cols>
  <sheetData>
    <row r="1" customFormat="false" ht="7.5" hidden="false" customHeight="true" outlineLevel="0" collapsed="false"/>
    <row r="2" customFormat="false" ht="25.5" hidden="false" customHeight="true" outlineLevel="0" collapsed="false">
      <c r="B2" s="60"/>
      <c r="C2" s="61" t="s">
        <v>142</v>
      </c>
      <c r="D2" s="61"/>
      <c r="E2" s="61"/>
      <c r="F2" s="61"/>
      <c r="G2" s="61"/>
      <c r="H2" s="62" t="n">
        <v>1</v>
      </c>
      <c r="I2" s="62"/>
      <c r="J2" s="62"/>
      <c r="K2" s="60"/>
      <c r="L2" s="63" t="str">
        <f aca="false">"Week "&amp;$H$2&amp;": "&amp;TEXT(IFERROR(INDEX('4 Monthly Review'!$F$18:$F$22,$H$2),""),"dd mmm yyyy")&amp;" to "&amp;TEXT(IFERROR(INDEX('4 Monthly Review'!$K$18:$K$22,$H$2),""),"dd mmm yyyy")</f>
        <v>Week 1: 01 Oct 2026 to 03 Oct 2026</v>
      </c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</row>
    <row r="3" customFormat="false" ht="7.5" hidden="false" customHeight="true" outlineLevel="0" collapsed="false"/>
    <row r="4" customFormat="false" ht="7.5" hidden="false" customHeight="true" outlineLevel="0" collapsed="false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</row>
    <row r="5" customFormat="false" ht="19.5" hidden="false" customHeight="true" outlineLevel="0" collapsed="false">
      <c r="B5" s="2"/>
      <c r="C5" s="28" t="s">
        <v>143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"/>
      <c r="AC5" s="2"/>
      <c r="AD5" s="2"/>
      <c r="AE5" s="29" t="s">
        <v>144</v>
      </c>
      <c r="AF5" s="29"/>
      <c r="AG5" s="29"/>
      <c r="AH5" s="29"/>
      <c r="AI5" s="29"/>
      <c r="AJ5" s="29"/>
      <c r="AK5" s="29"/>
      <c r="AL5" s="2"/>
      <c r="AM5" s="2"/>
    </row>
    <row r="6" customFormat="false" ht="30" hidden="false" customHeight="true" outlineLevel="0" collapsed="false">
      <c r="B6" s="2"/>
      <c r="C6" s="30" t="s">
        <v>145</v>
      </c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1" t="s">
        <v>146</v>
      </c>
      <c r="AC6" s="31"/>
      <c r="AD6" s="31"/>
      <c r="AE6" s="31"/>
      <c r="AF6" s="31"/>
      <c r="AG6" s="31"/>
      <c r="AH6" s="31"/>
      <c r="AI6" s="31"/>
      <c r="AJ6" s="31"/>
      <c r="AK6" s="31"/>
      <c r="AL6" s="2"/>
      <c r="AM6" s="2"/>
    </row>
    <row r="7" customFormat="false" ht="15.75" hidden="false" customHeight="true" outlineLevel="0" collapsed="false">
      <c r="B7" s="2"/>
      <c r="C7" s="32" t="s">
        <v>147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</row>
    <row r="8" customFormat="false" ht="9.75" hidden="false" customHeight="true" outlineLevel="0" collapsed="false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</row>
    <row r="9" customFormat="false" ht="3.75" hidden="false" customHeight="true" outlineLevel="0" collapsed="false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</row>
    <row r="10" customFormat="false" ht="7.5" hidden="false" customHeight="true" outlineLevel="0" collapsed="false"/>
    <row r="11" customFormat="false" ht="13.5" hidden="false" customHeight="true" outlineLevel="0" collapsed="false">
      <c r="B11" s="33" t="s">
        <v>51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O11" s="33" t="s">
        <v>10</v>
      </c>
      <c r="P11" s="33"/>
      <c r="Q11" s="33"/>
      <c r="R11" s="33"/>
      <c r="S11" s="33"/>
      <c r="T11" s="33"/>
      <c r="U11" s="33"/>
      <c r="V11" s="33"/>
      <c r="X11" s="33" t="s">
        <v>52</v>
      </c>
      <c r="Y11" s="33"/>
      <c r="Z11" s="33"/>
      <c r="AA11" s="33"/>
      <c r="AB11" s="33"/>
      <c r="AC11" s="33"/>
      <c r="AD11" s="33"/>
      <c r="AE11" s="33"/>
      <c r="AG11" s="33" t="s">
        <v>53</v>
      </c>
      <c r="AH11" s="33"/>
      <c r="AI11" s="33"/>
      <c r="AJ11" s="33"/>
      <c r="AK11" s="33"/>
      <c r="AL11" s="33"/>
      <c r="AM11" s="33"/>
    </row>
    <row r="12" customFormat="false" ht="21.75" hidden="false" customHeight="true" outlineLevel="0" collapsed="false">
      <c r="B12" s="34" t="str">
        <f aca="false">'4 Monthly Review'!$B$9</f>
        <v>Bindhya TB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O12" s="34" t="str">
        <f aca="false">'4 Monthly Review'!$O$9</f>
        <v>Tourism &amp; Business</v>
      </c>
      <c r="P12" s="34"/>
      <c r="Q12" s="34"/>
      <c r="R12" s="34"/>
      <c r="S12" s="34"/>
      <c r="T12" s="34"/>
      <c r="U12" s="34"/>
      <c r="V12" s="34"/>
      <c r="X12" s="35" t="n">
        <f aca="false">IFERROR(INDEX('4 Monthly Review'!$F$18:$F$22,$H$2),"")</f>
        <v>46296</v>
      </c>
      <c r="Y12" s="35"/>
      <c r="Z12" s="35"/>
      <c r="AA12" s="35"/>
      <c r="AB12" s="35"/>
      <c r="AC12" s="35"/>
      <c r="AD12" s="35"/>
      <c r="AE12" s="35"/>
      <c r="AG12" s="35" t="n">
        <f aca="false">IFERROR(INDEX('4 Monthly Review'!$K$18:$K$22,$H$2),"")</f>
        <v>46298</v>
      </c>
      <c r="AH12" s="35"/>
      <c r="AI12" s="35"/>
      <c r="AJ12" s="35"/>
      <c r="AK12" s="35"/>
      <c r="AL12" s="35"/>
      <c r="AM12" s="35"/>
    </row>
    <row r="13" customFormat="false" ht="9.75" hidden="false" customHeight="true" outlineLevel="0" collapsed="false"/>
    <row r="14" customFormat="false" ht="21.75" hidden="false" customHeight="true" outlineLevel="0" collapsed="false">
      <c r="B14" s="6"/>
      <c r="C14" s="37" t="s">
        <v>148</v>
      </c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</row>
    <row r="15" customFormat="false" ht="19.5" hidden="false" customHeight="true" outlineLevel="0" collapsed="false">
      <c r="B15" s="39"/>
      <c r="C15" s="64" t="n">
        <v>1</v>
      </c>
      <c r="D15" s="65" t="s">
        <v>149</v>
      </c>
      <c r="E15" s="65"/>
      <c r="F15" s="65"/>
      <c r="G15" s="65"/>
      <c r="H15" s="65"/>
      <c r="I15" s="65"/>
      <c r="J15" s="65"/>
      <c r="K15" s="65"/>
      <c r="L15" s="65"/>
      <c r="M15" s="65"/>
      <c r="O15" s="39"/>
      <c r="P15" s="64" t="n">
        <v>2</v>
      </c>
      <c r="Q15" s="65" t="s">
        <v>150</v>
      </c>
      <c r="R15" s="65"/>
      <c r="S15" s="65"/>
      <c r="T15" s="65"/>
      <c r="U15" s="65"/>
      <c r="V15" s="65"/>
      <c r="W15" s="65"/>
      <c r="X15" s="65"/>
      <c r="Y15" s="65"/>
      <c r="Z15" s="65"/>
      <c r="AB15" s="39"/>
      <c r="AC15" s="64" t="n">
        <v>3</v>
      </c>
      <c r="AD15" s="65" t="s">
        <v>151</v>
      </c>
      <c r="AE15" s="65"/>
      <c r="AF15" s="65"/>
      <c r="AG15" s="65"/>
      <c r="AH15" s="65"/>
      <c r="AI15" s="65"/>
      <c r="AJ15" s="65"/>
      <c r="AK15" s="65"/>
      <c r="AL15" s="65"/>
      <c r="AM15" s="65"/>
    </row>
    <row r="16" customFormat="false" ht="25.5" hidden="false" customHeight="true" outlineLevel="0" collapsed="false">
      <c r="B16" s="42"/>
      <c r="C16" s="66" t="str">
        <f aca="false">IF(OR('4 Monthly Review'!$AF$9="",SUMIFS('1 Daily Report'!$D$9:$D$39,'1 Daily Report'!$C$9:$C$39,"&gt;0")=0),"",'4 Monthly Review'!$AF$9/SUMIFS('1 Daily Report'!$D$9:$D$39,'1 Daily Report'!$C$9:$C$39,"&gt;0")*INDEX('4 Monthly Review'!$P$18:$P$22,$H$2))</f>
        <v/>
      </c>
      <c r="D16" s="66"/>
      <c r="E16" s="66"/>
      <c r="F16" s="66"/>
      <c r="G16" s="66"/>
      <c r="H16" s="66"/>
      <c r="I16" s="66"/>
      <c r="J16" s="66"/>
      <c r="K16" s="66"/>
      <c r="L16" s="66"/>
      <c r="M16" s="44"/>
      <c r="O16" s="42"/>
      <c r="P16" s="66" t="n">
        <f aca="false">IFERROR(SUMIFS('1 Daily Report'!$AC$9:$AC$39,'1 Daily Report'!$A$9:$A$39,"&gt;="&amp;INDEX('4 Monthly Review'!$F$18:$F$22,$H$2),'1 Daily Report'!$A$9:$A$39,"&lt;="&amp;INDEX('4 Monthly Review'!$K$18:$K$22,$H$2)),0)</f>
        <v>0</v>
      </c>
      <c r="Q16" s="66"/>
      <c r="R16" s="66"/>
      <c r="S16" s="66"/>
      <c r="T16" s="66"/>
      <c r="U16" s="66"/>
      <c r="V16" s="66"/>
      <c r="W16" s="66"/>
      <c r="X16" s="66"/>
      <c r="Y16" s="66"/>
      <c r="Z16" s="44"/>
      <c r="AB16" s="42"/>
      <c r="AC16" s="67" t="str">
        <f aca="false">IF(OR(C16="",N(P16)=0),"",P16/C16)</f>
        <v/>
      </c>
      <c r="AD16" s="67"/>
      <c r="AE16" s="67"/>
      <c r="AF16" s="67"/>
      <c r="AG16" s="67"/>
      <c r="AH16" s="67"/>
      <c r="AI16" s="67"/>
      <c r="AJ16" s="67"/>
      <c r="AK16" s="67"/>
      <c r="AL16" s="67"/>
      <c r="AM16" s="44"/>
    </row>
    <row r="17" customFormat="false" ht="6" hidden="false" customHeight="true" outlineLevel="0" collapsed="false">
      <c r="B17" s="48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50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50"/>
      <c r="AB17" s="48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50"/>
    </row>
    <row r="18" customFormat="false" ht="9.75" hidden="false" customHeight="true" outlineLevel="0" collapsed="false"/>
    <row r="19" customFormat="false" ht="21.75" hidden="false" customHeight="true" outlineLevel="0" collapsed="false">
      <c r="B19" s="6"/>
      <c r="C19" s="37" t="s">
        <v>152</v>
      </c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</row>
    <row r="20" customFormat="false" ht="27.75" hidden="false" customHeight="true" outlineLevel="0" collapsed="false">
      <c r="B20" s="52" t="s">
        <v>71</v>
      </c>
      <c r="C20" s="52"/>
      <c r="D20" s="53" t="s">
        <v>73</v>
      </c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 t="s">
        <v>153</v>
      </c>
      <c r="S20" s="53"/>
      <c r="T20" s="53"/>
      <c r="U20" s="53"/>
      <c r="V20" s="53"/>
      <c r="W20" s="53"/>
      <c r="X20" s="53"/>
      <c r="Y20" s="53"/>
      <c r="Z20" s="53" t="s">
        <v>154</v>
      </c>
      <c r="AA20" s="53"/>
      <c r="AB20" s="53"/>
      <c r="AC20" s="53"/>
      <c r="AD20" s="53"/>
      <c r="AE20" s="53"/>
      <c r="AF20" s="53"/>
      <c r="AG20" s="53"/>
      <c r="AH20" s="53" t="s">
        <v>155</v>
      </c>
      <c r="AI20" s="53"/>
      <c r="AJ20" s="53"/>
      <c r="AK20" s="53"/>
      <c r="AL20" s="53"/>
      <c r="AM20" s="53"/>
    </row>
    <row r="21" customFormat="false" ht="21.75" hidden="false" customHeight="true" outlineLevel="0" collapsed="false">
      <c r="B21" s="54" t="n">
        <v>1</v>
      </c>
      <c r="C21" s="54"/>
      <c r="D21" s="68" t="str">
        <f aca="false">'4 Monthly Review'!$B$30</f>
        <v>Alshima</v>
      </c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9" t="str">
        <f aca="false">IF(OR('4 Monthly Review'!$H$30="",SUMIFS('1 Daily Report'!$D$9:$D$39,'1 Daily Report'!$C$9:$C$39,"&gt;0")=0),"",'4 Monthly Review'!$H$30/SUMIFS('1 Daily Report'!$D$9:$D$39,'1 Daily Report'!$C$9:$C$39,"&gt;0")*INDEX('4 Monthly Review'!$P$18:$P$22,$H$2))</f>
        <v/>
      </c>
      <c r="S21" s="69"/>
      <c r="T21" s="69"/>
      <c r="U21" s="69"/>
      <c r="V21" s="69"/>
      <c r="W21" s="69"/>
      <c r="X21" s="69"/>
      <c r="Y21" s="69"/>
      <c r="Z21" s="69" t="n">
        <f aca="false">SUMPRODUCT(('1 Daily Report'!$U$8:$AB$8=$D21)*('1 Daily Report'!$A$9:$A$39&gt;=INDEX('4 Monthly Review'!$F$18:$F$22,$H$2))*('1 Daily Report'!$A$9:$A$39&lt;=INDEX('4 Monthly Review'!$K$18:$K$22,$H$2))*'1 Daily Report'!$U$9:$AB$39)</f>
        <v>0</v>
      </c>
      <c r="AA21" s="69"/>
      <c r="AB21" s="69"/>
      <c r="AC21" s="69"/>
      <c r="AD21" s="69"/>
      <c r="AE21" s="69"/>
      <c r="AF21" s="69"/>
      <c r="AG21" s="69"/>
      <c r="AH21" s="70" t="str">
        <f aca="false">IF(OR(R21="",N(Z21)=0),"",Z21/R21)</f>
        <v/>
      </c>
      <c r="AI21" s="70"/>
      <c r="AJ21" s="70"/>
      <c r="AK21" s="70"/>
      <c r="AL21" s="70"/>
      <c r="AM21" s="70"/>
    </row>
    <row r="22" customFormat="false" ht="21.75" hidden="false" customHeight="true" outlineLevel="0" collapsed="false">
      <c r="B22" s="54" t="n">
        <v>2</v>
      </c>
      <c r="C22" s="54"/>
      <c r="D22" s="68" t="str">
        <f aca="false">'4 Monthly Review'!$B$31</f>
        <v>Chaima</v>
      </c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9" t="str">
        <f aca="false">IF(OR('4 Monthly Review'!$H$31="",SUMIFS('1 Daily Report'!$D$9:$D$39,'1 Daily Report'!$C$9:$C$39,"&gt;0")=0),"",'4 Monthly Review'!$H$31/SUMIFS('1 Daily Report'!$D$9:$D$39,'1 Daily Report'!$C$9:$C$39,"&gt;0")*INDEX('4 Monthly Review'!$P$18:$P$22,$H$2))</f>
        <v/>
      </c>
      <c r="S22" s="69"/>
      <c r="T22" s="69"/>
      <c r="U22" s="69"/>
      <c r="V22" s="69"/>
      <c r="W22" s="69"/>
      <c r="X22" s="69"/>
      <c r="Y22" s="69"/>
      <c r="Z22" s="69" t="n">
        <f aca="false">SUMPRODUCT(('1 Daily Report'!$U$8:$AB$8=$D22)*('1 Daily Report'!$A$9:$A$39&gt;=INDEX('4 Monthly Review'!$F$18:$F$22,$H$2))*('1 Daily Report'!$A$9:$A$39&lt;=INDEX('4 Monthly Review'!$K$18:$K$22,$H$2))*'1 Daily Report'!$U$9:$AB$39)</f>
        <v>0</v>
      </c>
      <c r="AA22" s="69"/>
      <c r="AB22" s="69"/>
      <c r="AC22" s="69"/>
      <c r="AD22" s="69"/>
      <c r="AE22" s="69"/>
      <c r="AF22" s="69"/>
      <c r="AG22" s="69"/>
      <c r="AH22" s="70" t="str">
        <f aca="false">IF(OR(R22="",N(Z22)=0),"",Z22/R22)</f>
        <v/>
      </c>
      <c r="AI22" s="70"/>
      <c r="AJ22" s="70"/>
      <c r="AK22" s="70"/>
      <c r="AL22" s="70"/>
      <c r="AM22" s="70"/>
    </row>
    <row r="23" customFormat="false" ht="21.75" hidden="false" customHeight="true" outlineLevel="0" collapsed="false">
      <c r="B23" s="54" t="n">
        <v>3</v>
      </c>
      <c r="C23" s="54"/>
      <c r="D23" s="68" t="str">
        <f aca="false">'4 Monthly Review'!$B$32</f>
        <v>Harinder</v>
      </c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9" t="str">
        <f aca="false">IF(OR('4 Monthly Review'!$H$32="",SUMIFS('1 Daily Report'!$D$9:$D$39,'1 Daily Report'!$C$9:$C$39,"&gt;0")=0),"",'4 Monthly Review'!$H$32/SUMIFS('1 Daily Report'!$D$9:$D$39,'1 Daily Report'!$C$9:$C$39,"&gt;0")*INDEX('4 Monthly Review'!$P$18:$P$22,$H$2))</f>
        <v/>
      </c>
      <c r="S23" s="69"/>
      <c r="T23" s="69"/>
      <c r="U23" s="69"/>
      <c r="V23" s="69"/>
      <c r="W23" s="69"/>
      <c r="X23" s="69"/>
      <c r="Y23" s="69"/>
      <c r="Z23" s="69" t="n">
        <f aca="false">SUMPRODUCT(('1 Daily Report'!$U$8:$AB$8=$D23)*('1 Daily Report'!$A$9:$A$39&gt;=INDEX('4 Monthly Review'!$F$18:$F$22,$H$2))*('1 Daily Report'!$A$9:$A$39&lt;=INDEX('4 Monthly Review'!$K$18:$K$22,$H$2))*'1 Daily Report'!$U$9:$AB$39)</f>
        <v>0</v>
      </c>
      <c r="AA23" s="69"/>
      <c r="AB23" s="69"/>
      <c r="AC23" s="69"/>
      <c r="AD23" s="69"/>
      <c r="AE23" s="69"/>
      <c r="AF23" s="69"/>
      <c r="AG23" s="69"/>
      <c r="AH23" s="70" t="str">
        <f aca="false">IF(OR(R23="",N(Z23)=0),"",Z23/R23)</f>
        <v/>
      </c>
      <c r="AI23" s="70"/>
      <c r="AJ23" s="70"/>
      <c r="AK23" s="70"/>
      <c r="AL23" s="70"/>
      <c r="AM23" s="70"/>
    </row>
    <row r="24" customFormat="false" ht="21.75" hidden="false" customHeight="true" outlineLevel="0" collapsed="false">
      <c r="B24" s="54" t="n">
        <v>4</v>
      </c>
      <c r="C24" s="54"/>
      <c r="D24" s="68" t="str">
        <f aca="false">'4 Monthly Review'!$B$33</f>
        <v>Ibrahim</v>
      </c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9" t="str">
        <f aca="false">IF(OR('4 Monthly Review'!$H$33="",SUMIFS('1 Daily Report'!$D$9:$D$39,'1 Daily Report'!$C$9:$C$39,"&gt;0")=0),"",'4 Monthly Review'!$H$33/SUMIFS('1 Daily Report'!$D$9:$D$39,'1 Daily Report'!$C$9:$C$39,"&gt;0")*INDEX('4 Monthly Review'!$P$18:$P$22,$H$2))</f>
        <v/>
      </c>
      <c r="S24" s="69"/>
      <c r="T24" s="69"/>
      <c r="U24" s="69"/>
      <c r="V24" s="69"/>
      <c r="W24" s="69"/>
      <c r="X24" s="69"/>
      <c r="Y24" s="69"/>
      <c r="Z24" s="69" t="n">
        <f aca="false">SUMPRODUCT(('1 Daily Report'!$U$8:$AB$8=$D24)*('1 Daily Report'!$A$9:$A$39&gt;=INDEX('4 Monthly Review'!$F$18:$F$22,$H$2))*('1 Daily Report'!$A$9:$A$39&lt;=INDEX('4 Monthly Review'!$K$18:$K$22,$H$2))*'1 Daily Report'!$U$9:$AB$39)</f>
        <v>0</v>
      </c>
      <c r="AA24" s="69"/>
      <c r="AB24" s="69"/>
      <c r="AC24" s="69"/>
      <c r="AD24" s="69"/>
      <c r="AE24" s="69"/>
      <c r="AF24" s="69"/>
      <c r="AG24" s="69"/>
      <c r="AH24" s="70" t="str">
        <f aca="false">IF(OR(R24="",N(Z24)=0),"",Z24/R24)</f>
        <v/>
      </c>
      <c r="AI24" s="70"/>
      <c r="AJ24" s="70"/>
      <c r="AK24" s="70"/>
      <c r="AL24" s="70"/>
      <c r="AM24" s="70"/>
    </row>
    <row r="25" customFormat="false" ht="21.75" hidden="false" customHeight="true" outlineLevel="0" collapsed="false">
      <c r="B25" s="54" t="n">
        <v>5</v>
      </c>
      <c r="C25" s="54"/>
      <c r="D25" s="68" t="str">
        <f aca="false">'4 Monthly Review'!$B$34</f>
        <v>Khozema</v>
      </c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9" t="str">
        <f aca="false">IF(OR('4 Monthly Review'!$H$34="",SUMIFS('1 Daily Report'!$D$9:$D$39,'1 Daily Report'!$C$9:$C$39,"&gt;0")=0),"",'4 Monthly Review'!$H$34/SUMIFS('1 Daily Report'!$D$9:$D$39,'1 Daily Report'!$C$9:$C$39,"&gt;0")*INDEX('4 Monthly Review'!$P$18:$P$22,$H$2))</f>
        <v/>
      </c>
      <c r="S25" s="69"/>
      <c r="T25" s="69"/>
      <c r="U25" s="69"/>
      <c r="V25" s="69"/>
      <c r="W25" s="69"/>
      <c r="X25" s="69"/>
      <c r="Y25" s="69"/>
      <c r="Z25" s="69" t="n">
        <f aca="false">SUMPRODUCT(('1 Daily Report'!$U$8:$AB$8=$D25)*('1 Daily Report'!$A$9:$A$39&gt;=INDEX('4 Monthly Review'!$F$18:$F$22,$H$2))*('1 Daily Report'!$A$9:$A$39&lt;=INDEX('4 Monthly Review'!$K$18:$K$22,$H$2))*'1 Daily Report'!$U$9:$AB$39)</f>
        <v>0</v>
      </c>
      <c r="AA25" s="69"/>
      <c r="AB25" s="69"/>
      <c r="AC25" s="69"/>
      <c r="AD25" s="69"/>
      <c r="AE25" s="69"/>
      <c r="AF25" s="69"/>
      <c r="AG25" s="69"/>
      <c r="AH25" s="70" t="str">
        <f aca="false">IF(OR(R25="",N(Z25)=0),"",Z25/R25)</f>
        <v/>
      </c>
      <c r="AI25" s="70"/>
      <c r="AJ25" s="70"/>
      <c r="AK25" s="70"/>
      <c r="AL25" s="70"/>
      <c r="AM25" s="70"/>
    </row>
    <row r="26" customFormat="false" ht="21.75" hidden="false" customHeight="true" outlineLevel="0" collapsed="false">
      <c r="B26" s="54" t="n">
        <v>6</v>
      </c>
      <c r="C26" s="54"/>
      <c r="D26" s="68" t="str">
        <f aca="false">'4 Monthly Review'!$B$35</f>
        <v>Layan</v>
      </c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9" t="str">
        <f aca="false">IF(OR('4 Monthly Review'!$H$35="",SUMIFS('1 Daily Report'!$D$9:$D$39,'1 Daily Report'!$C$9:$C$39,"&gt;0")=0),"",'4 Monthly Review'!$H$35/SUMIFS('1 Daily Report'!$D$9:$D$39,'1 Daily Report'!$C$9:$C$39,"&gt;0")*INDEX('4 Monthly Review'!$P$18:$P$22,$H$2))</f>
        <v/>
      </c>
      <c r="S26" s="69"/>
      <c r="T26" s="69"/>
      <c r="U26" s="69"/>
      <c r="V26" s="69"/>
      <c r="W26" s="69"/>
      <c r="X26" s="69"/>
      <c r="Y26" s="69"/>
      <c r="Z26" s="69" t="n">
        <f aca="false">SUMPRODUCT(('1 Daily Report'!$U$8:$AB$8=$D26)*('1 Daily Report'!$A$9:$A$39&gt;=INDEX('4 Monthly Review'!$F$18:$F$22,$H$2))*('1 Daily Report'!$A$9:$A$39&lt;=INDEX('4 Monthly Review'!$K$18:$K$22,$H$2))*'1 Daily Report'!$U$9:$AB$39)</f>
        <v>0</v>
      </c>
      <c r="AA26" s="69"/>
      <c r="AB26" s="69"/>
      <c r="AC26" s="69"/>
      <c r="AD26" s="69"/>
      <c r="AE26" s="69"/>
      <c r="AF26" s="69"/>
      <c r="AG26" s="69"/>
      <c r="AH26" s="70" t="str">
        <f aca="false">IF(OR(R26="",N(Z26)=0),"",Z26/R26)</f>
        <v/>
      </c>
      <c r="AI26" s="70"/>
      <c r="AJ26" s="70"/>
      <c r="AK26" s="70"/>
      <c r="AL26" s="70"/>
      <c r="AM26" s="70"/>
    </row>
    <row r="27" customFormat="false" ht="21.75" hidden="false" customHeight="true" outlineLevel="0" collapsed="false">
      <c r="B27" s="54" t="n">
        <v>7</v>
      </c>
      <c r="C27" s="54"/>
      <c r="D27" s="68" t="str">
        <f aca="false">'4 Monthly Review'!$B$36</f>
        <v>Rihab</v>
      </c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9" t="str">
        <f aca="false">IF(OR('4 Monthly Review'!$H$36="",SUMIFS('1 Daily Report'!$D$9:$D$39,'1 Daily Report'!$C$9:$C$39,"&gt;0")=0),"",'4 Monthly Review'!$H$36/SUMIFS('1 Daily Report'!$D$9:$D$39,'1 Daily Report'!$C$9:$C$39,"&gt;0")*INDEX('4 Monthly Review'!$P$18:$P$22,$H$2))</f>
        <v/>
      </c>
      <c r="S27" s="69"/>
      <c r="T27" s="69"/>
      <c r="U27" s="69"/>
      <c r="V27" s="69"/>
      <c r="W27" s="69"/>
      <c r="X27" s="69"/>
      <c r="Y27" s="69"/>
      <c r="Z27" s="69" t="n">
        <f aca="false">SUMPRODUCT(('1 Daily Report'!$U$8:$AB$8=$D27)*('1 Daily Report'!$A$9:$A$39&gt;=INDEX('4 Monthly Review'!$F$18:$F$22,$H$2))*('1 Daily Report'!$A$9:$A$39&lt;=INDEX('4 Monthly Review'!$K$18:$K$22,$H$2))*'1 Daily Report'!$U$9:$AB$39)</f>
        <v>0</v>
      </c>
      <c r="AA27" s="69"/>
      <c r="AB27" s="69"/>
      <c r="AC27" s="69"/>
      <c r="AD27" s="69"/>
      <c r="AE27" s="69"/>
      <c r="AF27" s="69"/>
      <c r="AG27" s="69"/>
      <c r="AH27" s="70" t="str">
        <f aca="false">IF(OR(R27="",N(Z27)=0),"",Z27/R27)</f>
        <v/>
      </c>
      <c r="AI27" s="70"/>
      <c r="AJ27" s="70"/>
      <c r="AK27" s="70"/>
      <c r="AL27" s="70"/>
      <c r="AM27" s="70"/>
    </row>
    <row r="28" customFormat="false" ht="21.75" hidden="false" customHeight="true" outlineLevel="0" collapsed="false">
      <c r="B28" s="54" t="n">
        <v>8</v>
      </c>
      <c r="C28" s="54"/>
      <c r="D28" s="68" t="str">
        <f aca="false">'4 Monthly Review'!$B$37</f>
        <v>Saha</v>
      </c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9" t="str">
        <f aca="false">IF(OR('4 Monthly Review'!$H$37="",SUMIFS('1 Daily Report'!$D$9:$D$39,'1 Daily Report'!$C$9:$C$39,"&gt;0")=0),"",'4 Monthly Review'!$H$37/SUMIFS('1 Daily Report'!$D$9:$D$39,'1 Daily Report'!$C$9:$C$39,"&gt;0")*INDEX('4 Monthly Review'!$P$18:$P$22,$H$2))</f>
        <v/>
      </c>
      <c r="S28" s="69"/>
      <c r="T28" s="69"/>
      <c r="U28" s="69"/>
      <c r="V28" s="69"/>
      <c r="W28" s="69"/>
      <c r="X28" s="69"/>
      <c r="Y28" s="69"/>
      <c r="Z28" s="69" t="n">
        <f aca="false">SUMPRODUCT(('1 Daily Report'!$U$8:$AB$8=$D28)*('1 Daily Report'!$A$9:$A$39&gt;=INDEX('4 Monthly Review'!$F$18:$F$22,$H$2))*('1 Daily Report'!$A$9:$A$39&lt;=INDEX('4 Monthly Review'!$K$18:$K$22,$H$2))*'1 Daily Report'!$U$9:$AB$39)</f>
        <v>0</v>
      </c>
      <c r="AA28" s="69"/>
      <c r="AB28" s="69"/>
      <c r="AC28" s="69"/>
      <c r="AD28" s="69"/>
      <c r="AE28" s="69"/>
      <c r="AF28" s="69"/>
      <c r="AG28" s="69"/>
      <c r="AH28" s="70" t="str">
        <f aca="false">IF(OR(R28="",N(Z28)=0),"",Z28/R28)</f>
        <v/>
      </c>
      <c r="AI28" s="70"/>
      <c r="AJ28" s="70"/>
      <c r="AK28" s="70"/>
      <c r="AL28" s="70"/>
      <c r="AM28" s="70"/>
    </row>
    <row r="29" customFormat="false" ht="21.75" hidden="false" customHeight="true" outlineLevel="0" collapsed="false">
      <c r="B29" s="54" t="n">
        <v>9</v>
      </c>
      <c r="C29" s="54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</row>
    <row r="30" customFormat="false" ht="9.75" hidden="false" customHeight="true" outlineLevel="0" collapsed="false"/>
    <row r="31" customFormat="false" ht="21.75" hidden="false" customHeight="true" outlineLevel="0" collapsed="false">
      <c r="B31" s="6"/>
      <c r="C31" s="37" t="s">
        <v>156</v>
      </c>
      <c r="D31" s="37"/>
      <c r="E31" s="37"/>
      <c r="F31" s="37"/>
      <c r="G31" s="37"/>
      <c r="H31" s="37"/>
      <c r="I31" s="37"/>
      <c r="J31" s="38" t="s">
        <v>157</v>
      </c>
      <c r="K31" s="38"/>
      <c r="L31" s="38"/>
      <c r="M31" s="38"/>
      <c r="N31" s="38"/>
      <c r="O31" s="38"/>
      <c r="P31" s="38"/>
      <c r="Q31" s="38"/>
      <c r="S31" s="6"/>
      <c r="T31" s="37" t="s">
        <v>158</v>
      </c>
      <c r="U31" s="37"/>
      <c r="V31" s="37"/>
      <c r="W31" s="37"/>
      <c r="X31" s="37"/>
      <c r="Y31" s="37"/>
      <c r="Z31" s="38" t="s">
        <v>159</v>
      </c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</row>
    <row r="32" customFormat="false" ht="36" hidden="false" customHeight="true" outlineLevel="0" collapsed="false">
      <c r="B32" s="39"/>
      <c r="C32" s="64" t="n">
        <v>4</v>
      </c>
      <c r="D32" s="65" t="s">
        <v>160</v>
      </c>
      <c r="E32" s="65"/>
      <c r="F32" s="65"/>
      <c r="G32" s="65"/>
      <c r="H32" s="65"/>
      <c r="I32" s="65"/>
      <c r="K32" s="39"/>
      <c r="L32" s="64" t="n">
        <v>5</v>
      </c>
      <c r="M32" s="65" t="s">
        <v>161</v>
      </c>
      <c r="N32" s="65"/>
      <c r="O32" s="65"/>
      <c r="P32" s="65"/>
      <c r="Q32" s="65"/>
      <c r="S32" s="39"/>
      <c r="T32" s="64" t="n">
        <v>6</v>
      </c>
      <c r="U32" s="65" t="s">
        <v>162</v>
      </c>
      <c r="V32" s="65"/>
      <c r="W32" s="65"/>
      <c r="X32" s="65"/>
      <c r="Y32" s="65"/>
      <c r="AA32" s="39"/>
      <c r="AB32" s="64" t="n">
        <v>7</v>
      </c>
      <c r="AC32" s="65" t="s">
        <v>163</v>
      </c>
      <c r="AD32" s="65"/>
      <c r="AE32" s="65"/>
      <c r="AF32" s="65"/>
      <c r="AH32" s="39"/>
      <c r="AI32" s="64" t="n">
        <v>8</v>
      </c>
      <c r="AJ32" s="65" t="s">
        <v>164</v>
      </c>
      <c r="AK32" s="65"/>
      <c r="AL32" s="65"/>
      <c r="AM32" s="65"/>
    </row>
    <row r="33" customFormat="false" ht="25.5" hidden="false" customHeight="true" outlineLevel="0" collapsed="false">
      <c r="B33" s="42"/>
      <c r="C33" s="71" t="n">
        <f aca="false">IFERROR(COUNTIFS('2 Case Log'!$AZ$692:$AZ$751,$H$2,'2 Case Log'!$D$692:$D$751,"&lt;&gt;"),0)</f>
        <v>0</v>
      </c>
      <c r="D33" s="71"/>
      <c r="E33" s="71"/>
      <c r="F33" s="71"/>
      <c r="G33" s="71"/>
      <c r="H33" s="71"/>
      <c r="I33" s="44"/>
      <c r="K33" s="42"/>
      <c r="L33" s="71" t="n">
        <f aca="false">IFERROR(COUNTIFS('2 Case Log'!$AZ$692:$AZ$751,$H$2,'2 Case Log'!$AR$692:$AR$751,"&gt;"&amp;INDEX('4 Monthly Review'!$K$18:$K$22,$H$2),'2 Case Log'!$AR$692:$AR$751,"&lt;="&amp;(INDEX('4 Monthly Review'!$K$18:$K$22,$H$2)+7)),0)</f>
        <v>0</v>
      </c>
      <c r="M33" s="71"/>
      <c r="N33" s="71"/>
      <c r="O33" s="71"/>
      <c r="P33" s="71"/>
      <c r="Q33" s="44"/>
      <c r="S33" s="42"/>
      <c r="T33" s="71" t="str">
        <f aca="false">IF(CHOOSE($H$2,J92,P92,V92,AB92,AH92)="","",CHOOSE($H$2,J92,P92,V92,AB92,AH92))</f>
        <v/>
      </c>
      <c r="U33" s="71"/>
      <c r="V33" s="71"/>
      <c r="W33" s="71"/>
      <c r="X33" s="71"/>
      <c r="Y33" s="44"/>
      <c r="AA33" s="42"/>
      <c r="AB33" s="72" t="str">
        <f aca="false">IF(CHOOSE($H$2,J93,P93,V93,AB93,AH93)="","",CHOOSE($H$2,J93,P93,V93,AB93,AH93))</f>
        <v/>
      </c>
      <c r="AC33" s="72"/>
      <c r="AD33" s="72"/>
      <c r="AE33" s="72"/>
      <c r="AF33" s="44"/>
      <c r="AH33" s="42"/>
      <c r="AI33" s="72" t="str">
        <f aca="false">IF(CHOOSE($H$2,J94,P94,V94,AB94,AH94)="","",CHOOSE($H$2,J94,P94,V94,AB94,AH94))</f>
        <v/>
      </c>
      <c r="AJ33" s="72"/>
      <c r="AK33" s="72"/>
      <c r="AL33" s="72"/>
      <c r="AM33" s="44"/>
    </row>
    <row r="34" customFormat="false" ht="6" hidden="false" customHeight="true" outlineLevel="0" collapsed="false">
      <c r="B34" s="48"/>
      <c r="C34" s="49"/>
      <c r="D34" s="49"/>
      <c r="E34" s="49"/>
      <c r="F34" s="49"/>
      <c r="G34" s="49"/>
      <c r="H34" s="49"/>
      <c r="I34" s="50"/>
      <c r="K34" s="48"/>
      <c r="L34" s="49"/>
      <c r="M34" s="49"/>
      <c r="N34" s="49"/>
      <c r="O34" s="49"/>
      <c r="P34" s="49"/>
      <c r="Q34" s="50"/>
      <c r="S34" s="48"/>
      <c r="T34" s="49"/>
      <c r="U34" s="49"/>
      <c r="V34" s="49"/>
      <c r="W34" s="49"/>
      <c r="X34" s="49"/>
      <c r="Y34" s="50"/>
      <c r="AA34" s="48"/>
      <c r="AB34" s="49"/>
      <c r="AC34" s="49"/>
      <c r="AD34" s="49"/>
      <c r="AE34" s="49"/>
      <c r="AF34" s="50"/>
      <c r="AH34" s="48"/>
      <c r="AI34" s="49"/>
      <c r="AJ34" s="49"/>
      <c r="AK34" s="49"/>
      <c r="AL34" s="49"/>
      <c r="AM34" s="50"/>
    </row>
    <row r="35" customFormat="false" ht="9.75" hidden="false" customHeight="true" outlineLevel="0" collapsed="false"/>
    <row r="36" customFormat="false" ht="21.75" hidden="false" customHeight="true" outlineLevel="0" collapsed="false">
      <c r="B36" s="6"/>
      <c r="C36" s="37" t="s">
        <v>165</v>
      </c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</row>
    <row r="37" customFormat="false" ht="24" hidden="false" customHeight="true" outlineLevel="0" collapsed="false">
      <c r="B37" s="73" t="n">
        <v>1</v>
      </c>
      <c r="C37" s="74" t="str">
        <f aca="false">IF(CHOOSE($H$2,J95,P95,V95,AB95,AH95)="","",CHOOSE($H$2,J95,P95,V95,AB95,AH95))</f>
        <v/>
      </c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</row>
    <row r="38" customFormat="false" ht="24" hidden="false" customHeight="true" outlineLevel="0" collapsed="false">
      <c r="B38" s="73" t="n">
        <v>2</v>
      </c>
      <c r="C38" s="74" t="str">
        <f aca="false">IF(CHOOSE($H$2,J96,P96,V96,AB96,AH96)="","",CHOOSE($H$2,J96,P96,V96,AB96,AH96))</f>
        <v/>
      </c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/>
    </row>
    <row r="39" customFormat="false" ht="24" hidden="false" customHeight="true" outlineLevel="0" collapsed="false">
      <c r="B39" s="73" t="n">
        <v>3</v>
      </c>
      <c r="C39" s="74" t="str">
        <f aca="false">IF(CHOOSE($H$2,J97,P97,V97,AB97,AH97)="","",CHOOSE($H$2,J97,P97,V97,AB97,AH97))</f>
        <v/>
      </c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/>
    </row>
    <row r="40" customFormat="false" ht="9.75" hidden="false" customHeight="true" outlineLevel="0" collapsed="false"/>
    <row r="41" customFormat="false" ht="25.5" hidden="false" customHeight="true" outlineLevel="0" collapsed="false">
      <c r="B41" s="6"/>
      <c r="C41" s="75" t="s">
        <v>166</v>
      </c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</row>
    <row r="42" customFormat="false" ht="24" hidden="false" customHeight="true" outlineLevel="0" collapsed="false"/>
    <row r="43" customFormat="false" ht="6" hidden="false" customHeight="true" outlineLevel="0" collapsed="false"/>
    <row r="44" customFormat="false" ht="19.5" hidden="false" customHeight="true" outlineLevel="0" collapsed="false">
      <c r="B44" s="76" t="s">
        <v>167</v>
      </c>
      <c r="C44" s="76"/>
      <c r="D44" s="76"/>
      <c r="E44" s="76"/>
      <c r="F44" s="76"/>
      <c r="G44" s="76"/>
      <c r="H44" s="76"/>
      <c r="I44" s="76"/>
      <c r="J44" s="76"/>
      <c r="K44" s="76"/>
      <c r="L44" s="77" t="s">
        <v>168</v>
      </c>
      <c r="M44" s="77"/>
      <c r="N44" s="77"/>
      <c r="O44" s="77"/>
      <c r="P44" s="77"/>
      <c r="Q44" s="77"/>
      <c r="R44" s="77"/>
      <c r="S44" s="77"/>
      <c r="U44" s="76" t="s">
        <v>169</v>
      </c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7" t="s">
        <v>168</v>
      </c>
      <c r="AG44" s="77"/>
      <c r="AH44" s="77"/>
      <c r="AI44" s="77"/>
      <c r="AJ44" s="77"/>
      <c r="AK44" s="77"/>
      <c r="AL44" s="77"/>
      <c r="AM44" s="77"/>
    </row>
    <row r="45" customFormat="false" ht="9.75" hidden="false" customHeight="true" outlineLevel="0" collapsed="false"/>
    <row r="46" customFormat="false" ht="18" hidden="false" customHeight="true" outlineLevel="0" collapsed="false">
      <c r="B46" s="78" t="s">
        <v>170</v>
      </c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9" t="s">
        <v>171</v>
      </c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</row>
    <row r="87" customFormat="false" ht="3.75" hidden="false" customHeight="true" outlineLevel="0" collapsed="false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</row>
    <row r="88" customFormat="false" ht="25.5" hidden="false" customHeight="true" outlineLevel="0" collapsed="false">
      <c r="B88" s="80" t="s">
        <v>172</v>
      </c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80"/>
      <c r="AI88" s="80"/>
      <c r="AJ88" s="80"/>
      <c r="AK88" s="80"/>
      <c r="AL88" s="80"/>
      <c r="AM88" s="80"/>
    </row>
    <row r="89" customFormat="false" ht="3.75" hidden="false" customHeight="true" outlineLevel="0" collapsed="false"/>
    <row r="90" customFormat="false" ht="24" hidden="false" customHeight="true" outlineLevel="0" collapsed="false">
      <c r="B90" s="81" t="s">
        <v>173</v>
      </c>
      <c r="C90" s="81"/>
      <c r="D90" s="81"/>
      <c r="E90" s="81"/>
      <c r="F90" s="81"/>
      <c r="G90" s="81"/>
      <c r="H90" s="81"/>
      <c r="I90" s="81"/>
      <c r="J90" s="81" t="s">
        <v>174</v>
      </c>
      <c r="K90" s="81"/>
      <c r="L90" s="81"/>
      <c r="M90" s="81"/>
      <c r="N90" s="81"/>
      <c r="O90" s="81"/>
      <c r="P90" s="81" t="s">
        <v>175</v>
      </c>
      <c r="Q90" s="81"/>
      <c r="R90" s="81"/>
      <c r="S90" s="81"/>
      <c r="T90" s="81"/>
      <c r="U90" s="81"/>
      <c r="V90" s="81" t="s">
        <v>176</v>
      </c>
      <c r="W90" s="81"/>
      <c r="X90" s="81"/>
      <c r="Y90" s="81"/>
      <c r="Z90" s="81"/>
      <c r="AA90" s="81"/>
      <c r="AB90" s="81" t="s">
        <v>177</v>
      </c>
      <c r="AC90" s="81"/>
      <c r="AD90" s="81"/>
      <c r="AE90" s="81"/>
      <c r="AF90" s="81"/>
      <c r="AG90" s="81"/>
      <c r="AH90" s="81" t="s">
        <v>178</v>
      </c>
      <c r="AI90" s="81"/>
      <c r="AJ90" s="81"/>
      <c r="AK90" s="81"/>
      <c r="AL90" s="81"/>
      <c r="AM90" s="81"/>
    </row>
    <row r="91" customFormat="false" ht="21.75" hidden="false" customHeight="true" outlineLevel="0" collapsed="false">
      <c r="B91" s="82" t="s">
        <v>179</v>
      </c>
      <c r="C91" s="82"/>
      <c r="D91" s="82"/>
      <c r="E91" s="82"/>
      <c r="F91" s="82"/>
      <c r="G91" s="82"/>
      <c r="H91" s="82"/>
      <c r="I91" s="82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  <c r="AD91" s="83"/>
      <c r="AE91" s="83"/>
      <c r="AF91" s="83"/>
      <c r="AG91" s="83"/>
      <c r="AH91" s="83"/>
      <c r="AI91" s="83"/>
      <c r="AJ91" s="83"/>
      <c r="AK91" s="83"/>
      <c r="AL91" s="83"/>
      <c r="AM91" s="83"/>
    </row>
    <row r="92" customFormat="false" ht="21.75" hidden="false" customHeight="true" outlineLevel="0" collapsed="false">
      <c r="B92" s="82" t="s">
        <v>180</v>
      </c>
      <c r="C92" s="82"/>
      <c r="D92" s="82"/>
      <c r="E92" s="82"/>
      <c r="F92" s="82"/>
      <c r="G92" s="82"/>
      <c r="H92" s="82"/>
      <c r="I92" s="82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  <c r="AD92" s="83"/>
      <c r="AE92" s="83"/>
      <c r="AF92" s="83"/>
      <c r="AG92" s="83"/>
      <c r="AH92" s="83"/>
      <c r="AI92" s="83"/>
      <c r="AJ92" s="83"/>
      <c r="AK92" s="83"/>
      <c r="AL92" s="83"/>
      <c r="AM92" s="83"/>
    </row>
    <row r="93" customFormat="false" ht="21.75" hidden="false" customHeight="true" outlineLevel="0" collapsed="false">
      <c r="B93" s="82" t="s">
        <v>181</v>
      </c>
      <c r="C93" s="82"/>
      <c r="D93" s="82"/>
      <c r="E93" s="82"/>
      <c r="F93" s="82"/>
      <c r="G93" s="82"/>
      <c r="H93" s="82"/>
      <c r="I93" s="82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83"/>
      <c r="AD93" s="83"/>
      <c r="AE93" s="83"/>
      <c r="AF93" s="83"/>
      <c r="AG93" s="83"/>
      <c r="AH93" s="83"/>
      <c r="AI93" s="83"/>
      <c r="AJ93" s="83"/>
      <c r="AK93" s="83"/>
      <c r="AL93" s="83"/>
      <c r="AM93" s="83"/>
    </row>
    <row r="94" customFormat="false" ht="45.75" hidden="false" customHeight="true" outlineLevel="0" collapsed="false">
      <c r="B94" s="82" t="s">
        <v>182</v>
      </c>
      <c r="C94" s="82"/>
      <c r="D94" s="82"/>
      <c r="E94" s="82"/>
      <c r="F94" s="82"/>
      <c r="G94" s="82"/>
      <c r="H94" s="82"/>
      <c r="I94" s="82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</row>
    <row r="95" customFormat="false" ht="45.75" hidden="false" customHeight="true" outlineLevel="0" collapsed="false">
      <c r="B95" s="82" t="s">
        <v>183</v>
      </c>
      <c r="C95" s="82"/>
      <c r="D95" s="82"/>
      <c r="E95" s="82"/>
      <c r="F95" s="82"/>
      <c r="G95" s="82"/>
      <c r="H95" s="82"/>
      <c r="I95" s="82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</row>
    <row r="96" customFormat="false" ht="45.75" hidden="false" customHeight="true" outlineLevel="0" collapsed="false">
      <c r="B96" s="82" t="s">
        <v>184</v>
      </c>
      <c r="C96" s="82"/>
      <c r="D96" s="82"/>
      <c r="E96" s="82"/>
      <c r="F96" s="82"/>
      <c r="G96" s="82"/>
      <c r="H96" s="82"/>
      <c r="I96" s="82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</row>
  </sheetData>
  <mergeCells count="142">
    <mergeCell ref="C2:G2"/>
    <mergeCell ref="H2:J2"/>
    <mergeCell ref="L2:AM2"/>
    <mergeCell ref="C5:AA5"/>
    <mergeCell ref="AE5:AK5"/>
    <mergeCell ref="C6:AA6"/>
    <mergeCell ref="AB6:AK6"/>
    <mergeCell ref="C7:AA7"/>
    <mergeCell ref="B11:M11"/>
    <mergeCell ref="O11:V11"/>
    <mergeCell ref="X11:AE11"/>
    <mergeCell ref="AG11:AM11"/>
    <mergeCell ref="B12:M12"/>
    <mergeCell ref="O12:V12"/>
    <mergeCell ref="X12:AE12"/>
    <mergeCell ref="AG12:AM12"/>
    <mergeCell ref="C14:AM14"/>
    <mergeCell ref="D15:M15"/>
    <mergeCell ref="Q15:Z15"/>
    <mergeCell ref="AD15:AM15"/>
    <mergeCell ref="C16:L16"/>
    <mergeCell ref="P16:Y16"/>
    <mergeCell ref="AC16:AL16"/>
    <mergeCell ref="C19:AM19"/>
    <mergeCell ref="B20:C20"/>
    <mergeCell ref="D20:Q20"/>
    <mergeCell ref="R20:Y20"/>
    <mergeCell ref="Z20:AG20"/>
    <mergeCell ref="AH20:AM20"/>
    <mergeCell ref="B21:C21"/>
    <mergeCell ref="D21:Q21"/>
    <mergeCell ref="R21:Y21"/>
    <mergeCell ref="Z21:AG21"/>
    <mergeCell ref="AH21:AM21"/>
    <mergeCell ref="B22:C22"/>
    <mergeCell ref="D22:Q22"/>
    <mergeCell ref="R22:Y22"/>
    <mergeCell ref="Z22:AG22"/>
    <mergeCell ref="AH22:AM22"/>
    <mergeCell ref="B23:C23"/>
    <mergeCell ref="D23:Q23"/>
    <mergeCell ref="R23:Y23"/>
    <mergeCell ref="Z23:AG23"/>
    <mergeCell ref="AH23:AM23"/>
    <mergeCell ref="B24:C24"/>
    <mergeCell ref="D24:Q24"/>
    <mergeCell ref="R24:Y24"/>
    <mergeCell ref="Z24:AG24"/>
    <mergeCell ref="AH24:AM24"/>
    <mergeCell ref="B25:C25"/>
    <mergeCell ref="D25:Q25"/>
    <mergeCell ref="R25:Y25"/>
    <mergeCell ref="Z25:AG25"/>
    <mergeCell ref="AH25:AM25"/>
    <mergeCell ref="B26:C26"/>
    <mergeCell ref="D26:Q26"/>
    <mergeCell ref="R26:Y26"/>
    <mergeCell ref="Z26:AG26"/>
    <mergeCell ref="AH26:AM26"/>
    <mergeCell ref="B27:C27"/>
    <mergeCell ref="D27:Q27"/>
    <mergeCell ref="R27:Y27"/>
    <mergeCell ref="Z27:AG27"/>
    <mergeCell ref="AH27:AM27"/>
    <mergeCell ref="B28:C28"/>
    <mergeCell ref="D28:Q28"/>
    <mergeCell ref="R28:Y28"/>
    <mergeCell ref="Z28:AG28"/>
    <mergeCell ref="AH28:AM28"/>
    <mergeCell ref="B29:C29"/>
    <mergeCell ref="D29:Q29"/>
    <mergeCell ref="R29:Y29"/>
    <mergeCell ref="Z29:AG29"/>
    <mergeCell ref="AH29:AM29"/>
    <mergeCell ref="C31:I31"/>
    <mergeCell ref="J31:Q31"/>
    <mergeCell ref="T31:Y31"/>
    <mergeCell ref="Z31:AM31"/>
    <mergeCell ref="D32:I32"/>
    <mergeCell ref="M32:Q32"/>
    <mergeCell ref="U32:Y32"/>
    <mergeCell ref="AC32:AF32"/>
    <mergeCell ref="AJ32:AM32"/>
    <mergeCell ref="C33:H33"/>
    <mergeCell ref="L33:P33"/>
    <mergeCell ref="T33:X33"/>
    <mergeCell ref="AB33:AE33"/>
    <mergeCell ref="AI33:AL33"/>
    <mergeCell ref="C36:AM36"/>
    <mergeCell ref="C37:AM37"/>
    <mergeCell ref="C38:AM38"/>
    <mergeCell ref="C39:AM39"/>
    <mergeCell ref="C41:AM41"/>
    <mergeCell ref="B44:K44"/>
    <mergeCell ref="L44:S44"/>
    <mergeCell ref="U44:AE44"/>
    <mergeCell ref="AF44:AM44"/>
    <mergeCell ref="B46:S46"/>
    <mergeCell ref="T46:AM46"/>
    <mergeCell ref="B88:AM88"/>
    <mergeCell ref="B90:I90"/>
    <mergeCell ref="J90:O90"/>
    <mergeCell ref="P90:U90"/>
    <mergeCell ref="V90:AA90"/>
    <mergeCell ref="AB90:AG90"/>
    <mergeCell ref="AH90:AM90"/>
    <mergeCell ref="B91:I91"/>
    <mergeCell ref="J91:O91"/>
    <mergeCell ref="P91:U91"/>
    <mergeCell ref="V91:AA91"/>
    <mergeCell ref="AB91:AG91"/>
    <mergeCell ref="AH91:AM91"/>
    <mergeCell ref="B92:I92"/>
    <mergeCell ref="J92:O92"/>
    <mergeCell ref="P92:U92"/>
    <mergeCell ref="V92:AA92"/>
    <mergeCell ref="AB92:AG92"/>
    <mergeCell ref="AH92:AM92"/>
    <mergeCell ref="B93:I93"/>
    <mergeCell ref="J93:O93"/>
    <mergeCell ref="P93:U93"/>
    <mergeCell ref="V93:AA93"/>
    <mergeCell ref="AB93:AG93"/>
    <mergeCell ref="AH93:AM93"/>
    <mergeCell ref="B94:I94"/>
    <mergeCell ref="J94:O94"/>
    <mergeCell ref="P94:U94"/>
    <mergeCell ref="V94:AA94"/>
    <mergeCell ref="AB94:AG94"/>
    <mergeCell ref="AH94:AM94"/>
    <mergeCell ref="B95:I95"/>
    <mergeCell ref="J95:O95"/>
    <mergeCell ref="P95:U95"/>
    <mergeCell ref="V95:AA95"/>
    <mergeCell ref="AB95:AG95"/>
    <mergeCell ref="AH95:AM95"/>
    <mergeCell ref="B96:I96"/>
    <mergeCell ref="J96:O96"/>
    <mergeCell ref="P96:U96"/>
    <mergeCell ref="V96:AA96"/>
    <mergeCell ref="AB96:AG96"/>
    <mergeCell ref="AH96:AM96"/>
  </mergeCells>
  <dataValidations count="1">
    <dataValidation allowBlank="true" errorStyle="stop" operator="between" showDropDown="false" showErrorMessage="false" showInputMessage="false" sqref="H2" type="list">
      <formula1>"1,2,3,4,5"</formula1>
      <formula2>0</formula2>
    </dataValidation>
  </dataValidations>
  <printOptions headings="false" gridLines="false" gridLinesSet="true" horizontalCentered="true" verticalCentered="false"/>
  <pageMargins left="0.3" right="0.3" top="0.3" bottom="0.3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46" man="true" max="16383" min="0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AM1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.2"/>
    <col collapsed="false" customWidth="true" hidden="false" outlineLevel="0" max="39" min="2" style="0" width="2.3"/>
    <col collapsed="false" customWidth="true" hidden="false" outlineLevel="0" max="40" min="40" style="0" width="1.2"/>
  </cols>
  <sheetData>
    <row r="1" customFormat="false" ht="7.5" hidden="false" customHeight="true" outlineLevel="0" collapsed="false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customFormat="false" ht="19.5" hidden="false" customHeight="true" outlineLevel="0" collapsed="false">
      <c r="B2" s="2"/>
      <c r="C2" s="28" t="s">
        <v>185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"/>
      <c r="AC2" s="2"/>
      <c r="AD2" s="2"/>
      <c r="AE2" s="29" t="s">
        <v>186</v>
      </c>
      <c r="AF2" s="29"/>
      <c r="AG2" s="29"/>
      <c r="AH2" s="29"/>
      <c r="AI2" s="29"/>
      <c r="AJ2" s="29"/>
      <c r="AK2" s="29"/>
      <c r="AL2" s="2"/>
      <c r="AM2" s="2"/>
    </row>
    <row r="3" customFormat="false" ht="30" hidden="false" customHeight="true" outlineLevel="0" collapsed="false">
      <c r="B3" s="2"/>
      <c r="C3" s="30" t="s">
        <v>187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1" t="s">
        <v>188</v>
      </c>
      <c r="AC3" s="31"/>
      <c r="AD3" s="31"/>
      <c r="AE3" s="31"/>
      <c r="AF3" s="31"/>
      <c r="AG3" s="31"/>
      <c r="AH3" s="31"/>
      <c r="AI3" s="31"/>
      <c r="AJ3" s="31"/>
      <c r="AK3" s="31"/>
      <c r="AL3" s="2"/>
      <c r="AM3" s="2"/>
    </row>
    <row r="4" customFormat="false" ht="15.75" hidden="false" customHeight="true" outlineLevel="0" collapsed="false">
      <c r="B4" s="2"/>
      <c r="C4" s="32" t="s">
        <v>189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</row>
    <row r="5" customFormat="false" ht="9.75" hidden="false" customHeight="true" outlineLevel="0" collapsed="false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customFormat="false" ht="3.75" hidden="false" customHeight="true" outlineLevel="0" collapsed="false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</row>
    <row r="7" customFormat="false" ht="7.5" hidden="false" customHeight="true" outlineLevel="0" collapsed="false"/>
    <row r="8" customFormat="false" ht="13.5" hidden="false" customHeight="true" outlineLevel="0" collapsed="false">
      <c r="B8" s="33" t="s">
        <v>51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O8" s="33" t="s">
        <v>10</v>
      </c>
      <c r="P8" s="33"/>
      <c r="Q8" s="33"/>
      <c r="R8" s="33"/>
      <c r="S8" s="33"/>
      <c r="T8" s="33"/>
      <c r="U8" s="33"/>
      <c r="V8" s="33"/>
      <c r="X8" s="33" t="s">
        <v>190</v>
      </c>
      <c r="Y8" s="33"/>
      <c r="Z8" s="33"/>
      <c r="AA8" s="33"/>
      <c r="AB8" s="33"/>
      <c r="AC8" s="33"/>
      <c r="AD8" s="33"/>
      <c r="AF8" s="33" t="s">
        <v>191</v>
      </c>
      <c r="AG8" s="33"/>
      <c r="AH8" s="33"/>
      <c r="AI8" s="33"/>
      <c r="AJ8" s="33"/>
      <c r="AK8" s="33"/>
      <c r="AL8" s="33"/>
      <c r="AM8" s="33"/>
    </row>
    <row r="9" customFormat="false" ht="21.75" hidden="false" customHeight="true" outlineLevel="0" collapsed="false">
      <c r="B9" s="85" t="s">
        <v>192</v>
      </c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O9" s="85" t="s">
        <v>193</v>
      </c>
      <c r="P9" s="85"/>
      <c r="Q9" s="85"/>
      <c r="R9" s="85"/>
      <c r="S9" s="85"/>
      <c r="T9" s="85"/>
      <c r="U9" s="85"/>
      <c r="V9" s="85"/>
      <c r="X9" s="86" t="n">
        <v>46296</v>
      </c>
      <c r="Y9" s="86"/>
      <c r="Z9" s="86"/>
      <c r="AA9" s="86"/>
      <c r="AB9" s="86"/>
      <c r="AC9" s="86"/>
      <c r="AD9" s="86"/>
      <c r="AF9" s="87"/>
      <c r="AG9" s="87"/>
      <c r="AH9" s="87"/>
      <c r="AI9" s="87"/>
      <c r="AJ9" s="87"/>
      <c r="AK9" s="87"/>
      <c r="AL9" s="87"/>
      <c r="AM9" s="87"/>
    </row>
    <row r="10" customFormat="false" ht="9.75" hidden="false" customHeight="true" outlineLevel="0" collapsed="false"/>
    <row r="11" customFormat="false" ht="21.75" hidden="false" customHeight="true" outlineLevel="0" collapsed="false">
      <c r="B11" s="6"/>
      <c r="C11" s="37" t="s">
        <v>194</v>
      </c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</row>
    <row r="12" customFormat="false" ht="18" hidden="false" customHeight="true" outlineLevel="0" collapsed="false">
      <c r="B12" s="88" t="s">
        <v>195</v>
      </c>
      <c r="C12" s="88"/>
      <c r="D12" s="88"/>
      <c r="E12" s="88"/>
      <c r="F12" s="88"/>
      <c r="G12" s="88"/>
      <c r="I12" s="88" t="s">
        <v>196</v>
      </c>
      <c r="J12" s="88"/>
      <c r="K12" s="88"/>
      <c r="L12" s="88"/>
      <c r="M12" s="88"/>
      <c r="N12" s="88"/>
      <c r="P12" s="88" t="s">
        <v>151</v>
      </c>
      <c r="Q12" s="88"/>
      <c r="R12" s="88"/>
      <c r="S12" s="88"/>
      <c r="T12" s="88"/>
      <c r="U12" s="88"/>
      <c r="W12" s="88" t="s">
        <v>197</v>
      </c>
      <c r="X12" s="88"/>
      <c r="Y12" s="88"/>
      <c r="Z12" s="88"/>
      <c r="AA12" s="88"/>
      <c r="AC12" s="88" t="s">
        <v>198</v>
      </c>
      <c r="AD12" s="88"/>
      <c r="AE12" s="88"/>
      <c r="AF12" s="88"/>
      <c r="AG12" s="88"/>
      <c r="AI12" s="88" t="s">
        <v>199</v>
      </c>
      <c r="AJ12" s="88"/>
      <c r="AK12" s="88"/>
      <c r="AL12" s="88"/>
      <c r="AM12" s="88"/>
    </row>
    <row r="13" customFormat="false" ht="31.5" hidden="false" customHeight="true" outlineLevel="0" collapsed="false">
      <c r="B13" s="89" t="str">
        <f aca="false">IF('4 Monthly Review'!$AF$9="","",'4 Monthly Review'!$AF$9)</f>
        <v/>
      </c>
      <c r="C13" s="89"/>
      <c r="D13" s="89"/>
      <c r="E13" s="89"/>
      <c r="F13" s="89"/>
      <c r="G13" s="89"/>
      <c r="I13" s="89" t="n">
        <f aca="false">SUM('1 Daily Report'!$AC$9:$AC$39)</f>
        <v>0</v>
      </c>
      <c r="J13" s="89"/>
      <c r="K13" s="89"/>
      <c r="L13" s="89"/>
      <c r="M13" s="89"/>
      <c r="N13" s="89"/>
      <c r="P13" s="90" t="str">
        <f aca="false">IF('4 Monthly Review'!$AF$9="","",SUM('1 Daily Report'!$AC$9:$AC$39)/'4 Monthly Review'!$AF$9)</f>
        <v/>
      </c>
      <c r="Q13" s="90"/>
      <c r="R13" s="90"/>
      <c r="S13" s="90"/>
      <c r="T13" s="90"/>
      <c r="U13" s="90"/>
      <c r="W13" s="89" t="str">
        <f aca="false">IF('4 Monthly Review'!$AF$9="","",MAX(0,'4 Monthly Review'!$AF$9-SUM('1 Daily Report'!$AC$9:$AC$39)))</f>
        <v/>
      </c>
      <c r="X13" s="89"/>
      <c r="Y13" s="89"/>
      <c r="Z13" s="89"/>
      <c r="AA13" s="89"/>
      <c r="AC13" s="89" t="str">
        <f aca="true">IF(OR('4 Monthly Review'!$AF$9="",SUMIFS('1 Daily Report'!$D$9:$D$39,'1 Daily Report'!$C$9:$C$39,"&gt;0")-SUMIFS('1 Daily Report'!$D$9:$D$39,'1 Daily Report'!$A$9:$A$39,"&lt;="&amp;TODAY())&lt;=0),"",MAX(0,'4 Monthly Review'!$AF$9-SUM('1 Daily Report'!$AC$9:$AC$39))/(SUMIFS('1 Daily Report'!$D$9:$D$39,'1 Daily Report'!$C$9:$C$39,"&gt;0")-SUMIFS('1 Daily Report'!$D$9:$D$39,'1 Daily Report'!$A$9:$A$39,"&lt;="&amp;TODAY())))</f>
        <v/>
      </c>
      <c r="AD13" s="89"/>
      <c r="AE13" s="89"/>
      <c r="AF13" s="89"/>
      <c r="AG13" s="89"/>
      <c r="AI13" s="89" t="n">
        <f aca="true">IF(SUMIFS('1 Daily Report'!$D$9:$D$39,'1 Daily Report'!$A$9:$A$39,"&lt;="&amp;TODAY())=0,"",SUM('1 Daily Report'!$AC$9:$AC$39)/SUMIFS('1 Daily Report'!$D$9:$D$39,'1 Daily Report'!$A$9:$A$39,"&lt;="&amp;TODAY())*SUMIFS('1 Daily Report'!$D$9:$D$39,'1 Daily Report'!$C$9:$C$39,"&gt;0"))</f>
        <v>0</v>
      </c>
      <c r="AJ13" s="89"/>
      <c r="AK13" s="89"/>
      <c r="AL13" s="89"/>
      <c r="AM13" s="89"/>
    </row>
    <row r="14" customFormat="false" ht="15.75" hidden="false" customHeight="true" outlineLevel="0" collapsed="false">
      <c r="B14" s="91" t="s">
        <v>200</v>
      </c>
      <c r="C14" s="91"/>
      <c r="D14" s="91"/>
      <c r="E14" s="91"/>
      <c r="F14" s="91"/>
      <c r="G14" s="91"/>
      <c r="I14" s="91" t="s">
        <v>200</v>
      </c>
      <c r="J14" s="91"/>
      <c r="K14" s="91"/>
      <c r="L14" s="91"/>
      <c r="M14" s="91"/>
      <c r="N14" s="91"/>
      <c r="P14" s="91" t="s">
        <v>201</v>
      </c>
      <c r="Q14" s="91"/>
      <c r="R14" s="91"/>
      <c r="S14" s="91"/>
      <c r="T14" s="91"/>
      <c r="U14" s="91"/>
      <c r="W14" s="91" t="s">
        <v>200</v>
      </c>
      <c r="X14" s="91"/>
      <c r="Y14" s="91"/>
      <c r="Z14" s="91"/>
      <c r="AA14" s="91"/>
      <c r="AC14" s="91" t="s">
        <v>202</v>
      </c>
      <c r="AD14" s="91"/>
      <c r="AE14" s="91"/>
      <c r="AF14" s="91"/>
      <c r="AG14" s="91"/>
      <c r="AI14" s="91" t="s">
        <v>203</v>
      </c>
      <c r="AJ14" s="91"/>
      <c r="AK14" s="91"/>
      <c r="AL14" s="91"/>
      <c r="AM14" s="91"/>
    </row>
    <row r="15" customFormat="false" ht="9.75" hidden="false" customHeight="true" outlineLevel="0" collapsed="false"/>
    <row r="16" customFormat="false" ht="21.75" hidden="false" customHeight="true" outlineLevel="0" collapsed="false">
      <c r="B16" s="6"/>
      <c r="C16" s="37" t="s">
        <v>204</v>
      </c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</row>
    <row r="17" customFormat="false" ht="24" hidden="false" customHeight="true" outlineLevel="0" collapsed="false">
      <c r="B17" s="52" t="s">
        <v>205</v>
      </c>
      <c r="C17" s="52"/>
      <c r="D17" s="52"/>
      <c r="E17" s="52"/>
      <c r="F17" s="52" t="s">
        <v>206</v>
      </c>
      <c r="G17" s="52"/>
      <c r="H17" s="52"/>
      <c r="I17" s="52"/>
      <c r="J17" s="52"/>
      <c r="K17" s="52" t="s">
        <v>207</v>
      </c>
      <c r="L17" s="52"/>
      <c r="M17" s="52"/>
      <c r="N17" s="52"/>
      <c r="O17" s="52"/>
      <c r="P17" s="52" t="s">
        <v>208</v>
      </c>
      <c r="Q17" s="52"/>
      <c r="R17" s="52"/>
      <c r="S17" s="52"/>
      <c r="T17" s="52"/>
      <c r="U17" s="52" t="s">
        <v>209</v>
      </c>
      <c r="V17" s="52"/>
      <c r="W17" s="52"/>
      <c r="X17" s="52"/>
      <c r="Y17" s="52"/>
      <c r="Z17" s="52"/>
      <c r="AA17" s="52" t="s">
        <v>154</v>
      </c>
      <c r="AB17" s="52"/>
      <c r="AC17" s="52"/>
      <c r="AD17" s="52"/>
      <c r="AE17" s="52"/>
      <c r="AF17" s="52"/>
      <c r="AG17" s="52" t="s">
        <v>155</v>
      </c>
      <c r="AH17" s="52"/>
      <c r="AI17" s="52"/>
      <c r="AJ17" s="52"/>
      <c r="AK17" s="52"/>
      <c r="AL17" s="52"/>
      <c r="AM17" s="52"/>
    </row>
    <row r="18" customFormat="false" ht="19.5" hidden="false" customHeight="true" outlineLevel="0" collapsed="false">
      <c r="B18" s="92" t="s">
        <v>174</v>
      </c>
      <c r="C18" s="92"/>
      <c r="D18" s="92"/>
      <c r="E18" s="92"/>
      <c r="F18" s="93" t="n">
        <f aca="false">IF(COUNTIF('1 Daily Report'!$C$9:$C$39,1)=0,"",_xlfn.MINIFS('1 Daily Report'!$AE$9:$AE$39,'1 Daily Report'!$C$9:$C$39,1))</f>
        <v>46296</v>
      </c>
      <c r="G18" s="93"/>
      <c r="H18" s="93"/>
      <c r="I18" s="93"/>
      <c r="J18" s="93"/>
      <c r="K18" s="93" t="n">
        <f aca="false">IF(COUNTIF('1 Daily Report'!$C$9:$C$39,1)=0,"",_xlfn.MAXIFS('1 Daily Report'!$AE$9:$AE$39,'1 Daily Report'!$C$9:$C$39,1))</f>
        <v>46298</v>
      </c>
      <c r="L18" s="93"/>
      <c r="M18" s="93"/>
      <c r="N18" s="93"/>
      <c r="O18" s="93"/>
      <c r="P18" s="94" t="n">
        <f aca="false">SUMIFS('1 Daily Report'!$D$9:$D$39,'1 Daily Report'!$C$9:$C$39,1)</f>
        <v>3</v>
      </c>
      <c r="Q18" s="94"/>
      <c r="R18" s="94"/>
      <c r="S18" s="94"/>
      <c r="T18" s="94"/>
      <c r="U18" s="22" t="str">
        <f aca="false">IF(OR('4 Monthly Review'!$AF$9="",SUMIFS('1 Daily Report'!$D$9:$D$39,'1 Daily Report'!$C$9:$C$39,"&gt;0")=0),"",'4 Monthly Review'!$AF$9/SUMIFS('1 Daily Report'!$D$9:$D$39,'1 Daily Report'!$C$9:$C$39,"&gt;0")*P18)</f>
        <v/>
      </c>
      <c r="V18" s="22"/>
      <c r="W18" s="22"/>
      <c r="X18" s="22"/>
      <c r="Y18" s="22"/>
      <c r="Z18" s="22"/>
      <c r="AA18" s="22" t="n">
        <f aca="false">IF(F18="","",SUMIFS('1 Daily Report'!$AC$9:$AC$39,'1 Daily Report'!$A$9:$A$39,"&gt;="&amp;F18,'1 Daily Report'!$A$9:$A$39,"&lt;="&amp;K18))</f>
        <v>0</v>
      </c>
      <c r="AB18" s="22"/>
      <c r="AC18" s="22"/>
      <c r="AD18" s="22"/>
      <c r="AE18" s="22"/>
      <c r="AF18" s="22"/>
      <c r="AG18" s="95" t="str">
        <f aca="false">IF(OR(U18="",AA18=""),"",AA18/U18)</f>
        <v/>
      </c>
      <c r="AH18" s="95"/>
      <c r="AI18" s="95"/>
      <c r="AJ18" s="95"/>
      <c r="AK18" s="95"/>
      <c r="AL18" s="95"/>
      <c r="AM18" s="95"/>
    </row>
    <row r="19" customFormat="false" ht="19.5" hidden="false" customHeight="true" outlineLevel="0" collapsed="false">
      <c r="B19" s="92" t="s">
        <v>175</v>
      </c>
      <c r="C19" s="92"/>
      <c r="D19" s="92"/>
      <c r="E19" s="92"/>
      <c r="F19" s="93" t="n">
        <f aca="false">IF(COUNTIF('1 Daily Report'!$C$9:$C$39,2)=0,"",_xlfn.MINIFS('1 Daily Report'!$AE$9:$AE$39,'1 Daily Report'!$C$9:$C$39,2))</f>
        <v>46300</v>
      </c>
      <c r="G19" s="93"/>
      <c r="H19" s="93"/>
      <c r="I19" s="93"/>
      <c r="J19" s="93"/>
      <c r="K19" s="93" t="n">
        <f aca="false">IF(COUNTIF('1 Daily Report'!$C$9:$C$39,2)=0,"",_xlfn.MAXIFS('1 Daily Report'!$AE$9:$AE$39,'1 Daily Report'!$C$9:$C$39,2))</f>
        <v>46305</v>
      </c>
      <c r="L19" s="93"/>
      <c r="M19" s="93"/>
      <c r="N19" s="93"/>
      <c r="O19" s="93"/>
      <c r="P19" s="94" t="n">
        <f aca="false">SUMIFS('1 Daily Report'!$D$9:$D$39,'1 Daily Report'!$C$9:$C$39,2)</f>
        <v>6</v>
      </c>
      <c r="Q19" s="94"/>
      <c r="R19" s="94"/>
      <c r="S19" s="94"/>
      <c r="T19" s="94"/>
      <c r="U19" s="22" t="str">
        <f aca="false">IF(OR('4 Monthly Review'!$AF$9="",SUMIFS('1 Daily Report'!$D$9:$D$39,'1 Daily Report'!$C$9:$C$39,"&gt;0")=0),"",'4 Monthly Review'!$AF$9/SUMIFS('1 Daily Report'!$D$9:$D$39,'1 Daily Report'!$C$9:$C$39,"&gt;0")*P19)</f>
        <v/>
      </c>
      <c r="V19" s="22"/>
      <c r="W19" s="22"/>
      <c r="X19" s="22"/>
      <c r="Y19" s="22"/>
      <c r="Z19" s="22"/>
      <c r="AA19" s="22" t="n">
        <f aca="false">IF(F19="","",SUMIFS('1 Daily Report'!$AC$9:$AC$39,'1 Daily Report'!$A$9:$A$39,"&gt;="&amp;F19,'1 Daily Report'!$A$9:$A$39,"&lt;="&amp;K19))</f>
        <v>0</v>
      </c>
      <c r="AB19" s="22"/>
      <c r="AC19" s="22"/>
      <c r="AD19" s="22"/>
      <c r="AE19" s="22"/>
      <c r="AF19" s="22"/>
      <c r="AG19" s="95" t="str">
        <f aca="false">IF(OR(U19="",AA19=""),"",AA19/U19)</f>
        <v/>
      </c>
      <c r="AH19" s="95"/>
      <c r="AI19" s="95"/>
      <c r="AJ19" s="95"/>
      <c r="AK19" s="95"/>
      <c r="AL19" s="95"/>
      <c r="AM19" s="95"/>
    </row>
    <row r="20" customFormat="false" ht="19.5" hidden="false" customHeight="true" outlineLevel="0" collapsed="false">
      <c r="B20" s="92" t="s">
        <v>176</v>
      </c>
      <c r="C20" s="92"/>
      <c r="D20" s="92"/>
      <c r="E20" s="92"/>
      <c r="F20" s="93" t="n">
        <f aca="false">IF(COUNTIF('1 Daily Report'!$C$9:$C$39,3)=0,"",_xlfn.MINIFS('1 Daily Report'!$AE$9:$AE$39,'1 Daily Report'!$C$9:$C$39,3))</f>
        <v>46307</v>
      </c>
      <c r="G20" s="93"/>
      <c r="H20" s="93"/>
      <c r="I20" s="93"/>
      <c r="J20" s="93"/>
      <c r="K20" s="93" t="n">
        <f aca="false">IF(COUNTIF('1 Daily Report'!$C$9:$C$39,3)=0,"",_xlfn.MAXIFS('1 Daily Report'!$AE$9:$AE$39,'1 Daily Report'!$C$9:$C$39,3))</f>
        <v>46312</v>
      </c>
      <c r="L20" s="93"/>
      <c r="M20" s="93"/>
      <c r="N20" s="93"/>
      <c r="O20" s="93"/>
      <c r="P20" s="94" t="n">
        <f aca="false">SUMIFS('1 Daily Report'!$D$9:$D$39,'1 Daily Report'!$C$9:$C$39,3)</f>
        <v>6</v>
      </c>
      <c r="Q20" s="94"/>
      <c r="R20" s="94"/>
      <c r="S20" s="94"/>
      <c r="T20" s="94"/>
      <c r="U20" s="22" t="str">
        <f aca="false">IF(OR('4 Monthly Review'!$AF$9="",SUMIFS('1 Daily Report'!$D$9:$D$39,'1 Daily Report'!$C$9:$C$39,"&gt;0")=0),"",'4 Monthly Review'!$AF$9/SUMIFS('1 Daily Report'!$D$9:$D$39,'1 Daily Report'!$C$9:$C$39,"&gt;0")*P20)</f>
        <v/>
      </c>
      <c r="V20" s="22"/>
      <c r="W20" s="22"/>
      <c r="X20" s="22"/>
      <c r="Y20" s="22"/>
      <c r="Z20" s="22"/>
      <c r="AA20" s="22" t="n">
        <f aca="false">IF(F20="","",SUMIFS('1 Daily Report'!$AC$9:$AC$39,'1 Daily Report'!$A$9:$A$39,"&gt;="&amp;F20,'1 Daily Report'!$A$9:$A$39,"&lt;="&amp;K20))</f>
        <v>0</v>
      </c>
      <c r="AB20" s="22"/>
      <c r="AC20" s="22"/>
      <c r="AD20" s="22"/>
      <c r="AE20" s="22"/>
      <c r="AF20" s="22"/>
      <c r="AG20" s="95" t="str">
        <f aca="false">IF(OR(U20="",AA20=""),"",AA20/U20)</f>
        <v/>
      </c>
      <c r="AH20" s="95"/>
      <c r="AI20" s="95"/>
      <c r="AJ20" s="95"/>
      <c r="AK20" s="95"/>
      <c r="AL20" s="95"/>
      <c r="AM20" s="95"/>
    </row>
    <row r="21" customFormat="false" ht="19.5" hidden="false" customHeight="true" outlineLevel="0" collapsed="false">
      <c r="B21" s="92" t="s">
        <v>177</v>
      </c>
      <c r="C21" s="92"/>
      <c r="D21" s="92"/>
      <c r="E21" s="92"/>
      <c r="F21" s="93" t="n">
        <f aca="false">IF(COUNTIF('1 Daily Report'!$C$9:$C$39,4)=0,"",_xlfn.MINIFS('1 Daily Report'!$AE$9:$AE$39,'1 Daily Report'!$C$9:$C$39,4))</f>
        <v>46314</v>
      </c>
      <c r="G21" s="93"/>
      <c r="H21" s="93"/>
      <c r="I21" s="93"/>
      <c r="J21" s="93"/>
      <c r="K21" s="93" t="n">
        <f aca="false">IF(COUNTIF('1 Daily Report'!$C$9:$C$39,4)=0,"",_xlfn.MAXIFS('1 Daily Report'!$AE$9:$AE$39,'1 Daily Report'!$C$9:$C$39,4))</f>
        <v>46319</v>
      </c>
      <c r="L21" s="93"/>
      <c r="M21" s="93"/>
      <c r="N21" s="93"/>
      <c r="O21" s="93"/>
      <c r="P21" s="94" t="n">
        <f aca="false">SUMIFS('1 Daily Report'!$D$9:$D$39,'1 Daily Report'!$C$9:$C$39,4)</f>
        <v>6</v>
      </c>
      <c r="Q21" s="94"/>
      <c r="R21" s="94"/>
      <c r="S21" s="94"/>
      <c r="T21" s="94"/>
      <c r="U21" s="22" t="str">
        <f aca="false">IF(OR('4 Monthly Review'!$AF$9="",SUMIFS('1 Daily Report'!$D$9:$D$39,'1 Daily Report'!$C$9:$C$39,"&gt;0")=0),"",'4 Monthly Review'!$AF$9/SUMIFS('1 Daily Report'!$D$9:$D$39,'1 Daily Report'!$C$9:$C$39,"&gt;0")*P21)</f>
        <v/>
      </c>
      <c r="V21" s="22"/>
      <c r="W21" s="22"/>
      <c r="X21" s="22"/>
      <c r="Y21" s="22"/>
      <c r="Z21" s="22"/>
      <c r="AA21" s="22" t="n">
        <f aca="false">IF(F21="","",SUMIFS('1 Daily Report'!$AC$9:$AC$39,'1 Daily Report'!$A$9:$A$39,"&gt;="&amp;F21,'1 Daily Report'!$A$9:$A$39,"&lt;="&amp;K21))</f>
        <v>0</v>
      </c>
      <c r="AB21" s="22"/>
      <c r="AC21" s="22"/>
      <c r="AD21" s="22"/>
      <c r="AE21" s="22"/>
      <c r="AF21" s="22"/>
      <c r="AG21" s="95" t="str">
        <f aca="false">IF(OR(U21="",AA21=""),"",AA21/U21)</f>
        <v/>
      </c>
      <c r="AH21" s="95"/>
      <c r="AI21" s="95"/>
      <c r="AJ21" s="95"/>
      <c r="AK21" s="95"/>
      <c r="AL21" s="95"/>
      <c r="AM21" s="95"/>
    </row>
    <row r="22" customFormat="false" ht="19.5" hidden="false" customHeight="true" outlineLevel="0" collapsed="false">
      <c r="B22" s="92" t="s">
        <v>178</v>
      </c>
      <c r="C22" s="92"/>
      <c r="D22" s="92"/>
      <c r="E22" s="92"/>
      <c r="F22" s="93" t="n">
        <f aca="false">IF(COUNTIF('1 Daily Report'!$C$9:$C$39,5)=0,"",_xlfn.MINIFS('1 Daily Report'!$AE$9:$AE$39,'1 Daily Report'!$C$9:$C$39,5))</f>
        <v>46321</v>
      </c>
      <c r="G22" s="93"/>
      <c r="H22" s="93"/>
      <c r="I22" s="93"/>
      <c r="J22" s="93"/>
      <c r="K22" s="93" t="n">
        <f aca="false">IF(COUNTIF('1 Daily Report'!$C$9:$C$39,5)=0,"",_xlfn.MAXIFS('1 Daily Report'!$AE$9:$AE$39,'1 Daily Report'!$C$9:$C$39,5))</f>
        <v>46326</v>
      </c>
      <c r="L22" s="93"/>
      <c r="M22" s="93"/>
      <c r="N22" s="93"/>
      <c r="O22" s="93"/>
      <c r="P22" s="94" t="n">
        <f aca="false">SUMIFS('1 Daily Report'!$D$9:$D$39,'1 Daily Report'!$C$9:$C$39,5)</f>
        <v>6</v>
      </c>
      <c r="Q22" s="94"/>
      <c r="R22" s="94"/>
      <c r="S22" s="94"/>
      <c r="T22" s="94"/>
      <c r="U22" s="22" t="str">
        <f aca="false">IF(OR('4 Monthly Review'!$AF$9="",SUMIFS('1 Daily Report'!$D$9:$D$39,'1 Daily Report'!$C$9:$C$39,"&gt;0")=0),"",'4 Monthly Review'!$AF$9/SUMIFS('1 Daily Report'!$D$9:$D$39,'1 Daily Report'!$C$9:$C$39,"&gt;0")*P22)</f>
        <v/>
      </c>
      <c r="V22" s="22"/>
      <c r="W22" s="22"/>
      <c r="X22" s="22"/>
      <c r="Y22" s="22"/>
      <c r="Z22" s="22"/>
      <c r="AA22" s="22" t="n">
        <f aca="false">IF(F22="","",SUMIFS('1 Daily Report'!$AC$9:$AC$39,'1 Daily Report'!$A$9:$A$39,"&gt;="&amp;F22,'1 Daily Report'!$A$9:$A$39,"&lt;="&amp;K22))</f>
        <v>0</v>
      </c>
      <c r="AB22" s="22"/>
      <c r="AC22" s="22"/>
      <c r="AD22" s="22"/>
      <c r="AE22" s="22"/>
      <c r="AF22" s="22"/>
      <c r="AG22" s="95" t="str">
        <f aca="false">IF(OR(U22="",AA22=""),"",AA22/U22)</f>
        <v/>
      </c>
      <c r="AH22" s="95"/>
      <c r="AI22" s="95"/>
      <c r="AJ22" s="95"/>
      <c r="AK22" s="95"/>
      <c r="AL22" s="95"/>
      <c r="AM22" s="95"/>
    </row>
    <row r="23" customFormat="false" ht="19.5" hidden="false" customHeight="true" outlineLevel="0" collapsed="false">
      <c r="B23" s="96" t="s">
        <v>210</v>
      </c>
      <c r="C23" s="96"/>
      <c r="D23" s="96"/>
      <c r="E23" s="96"/>
      <c r="F23" s="97" t="n">
        <f aca="false">F18</f>
        <v>46296</v>
      </c>
      <c r="G23" s="97"/>
      <c r="H23" s="97"/>
      <c r="I23" s="97"/>
      <c r="J23" s="97"/>
      <c r="K23" s="97" t="n">
        <f aca="false">EOMONTH('4 Monthly Review'!$X$9,0)</f>
        <v>46326</v>
      </c>
      <c r="L23" s="97"/>
      <c r="M23" s="97"/>
      <c r="N23" s="97"/>
      <c r="O23" s="97"/>
      <c r="P23" s="25" t="n">
        <f aca="false">SUM(P18:P22)</f>
        <v>27</v>
      </c>
      <c r="Q23" s="25"/>
      <c r="R23" s="25"/>
      <c r="S23" s="25"/>
      <c r="T23" s="25"/>
      <c r="U23" s="27" t="n">
        <f aca="false">SUM(U18:U22)</f>
        <v>0</v>
      </c>
      <c r="V23" s="27"/>
      <c r="W23" s="27"/>
      <c r="X23" s="27"/>
      <c r="Y23" s="27"/>
      <c r="Z23" s="27"/>
      <c r="AA23" s="27" t="n">
        <f aca="false">SUM(AA18:AA22)</f>
        <v>0</v>
      </c>
      <c r="AB23" s="27"/>
      <c r="AC23" s="27"/>
      <c r="AD23" s="27"/>
      <c r="AE23" s="27"/>
      <c r="AF23" s="27"/>
      <c r="AG23" s="98" t="str">
        <f aca="false">IF(N(U23)=0,"",AA23/U23)</f>
        <v/>
      </c>
      <c r="AH23" s="98"/>
      <c r="AI23" s="98"/>
      <c r="AJ23" s="98"/>
      <c r="AK23" s="98"/>
      <c r="AL23" s="98"/>
      <c r="AM23" s="98"/>
    </row>
    <row r="24" customFormat="false" ht="7.5" hidden="false" customHeight="true" outlineLevel="0" collapsed="false"/>
    <row r="25" customFormat="false" ht="13.5" hidden="false" customHeight="true" outlineLevel="0" collapsed="false">
      <c r="B25" s="99" t="s">
        <v>211</v>
      </c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</row>
    <row r="26" customFormat="false" ht="19.5" hidden="false" customHeight="true" outlineLevel="0" collapsed="false">
      <c r="B26" s="100"/>
      <c r="C26" s="100"/>
      <c r="D26" s="100"/>
      <c r="E26" s="100"/>
      <c r="G26" s="100"/>
      <c r="H26" s="100"/>
      <c r="I26" s="100"/>
      <c r="J26" s="100"/>
      <c r="L26" s="100"/>
      <c r="M26" s="100"/>
      <c r="N26" s="100"/>
      <c r="O26" s="100"/>
      <c r="Q26" s="100"/>
      <c r="R26" s="100"/>
      <c r="S26" s="100"/>
      <c r="T26" s="100"/>
      <c r="V26" s="100"/>
      <c r="W26" s="100"/>
      <c r="X26" s="100"/>
      <c r="Y26" s="100"/>
      <c r="AA26" s="100"/>
      <c r="AB26" s="100"/>
      <c r="AC26" s="100"/>
      <c r="AD26" s="100"/>
      <c r="AF26" s="100"/>
      <c r="AG26" s="100"/>
      <c r="AH26" s="100"/>
      <c r="AI26" s="100"/>
      <c r="AK26" s="100"/>
      <c r="AL26" s="100"/>
      <c r="AM26" s="100"/>
    </row>
    <row r="27" customFormat="false" ht="9.75" hidden="false" customHeight="true" outlineLevel="0" collapsed="false"/>
    <row r="28" customFormat="false" ht="21.75" hidden="false" customHeight="true" outlineLevel="0" collapsed="false">
      <c r="B28" s="6"/>
      <c r="C28" s="37" t="s">
        <v>212</v>
      </c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8" t="s">
        <v>213</v>
      </c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</row>
    <row r="29" customFormat="false" ht="27.75" hidden="false" customHeight="true" outlineLevel="0" collapsed="false">
      <c r="B29" s="101" t="s">
        <v>73</v>
      </c>
      <c r="C29" s="101"/>
      <c r="D29" s="101"/>
      <c r="E29" s="101"/>
      <c r="F29" s="101"/>
      <c r="G29" s="101"/>
      <c r="H29" s="101" t="s">
        <v>214</v>
      </c>
      <c r="I29" s="101"/>
      <c r="J29" s="101"/>
      <c r="K29" s="101"/>
      <c r="L29" s="101"/>
      <c r="M29" s="101" t="s">
        <v>154</v>
      </c>
      <c r="N29" s="101"/>
      <c r="O29" s="101"/>
      <c r="P29" s="101"/>
      <c r="Q29" s="101"/>
      <c r="R29" s="101" t="s">
        <v>155</v>
      </c>
      <c r="S29" s="101"/>
      <c r="T29" s="101"/>
      <c r="U29" s="101"/>
      <c r="V29" s="101" t="s">
        <v>215</v>
      </c>
      <c r="W29" s="101"/>
      <c r="X29" s="101"/>
      <c r="Y29" s="101"/>
      <c r="Z29" s="101" t="s">
        <v>216</v>
      </c>
      <c r="AA29" s="101"/>
      <c r="AB29" s="101"/>
      <c r="AC29" s="101"/>
      <c r="AD29" s="101"/>
      <c r="AE29" s="101" t="s">
        <v>105</v>
      </c>
      <c r="AF29" s="101"/>
      <c r="AG29" s="101"/>
      <c r="AH29" s="101"/>
      <c r="AI29" s="101" t="s">
        <v>217</v>
      </c>
      <c r="AJ29" s="101"/>
      <c r="AK29" s="101"/>
      <c r="AL29" s="101"/>
      <c r="AM29" s="101"/>
    </row>
    <row r="30" customFormat="false" ht="19.5" hidden="false" customHeight="true" outlineLevel="0" collapsed="false">
      <c r="B30" s="102" t="s">
        <v>87</v>
      </c>
      <c r="C30" s="102"/>
      <c r="D30" s="102"/>
      <c r="E30" s="102"/>
      <c r="F30" s="102"/>
      <c r="G30" s="102"/>
      <c r="H30" s="103"/>
      <c r="I30" s="103"/>
      <c r="J30" s="103"/>
      <c r="K30" s="103"/>
      <c r="L30" s="103"/>
      <c r="M30" s="104" t="n">
        <f aca="false">SUM('1 Daily Report'!$U$9:$U$39)</f>
        <v>0</v>
      </c>
      <c r="N30" s="104"/>
      <c r="O30" s="104"/>
      <c r="P30" s="104"/>
      <c r="Q30" s="104"/>
      <c r="R30" s="105" t="str">
        <f aca="false">IF(H30="","",M30/H30)</f>
        <v/>
      </c>
      <c r="S30" s="105"/>
      <c r="T30" s="105"/>
      <c r="U30" s="105"/>
      <c r="V30" s="104" t="str">
        <f aca="false">IF(H30="","",MAX(0,H30-M30))</f>
        <v/>
      </c>
      <c r="W30" s="104"/>
      <c r="X30" s="104"/>
      <c r="Y30" s="104"/>
      <c r="Z30" s="104" t="str">
        <f aca="true">IF(OR(H30="",SUMIFS('1 Daily Report'!$D$9:$D$39,'1 Daily Report'!$C$9:$C$39,"&gt;0")-SUMIFS('1 Daily Report'!$D$9:$D$39,'1 Daily Report'!$A$9:$A$39,"&lt;="&amp;TODAY())&lt;=0),"",V30/(SUMIFS('1 Daily Report'!$D$9:$D$39,'1 Daily Report'!$C$9:$C$39,"&gt;0")-SUMIFS('1 Daily Report'!$D$9:$D$39,'1 Daily Report'!$A$9:$A$39,"&lt;="&amp;TODAY())))</f>
        <v/>
      </c>
      <c r="AA30" s="104"/>
      <c r="AB30" s="104"/>
      <c r="AC30" s="104"/>
      <c r="AD30" s="104"/>
      <c r="AE30" s="106" t="str">
        <f aca="false">IF(R30="","",IF(R30&gt;=1,"GREEN",IF(R30&gt;=0.7,"YELLOW","RED")))</f>
        <v/>
      </c>
      <c r="AF30" s="106"/>
      <c r="AG30" s="106"/>
      <c r="AH30" s="106"/>
      <c r="AI30" s="107" t="n">
        <v>5850</v>
      </c>
      <c r="AJ30" s="107"/>
      <c r="AK30" s="107"/>
      <c r="AL30" s="107"/>
      <c r="AM30" s="107"/>
    </row>
    <row r="31" customFormat="false" ht="19.5" hidden="false" customHeight="true" outlineLevel="0" collapsed="false">
      <c r="B31" s="102" t="s">
        <v>36</v>
      </c>
      <c r="C31" s="102"/>
      <c r="D31" s="102"/>
      <c r="E31" s="102"/>
      <c r="F31" s="102"/>
      <c r="G31" s="102"/>
      <c r="H31" s="103"/>
      <c r="I31" s="103"/>
      <c r="J31" s="103"/>
      <c r="K31" s="103"/>
      <c r="L31" s="103"/>
      <c r="M31" s="104" t="n">
        <f aca="false">SUM('1 Daily Report'!$V$9:$V$39)</f>
        <v>0</v>
      </c>
      <c r="N31" s="104"/>
      <c r="O31" s="104"/>
      <c r="P31" s="104"/>
      <c r="Q31" s="104"/>
      <c r="R31" s="105" t="str">
        <f aca="false">IF(H31="","",M31/H31)</f>
        <v/>
      </c>
      <c r="S31" s="105"/>
      <c r="T31" s="105"/>
      <c r="U31" s="105"/>
      <c r="V31" s="104" t="str">
        <f aca="false">IF(H31="","",MAX(0,H31-M31))</f>
        <v/>
      </c>
      <c r="W31" s="104"/>
      <c r="X31" s="104"/>
      <c r="Y31" s="104"/>
      <c r="Z31" s="104" t="str">
        <f aca="true">IF(OR(H31="",SUMIFS('1 Daily Report'!$D$9:$D$39,'1 Daily Report'!$C$9:$C$39,"&gt;0")-SUMIFS('1 Daily Report'!$D$9:$D$39,'1 Daily Report'!$A$9:$A$39,"&lt;="&amp;TODAY())&lt;=0),"",V31/(SUMIFS('1 Daily Report'!$D$9:$D$39,'1 Daily Report'!$C$9:$C$39,"&gt;0")-SUMIFS('1 Daily Report'!$D$9:$D$39,'1 Daily Report'!$A$9:$A$39,"&lt;="&amp;TODAY())))</f>
        <v/>
      </c>
      <c r="AA31" s="104"/>
      <c r="AB31" s="104"/>
      <c r="AC31" s="104"/>
      <c r="AD31" s="104"/>
      <c r="AE31" s="106" t="str">
        <f aca="false">IF(R31="","",IF(R31&gt;=1,"GREEN",IF(R31&gt;=0.7,"YELLOW","RED")))</f>
        <v/>
      </c>
      <c r="AF31" s="106"/>
      <c r="AG31" s="106"/>
      <c r="AH31" s="106"/>
      <c r="AI31" s="107" t="n">
        <v>21530</v>
      </c>
      <c r="AJ31" s="107"/>
      <c r="AK31" s="107"/>
      <c r="AL31" s="107"/>
      <c r="AM31" s="107"/>
    </row>
    <row r="32" customFormat="false" ht="19.5" hidden="false" customHeight="true" outlineLevel="0" collapsed="false">
      <c r="B32" s="102" t="s">
        <v>86</v>
      </c>
      <c r="C32" s="102"/>
      <c r="D32" s="102"/>
      <c r="E32" s="102"/>
      <c r="F32" s="102"/>
      <c r="G32" s="102"/>
      <c r="H32" s="103"/>
      <c r="I32" s="103"/>
      <c r="J32" s="103"/>
      <c r="K32" s="103"/>
      <c r="L32" s="103"/>
      <c r="M32" s="104" t="n">
        <f aca="false">SUM('1 Daily Report'!$W$9:$W$39)</f>
        <v>0</v>
      </c>
      <c r="N32" s="104"/>
      <c r="O32" s="104"/>
      <c r="P32" s="104"/>
      <c r="Q32" s="104"/>
      <c r="R32" s="105" t="str">
        <f aca="false">IF(H32="","",M32/H32)</f>
        <v/>
      </c>
      <c r="S32" s="105"/>
      <c r="T32" s="105"/>
      <c r="U32" s="105"/>
      <c r="V32" s="104" t="str">
        <f aca="false">IF(H32="","",MAX(0,H32-M32))</f>
        <v/>
      </c>
      <c r="W32" s="104"/>
      <c r="X32" s="104"/>
      <c r="Y32" s="104"/>
      <c r="Z32" s="104" t="str">
        <f aca="true">IF(OR(H32="",SUMIFS('1 Daily Report'!$D$9:$D$39,'1 Daily Report'!$C$9:$C$39,"&gt;0")-SUMIFS('1 Daily Report'!$D$9:$D$39,'1 Daily Report'!$A$9:$A$39,"&lt;="&amp;TODAY())&lt;=0),"",V32/(SUMIFS('1 Daily Report'!$D$9:$D$39,'1 Daily Report'!$C$9:$C$39,"&gt;0")-SUMIFS('1 Daily Report'!$D$9:$D$39,'1 Daily Report'!$A$9:$A$39,"&lt;="&amp;TODAY())))</f>
        <v/>
      </c>
      <c r="AA32" s="104"/>
      <c r="AB32" s="104"/>
      <c r="AC32" s="104"/>
      <c r="AD32" s="104"/>
      <c r="AE32" s="106" t="str">
        <f aca="false">IF(R32="","",IF(R32&gt;=1,"GREEN",IF(R32&gt;=0.7,"YELLOW","RED")))</f>
        <v/>
      </c>
      <c r="AF32" s="106"/>
      <c r="AG32" s="106"/>
      <c r="AH32" s="106"/>
      <c r="AI32" s="107" t="n">
        <v>19654.78</v>
      </c>
      <c r="AJ32" s="107"/>
      <c r="AK32" s="107"/>
      <c r="AL32" s="107"/>
      <c r="AM32" s="107"/>
    </row>
    <row r="33" customFormat="false" ht="19.5" hidden="false" customHeight="true" outlineLevel="0" collapsed="false">
      <c r="B33" s="102" t="s">
        <v>218</v>
      </c>
      <c r="C33" s="102"/>
      <c r="D33" s="102"/>
      <c r="E33" s="102"/>
      <c r="F33" s="102"/>
      <c r="G33" s="102"/>
      <c r="H33" s="103"/>
      <c r="I33" s="103"/>
      <c r="J33" s="103"/>
      <c r="K33" s="103"/>
      <c r="L33" s="103"/>
      <c r="M33" s="104" t="n">
        <f aca="false">SUM('1 Daily Report'!$X$9:$X$39)</f>
        <v>0</v>
      </c>
      <c r="N33" s="104"/>
      <c r="O33" s="104"/>
      <c r="P33" s="104"/>
      <c r="Q33" s="104"/>
      <c r="R33" s="105" t="str">
        <f aca="false">IF(H33="","",M33/H33)</f>
        <v/>
      </c>
      <c r="S33" s="105"/>
      <c r="T33" s="105"/>
      <c r="U33" s="105"/>
      <c r="V33" s="104" t="str">
        <f aca="false">IF(H33="","",MAX(0,H33-M33))</f>
        <v/>
      </c>
      <c r="W33" s="104"/>
      <c r="X33" s="104"/>
      <c r="Y33" s="104"/>
      <c r="Z33" s="104" t="str">
        <f aca="true">IF(OR(H33="",SUMIFS('1 Daily Report'!$D$9:$D$39,'1 Daily Report'!$C$9:$C$39,"&gt;0")-SUMIFS('1 Daily Report'!$D$9:$D$39,'1 Daily Report'!$A$9:$A$39,"&lt;="&amp;TODAY())&lt;=0),"",V33/(SUMIFS('1 Daily Report'!$D$9:$D$39,'1 Daily Report'!$C$9:$C$39,"&gt;0")-SUMIFS('1 Daily Report'!$D$9:$D$39,'1 Daily Report'!$A$9:$A$39,"&lt;="&amp;TODAY())))</f>
        <v/>
      </c>
      <c r="AA33" s="104"/>
      <c r="AB33" s="104"/>
      <c r="AC33" s="104"/>
      <c r="AD33" s="104"/>
      <c r="AE33" s="106" t="str">
        <f aca="false">IF(R33="","",IF(R33&gt;=1,"GREEN",IF(R33&gt;=0.7,"YELLOW","RED")))</f>
        <v/>
      </c>
      <c r="AF33" s="106"/>
      <c r="AG33" s="106"/>
      <c r="AH33" s="106"/>
      <c r="AI33" s="107" t="n">
        <v>23238.59</v>
      </c>
      <c r="AJ33" s="107"/>
      <c r="AK33" s="107"/>
      <c r="AL33" s="107"/>
      <c r="AM33" s="107"/>
    </row>
    <row r="34" customFormat="false" ht="19.5" hidden="false" customHeight="true" outlineLevel="0" collapsed="false">
      <c r="B34" s="102" t="s">
        <v>85</v>
      </c>
      <c r="C34" s="102"/>
      <c r="D34" s="102"/>
      <c r="E34" s="102"/>
      <c r="F34" s="102"/>
      <c r="G34" s="102"/>
      <c r="H34" s="103"/>
      <c r="I34" s="103"/>
      <c r="J34" s="103"/>
      <c r="K34" s="103"/>
      <c r="L34" s="103"/>
      <c r="M34" s="104" t="n">
        <f aca="false">SUM('1 Daily Report'!$Y$9:$Y$39)</f>
        <v>0</v>
      </c>
      <c r="N34" s="104"/>
      <c r="O34" s="104"/>
      <c r="P34" s="104"/>
      <c r="Q34" s="104"/>
      <c r="R34" s="105" t="str">
        <f aca="false">IF(H34="","",M34/H34)</f>
        <v/>
      </c>
      <c r="S34" s="105"/>
      <c r="T34" s="105"/>
      <c r="U34" s="105"/>
      <c r="V34" s="104" t="str">
        <f aca="false">IF(H34="","",MAX(0,H34-M34))</f>
        <v/>
      </c>
      <c r="W34" s="104"/>
      <c r="X34" s="104"/>
      <c r="Y34" s="104"/>
      <c r="Z34" s="104" t="str">
        <f aca="true">IF(OR(H34="",SUMIFS('1 Daily Report'!$D$9:$D$39,'1 Daily Report'!$C$9:$C$39,"&gt;0")-SUMIFS('1 Daily Report'!$D$9:$D$39,'1 Daily Report'!$A$9:$A$39,"&lt;="&amp;TODAY())&lt;=0),"",V34/(SUMIFS('1 Daily Report'!$D$9:$D$39,'1 Daily Report'!$C$9:$C$39,"&gt;0")-SUMIFS('1 Daily Report'!$D$9:$D$39,'1 Daily Report'!$A$9:$A$39,"&lt;="&amp;TODAY())))</f>
        <v/>
      </c>
      <c r="AA34" s="104"/>
      <c r="AB34" s="104"/>
      <c r="AC34" s="104"/>
      <c r="AD34" s="104"/>
      <c r="AE34" s="106" t="str">
        <f aca="false">IF(R34="","",IF(R34&gt;=1,"GREEN",IF(R34&gt;=0.7,"YELLOW","RED")))</f>
        <v/>
      </c>
      <c r="AF34" s="106"/>
      <c r="AG34" s="106"/>
      <c r="AH34" s="106"/>
      <c r="AI34" s="107" t="n">
        <v>17421</v>
      </c>
      <c r="AJ34" s="107"/>
      <c r="AK34" s="107"/>
      <c r="AL34" s="107"/>
      <c r="AM34" s="107"/>
    </row>
    <row r="35" customFormat="false" ht="19.5" hidden="false" customHeight="true" outlineLevel="0" collapsed="false">
      <c r="B35" s="102" t="s">
        <v>219</v>
      </c>
      <c r="C35" s="102"/>
      <c r="D35" s="102"/>
      <c r="E35" s="102"/>
      <c r="F35" s="102"/>
      <c r="G35" s="102"/>
      <c r="H35" s="103"/>
      <c r="I35" s="103"/>
      <c r="J35" s="103"/>
      <c r="K35" s="103"/>
      <c r="L35" s="103"/>
      <c r="M35" s="104" t="n">
        <f aca="false">SUM('1 Daily Report'!$Z$9:$Z$39)</f>
        <v>0</v>
      </c>
      <c r="N35" s="104"/>
      <c r="O35" s="104"/>
      <c r="P35" s="104"/>
      <c r="Q35" s="104"/>
      <c r="R35" s="105" t="str">
        <f aca="false">IF(H35="","",M35/H35)</f>
        <v/>
      </c>
      <c r="S35" s="105"/>
      <c r="T35" s="105"/>
      <c r="U35" s="105"/>
      <c r="V35" s="104" t="str">
        <f aca="false">IF(H35="","",MAX(0,H35-M35))</f>
        <v/>
      </c>
      <c r="W35" s="104"/>
      <c r="X35" s="104"/>
      <c r="Y35" s="104"/>
      <c r="Z35" s="104" t="str">
        <f aca="true">IF(OR(H35="",SUMIFS('1 Daily Report'!$D$9:$D$39,'1 Daily Report'!$C$9:$C$39,"&gt;0")-SUMIFS('1 Daily Report'!$D$9:$D$39,'1 Daily Report'!$A$9:$A$39,"&lt;="&amp;TODAY())&lt;=0),"",V35/(SUMIFS('1 Daily Report'!$D$9:$D$39,'1 Daily Report'!$C$9:$C$39,"&gt;0")-SUMIFS('1 Daily Report'!$D$9:$D$39,'1 Daily Report'!$A$9:$A$39,"&lt;="&amp;TODAY())))</f>
        <v/>
      </c>
      <c r="AA35" s="104"/>
      <c r="AB35" s="104"/>
      <c r="AC35" s="104"/>
      <c r="AD35" s="104"/>
      <c r="AE35" s="106" t="str">
        <f aca="false">IF(R35="","",IF(R35&gt;=1,"GREEN",IF(R35&gt;=0.7,"YELLOW","RED")))</f>
        <v/>
      </c>
      <c r="AF35" s="106"/>
      <c r="AG35" s="106"/>
      <c r="AH35" s="106"/>
      <c r="AI35" s="107" t="n">
        <v>38161</v>
      </c>
      <c r="AJ35" s="107"/>
      <c r="AK35" s="107"/>
      <c r="AL35" s="107"/>
      <c r="AM35" s="107"/>
    </row>
    <row r="36" customFormat="false" ht="19.5" hidden="false" customHeight="true" outlineLevel="0" collapsed="false">
      <c r="B36" s="102" t="s">
        <v>40</v>
      </c>
      <c r="C36" s="102"/>
      <c r="D36" s="102"/>
      <c r="E36" s="102"/>
      <c r="F36" s="102"/>
      <c r="G36" s="102"/>
      <c r="H36" s="103"/>
      <c r="I36" s="103"/>
      <c r="J36" s="103"/>
      <c r="K36" s="103"/>
      <c r="L36" s="103"/>
      <c r="M36" s="104" t="n">
        <f aca="false">SUM('1 Daily Report'!$AA$9:$AA$39)</f>
        <v>0</v>
      </c>
      <c r="N36" s="104"/>
      <c r="O36" s="104"/>
      <c r="P36" s="104"/>
      <c r="Q36" s="104"/>
      <c r="R36" s="105" t="str">
        <f aca="false">IF(H36="","",M36/H36)</f>
        <v/>
      </c>
      <c r="S36" s="105"/>
      <c r="T36" s="105"/>
      <c r="U36" s="105"/>
      <c r="V36" s="104" t="str">
        <f aca="false">IF(H36="","",MAX(0,H36-M36))</f>
        <v/>
      </c>
      <c r="W36" s="104"/>
      <c r="X36" s="104"/>
      <c r="Y36" s="104"/>
      <c r="Z36" s="104" t="str">
        <f aca="true">IF(OR(H36="",SUMIFS('1 Daily Report'!$D$9:$D$39,'1 Daily Report'!$C$9:$C$39,"&gt;0")-SUMIFS('1 Daily Report'!$D$9:$D$39,'1 Daily Report'!$A$9:$A$39,"&lt;="&amp;TODAY())&lt;=0),"",V36/(SUMIFS('1 Daily Report'!$D$9:$D$39,'1 Daily Report'!$C$9:$C$39,"&gt;0")-SUMIFS('1 Daily Report'!$D$9:$D$39,'1 Daily Report'!$A$9:$A$39,"&lt;="&amp;TODAY())))</f>
        <v/>
      </c>
      <c r="AA36" s="104"/>
      <c r="AB36" s="104"/>
      <c r="AC36" s="104"/>
      <c r="AD36" s="104"/>
      <c r="AE36" s="106" t="str">
        <f aca="false">IF(R36="","",IF(R36&gt;=1,"GREEN",IF(R36&gt;=0.7,"YELLOW","RED")))</f>
        <v/>
      </c>
      <c r="AF36" s="106"/>
      <c r="AG36" s="106"/>
      <c r="AH36" s="106"/>
      <c r="AI36" s="107" t="n">
        <v>25140</v>
      </c>
      <c r="AJ36" s="107"/>
      <c r="AK36" s="107"/>
      <c r="AL36" s="107"/>
      <c r="AM36" s="107"/>
    </row>
    <row r="37" customFormat="false" ht="19.5" hidden="false" customHeight="true" outlineLevel="0" collapsed="false">
      <c r="B37" s="102" t="s">
        <v>220</v>
      </c>
      <c r="C37" s="102"/>
      <c r="D37" s="102"/>
      <c r="E37" s="102"/>
      <c r="F37" s="102"/>
      <c r="G37" s="102"/>
      <c r="H37" s="103"/>
      <c r="I37" s="103"/>
      <c r="J37" s="103"/>
      <c r="K37" s="103"/>
      <c r="L37" s="103"/>
      <c r="M37" s="104" t="n">
        <f aca="false">SUM('1 Daily Report'!$AB$9:$AB$39)</f>
        <v>0</v>
      </c>
      <c r="N37" s="104"/>
      <c r="O37" s="104"/>
      <c r="P37" s="104"/>
      <c r="Q37" s="104"/>
      <c r="R37" s="105" t="str">
        <f aca="false">IF(H37="","",M37/H37)</f>
        <v/>
      </c>
      <c r="S37" s="105"/>
      <c r="T37" s="105"/>
      <c r="U37" s="105"/>
      <c r="V37" s="104" t="str">
        <f aca="false">IF(H37="","",MAX(0,H37-M37))</f>
        <v/>
      </c>
      <c r="W37" s="104"/>
      <c r="X37" s="104"/>
      <c r="Y37" s="104"/>
      <c r="Z37" s="104" t="str">
        <f aca="true">IF(OR(H37="",SUMIFS('1 Daily Report'!$D$9:$D$39,'1 Daily Report'!$C$9:$C$39,"&gt;0")-SUMIFS('1 Daily Report'!$D$9:$D$39,'1 Daily Report'!$A$9:$A$39,"&lt;="&amp;TODAY())&lt;=0),"",V37/(SUMIFS('1 Daily Report'!$D$9:$D$39,'1 Daily Report'!$C$9:$C$39,"&gt;0")-SUMIFS('1 Daily Report'!$D$9:$D$39,'1 Daily Report'!$A$9:$A$39,"&lt;="&amp;TODAY())))</f>
        <v/>
      </c>
      <c r="AA37" s="104"/>
      <c r="AB37" s="104"/>
      <c r="AC37" s="104"/>
      <c r="AD37" s="104"/>
      <c r="AE37" s="106" t="str">
        <f aca="false">IF(R37="","",IF(R37&gt;=1,"GREEN",IF(R37&gt;=0.7,"YELLOW","RED")))</f>
        <v/>
      </c>
      <c r="AF37" s="106"/>
      <c r="AG37" s="106"/>
      <c r="AH37" s="106"/>
      <c r="AI37" s="107" t="n">
        <v>19342</v>
      </c>
      <c r="AJ37" s="107"/>
      <c r="AK37" s="107"/>
      <c r="AL37" s="107"/>
      <c r="AM37" s="107"/>
    </row>
    <row r="38" customFormat="false" ht="19.5" hidden="false" customHeight="true" outlineLevel="0" collapsed="false">
      <c r="B38" s="108" t="s">
        <v>221</v>
      </c>
      <c r="C38" s="108"/>
      <c r="D38" s="108"/>
      <c r="E38" s="108"/>
      <c r="F38" s="108"/>
      <c r="G38" s="108"/>
      <c r="H38" s="109" t="n">
        <f aca="false">SUM(H30:H37)</f>
        <v>0</v>
      </c>
      <c r="I38" s="109"/>
      <c r="J38" s="109"/>
      <c r="K38" s="109"/>
      <c r="L38" s="109"/>
      <c r="M38" s="109" t="n">
        <f aca="false">SUM(M30:M37)</f>
        <v>0</v>
      </c>
      <c r="N38" s="109"/>
      <c r="O38" s="109"/>
      <c r="P38" s="109"/>
      <c r="Q38" s="109"/>
      <c r="R38" s="110" t="str">
        <f aca="false">IF(N(H38)=0,"",M38/H38)</f>
        <v/>
      </c>
      <c r="S38" s="110"/>
      <c r="T38" s="110"/>
      <c r="U38" s="110"/>
      <c r="V38" s="109" t="n">
        <f aca="false">SUM(V30:V37)</f>
        <v>0</v>
      </c>
      <c r="W38" s="109"/>
      <c r="X38" s="109"/>
      <c r="Y38" s="109"/>
      <c r="Z38" s="111"/>
      <c r="AA38" s="111"/>
      <c r="AB38" s="111"/>
      <c r="AC38" s="111"/>
      <c r="AD38" s="111"/>
      <c r="AE38" s="111"/>
      <c r="AF38" s="111"/>
      <c r="AG38" s="111"/>
      <c r="AH38" s="111"/>
      <c r="AI38" s="109" t="n">
        <f aca="false">SUM(AI30:AI37)</f>
        <v>170337.37</v>
      </c>
      <c r="AJ38" s="109"/>
      <c r="AK38" s="109"/>
      <c r="AL38" s="109"/>
      <c r="AM38" s="109"/>
    </row>
    <row r="39" customFormat="false" ht="24" hidden="false" customHeight="true" outlineLevel="0" collapsed="false">
      <c r="B39" s="112" t="s">
        <v>222</v>
      </c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</row>
    <row r="40" customFormat="false" ht="9.75" hidden="false" customHeight="true" outlineLevel="0" collapsed="false"/>
    <row r="41" customFormat="false" ht="9.75" hidden="false" customHeight="true" outlineLevel="0" collapsed="false"/>
    <row r="42" customFormat="false" ht="25.5" hidden="false" customHeight="true" outlineLevel="0" collapsed="false">
      <c r="B42" s="60"/>
      <c r="C42" s="61" t="s">
        <v>223</v>
      </c>
      <c r="D42" s="61"/>
      <c r="E42" s="61"/>
      <c r="F42" s="61"/>
      <c r="G42" s="61"/>
      <c r="H42" s="61"/>
      <c r="I42" s="61"/>
      <c r="J42" s="61"/>
      <c r="K42" s="61"/>
      <c r="L42" s="62" t="s">
        <v>87</v>
      </c>
      <c r="M42" s="62"/>
      <c r="N42" s="62"/>
      <c r="O42" s="62"/>
      <c r="P42" s="62"/>
      <c r="Q42" s="62"/>
      <c r="R42" s="62"/>
      <c r="S42" s="62"/>
      <c r="T42" s="60"/>
      <c r="U42" s="113" t="s">
        <v>224</v>
      </c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</row>
    <row r="43" customFormat="false" ht="7.5" hidden="false" customHeight="true" outlineLevel="0" collapsed="false"/>
    <row r="44" customFormat="false" ht="7.5" hidden="false" customHeight="true" outlineLevel="0" collapsed="false"/>
    <row r="45" customFormat="false" ht="13.5" hidden="false" customHeight="true" outlineLevel="0" collapsed="false">
      <c r="B45" s="33" t="s">
        <v>225</v>
      </c>
      <c r="C45" s="33"/>
      <c r="D45" s="33"/>
      <c r="E45" s="33"/>
      <c r="F45" s="33"/>
      <c r="G45" s="33"/>
      <c r="H45" s="33"/>
      <c r="I45" s="33"/>
      <c r="J45" s="33"/>
      <c r="K45" s="33"/>
      <c r="M45" s="33" t="s">
        <v>226</v>
      </c>
      <c r="N45" s="33"/>
      <c r="O45" s="33"/>
      <c r="P45" s="33"/>
      <c r="Q45" s="33"/>
      <c r="R45" s="33"/>
      <c r="S45" s="33"/>
      <c r="T45" s="33"/>
      <c r="U45" s="33"/>
      <c r="V45" s="33"/>
      <c r="X45" s="33" t="s">
        <v>227</v>
      </c>
      <c r="Y45" s="33"/>
      <c r="Z45" s="33"/>
      <c r="AA45" s="33"/>
      <c r="AB45" s="33"/>
      <c r="AC45" s="33"/>
      <c r="AD45" s="33"/>
      <c r="AE45" s="33"/>
      <c r="AG45" s="33" t="s">
        <v>228</v>
      </c>
      <c r="AH45" s="33"/>
      <c r="AI45" s="33"/>
      <c r="AJ45" s="33"/>
      <c r="AK45" s="33"/>
      <c r="AL45" s="33"/>
      <c r="AM45" s="33"/>
    </row>
    <row r="46" customFormat="false" ht="21.75" hidden="false" customHeight="true" outlineLevel="0" collapsed="false">
      <c r="B46" s="34" t="str">
        <f aca="false">$L$42</f>
        <v>Alshima</v>
      </c>
      <c r="C46" s="34"/>
      <c r="D46" s="34"/>
      <c r="E46" s="34"/>
      <c r="F46" s="34"/>
      <c r="G46" s="34"/>
      <c r="H46" s="34"/>
      <c r="I46" s="34"/>
      <c r="J46" s="34"/>
      <c r="K46" s="34"/>
      <c r="M46" s="34" t="str">
        <f aca="false">$B$9</f>
        <v>Bindhya TB</v>
      </c>
      <c r="N46" s="34"/>
      <c r="O46" s="34"/>
      <c r="P46" s="34"/>
      <c r="Q46" s="34"/>
      <c r="R46" s="34"/>
      <c r="S46" s="34"/>
      <c r="T46" s="34"/>
      <c r="U46" s="34"/>
      <c r="V46" s="34"/>
      <c r="X46" s="34" t="str">
        <f aca="false">TEXT($X$9,"mmmm yyyy")</f>
        <v>October 2026</v>
      </c>
      <c r="Y46" s="34"/>
      <c r="Z46" s="34"/>
      <c r="AA46" s="34"/>
      <c r="AB46" s="34"/>
      <c r="AC46" s="34"/>
      <c r="AD46" s="34"/>
      <c r="AE46" s="34"/>
      <c r="AG46" s="35" t="str">
        <f aca="false">IFERROR(IF(INDEX($W$122:$W$129,MATCH($L$42,$B$30:$B$37,0))="","",INDEX($W$122:$W$129,MATCH($L$42,$B$30:$B$37,0))),"")</f>
        <v/>
      </c>
      <c r="AH46" s="35"/>
      <c r="AI46" s="35"/>
      <c r="AJ46" s="35"/>
      <c r="AK46" s="35"/>
      <c r="AL46" s="35"/>
      <c r="AM46" s="35"/>
    </row>
    <row r="47" customFormat="false" ht="9.75" hidden="false" customHeight="true" outlineLevel="0" collapsed="false"/>
    <row r="48" customFormat="false" ht="21.75" hidden="false" customHeight="true" outlineLevel="0" collapsed="false">
      <c r="B48" s="6"/>
      <c r="C48" s="37" t="s">
        <v>229</v>
      </c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</row>
    <row r="49" customFormat="false" ht="27.75" hidden="false" customHeight="true" outlineLevel="0" collapsed="false">
      <c r="B49" s="39"/>
      <c r="C49" s="64" t="n">
        <v>1</v>
      </c>
      <c r="D49" s="65" t="s">
        <v>230</v>
      </c>
      <c r="E49" s="65"/>
      <c r="F49" s="65"/>
      <c r="G49" s="65"/>
      <c r="H49" s="65"/>
      <c r="I49" s="65"/>
      <c r="J49" s="65"/>
      <c r="L49" s="39"/>
      <c r="M49" s="64" t="n">
        <v>2</v>
      </c>
      <c r="N49" s="65" t="s">
        <v>196</v>
      </c>
      <c r="O49" s="65"/>
      <c r="P49" s="65"/>
      <c r="Q49" s="65"/>
      <c r="R49" s="65"/>
      <c r="S49" s="65"/>
      <c r="T49" s="65"/>
      <c r="V49" s="39"/>
      <c r="W49" s="64" t="n">
        <v>3</v>
      </c>
      <c r="X49" s="65" t="s">
        <v>231</v>
      </c>
      <c r="Y49" s="65"/>
      <c r="Z49" s="65"/>
      <c r="AA49" s="65"/>
      <c r="AB49" s="65"/>
      <c r="AC49" s="65"/>
      <c r="AD49" s="65"/>
      <c r="AF49" s="39"/>
      <c r="AG49" s="64" t="n">
        <v>4</v>
      </c>
      <c r="AH49" s="65" t="s">
        <v>232</v>
      </c>
      <c r="AI49" s="65"/>
      <c r="AJ49" s="65"/>
      <c r="AK49" s="65"/>
      <c r="AL49" s="65"/>
      <c r="AM49" s="65"/>
    </row>
    <row r="50" customFormat="false" ht="25.5" hidden="false" customHeight="true" outlineLevel="0" collapsed="false">
      <c r="B50" s="42"/>
      <c r="C50" s="66" t="str">
        <f aca="false">IFERROR(IF(INDEX($H$30:$H$37,MATCH($L$42,$B$30:$B$37,0))="","",INDEX($H$30:$H$37,MATCH($L$42,$B$30:$B$37,0))),"")</f>
        <v/>
      </c>
      <c r="D50" s="66"/>
      <c r="E50" s="66"/>
      <c r="F50" s="66"/>
      <c r="G50" s="66"/>
      <c r="H50" s="66"/>
      <c r="I50" s="66"/>
      <c r="J50" s="44"/>
      <c r="L50" s="42"/>
      <c r="M50" s="66" t="n">
        <f aca="false">IFERROR(INDEX($M$30:$M$37,MATCH($L$42,$B$30:$B$37,0)),0)</f>
        <v>0</v>
      </c>
      <c r="N50" s="66"/>
      <c r="O50" s="66"/>
      <c r="P50" s="66"/>
      <c r="Q50" s="66"/>
      <c r="R50" s="66"/>
      <c r="S50" s="66"/>
      <c r="T50" s="44"/>
      <c r="V50" s="42"/>
      <c r="W50" s="72" t="str">
        <f aca="false">IF(C50="","☐ Yes        ☐ No",IF(M50&gt;=C50,"☑ Yes        ☐ No","☐ Yes        ☑ No"))</f>
        <v>☐ Yes        ☐ No</v>
      </c>
      <c r="X50" s="72"/>
      <c r="Y50" s="72"/>
      <c r="Z50" s="72"/>
      <c r="AA50" s="72"/>
      <c r="AB50" s="72"/>
      <c r="AC50" s="72"/>
      <c r="AD50" s="44"/>
      <c r="AF50" s="42"/>
      <c r="AG50" s="66" t="str">
        <f aca="false">IFERROR(IF(INDEX($G$122:$G$129,MATCH($L$42,$B$30:$B$37,0))="","",INDEX($G$122:$G$129,MATCH($L$42,$B$30:$B$37,0))),"")</f>
        <v/>
      </c>
      <c r="AH50" s="66"/>
      <c r="AI50" s="66"/>
      <c r="AJ50" s="66"/>
      <c r="AK50" s="66"/>
      <c r="AL50" s="66"/>
      <c r="AM50" s="44"/>
    </row>
    <row r="51" customFormat="false" ht="6" hidden="false" customHeight="true" outlineLevel="0" collapsed="false">
      <c r="B51" s="48"/>
      <c r="C51" s="49"/>
      <c r="D51" s="49"/>
      <c r="E51" s="49"/>
      <c r="F51" s="49"/>
      <c r="G51" s="49"/>
      <c r="H51" s="49"/>
      <c r="I51" s="49"/>
      <c r="J51" s="50"/>
      <c r="L51" s="48"/>
      <c r="M51" s="49"/>
      <c r="N51" s="49"/>
      <c r="O51" s="49"/>
      <c r="P51" s="49"/>
      <c r="Q51" s="49"/>
      <c r="R51" s="49"/>
      <c r="S51" s="49"/>
      <c r="T51" s="50"/>
      <c r="V51" s="48"/>
      <c r="W51" s="49"/>
      <c r="X51" s="49"/>
      <c r="Y51" s="49"/>
      <c r="Z51" s="49"/>
      <c r="AA51" s="49"/>
      <c r="AB51" s="49"/>
      <c r="AC51" s="49"/>
      <c r="AD51" s="50"/>
      <c r="AF51" s="48"/>
      <c r="AG51" s="49"/>
      <c r="AH51" s="49"/>
      <c r="AI51" s="49"/>
      <c r="AJ51" s="49"/>
      <c r="AK51" s="49"/>
      <c r="AL51" s="49"/>
      <c r="AM51" s="50"/>
    </row>
    <row r="52" customFormat="false" ht="7.5" hidden="false" customHeight="true" outlineLevel="0" collapsed="false"/>
    <row r="53" customFormat="false" ht="21.75" hidden="false" customHeight="true" outlineLevel="0" collapsed="false">
      <c r="B53" s="114" t="n">
        <v>5</v>
      </c>
      <c r="D53" s="115" t="s">
        <v>233</v>
      </c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6" t="s">
        <v>234</v>
      </c>
      <c r="Z53" s="116"/>
      <c r="AA53" s="116"/>
      <c r="AB53" s="116"/>
      <c r="AC53" s="116"/>
      <c r="AD53" s="116"/>
    </row>
    <row r="54" customFormat="false" ht="19.5" hidden="false" customHeight="true" outlineLevel="0" collapsed="false">
      <c r="B54" s="117" t="str">
        <f aca="false">IFERROR(IF(INDEX($L$122:$L$129,MATCH($L$42,$B$30:$B$37,0))="Low lead volume","☑","☐"),"☐")</f>
        <v>☐</v>
      </c>
      <c r="C54" s="118" t="s">
        <v>235</v>
      </c>
      <c r="D54" s="118"/>
      <c r="E54" s="118"/>
      <c r="F54" s="118"/>
      <c r="G54" s="118"/>
      <c r="H54" s="118"/>
      <c r="I54" s="118"/>
      <c r="J54" s="117" t="str">
        <f aca="false">IFERROR(IF(INDEX($L$122:$L$129,MATCH($L$42,$B$30:$B$37,0))="Low conversion","☑","☐"),"☐")</f>
        <v>☐</v>
      </c>
      <c r="K54" s="118" t="s">
        <v>236</v>
      </c>
      <c r="L54" s="118"/>
      <c r="M54" s="118"/>
      <c r="N54" s="118"/>
      <c r="O54" s="118"/>
      <c r="P54" s="118"/>
      <c r="Q54" s="118"/>
      <c r="R54" s="117" t="str">
        <f aca="false">IFERROR(IF(INDEX($L$122:$L$129,MATCH($L$42,$B$30:$B$37,0))="Low activity","☑","☐"),"☐")</f>
        <v>☐</v>
      </c>
      <c r="S54" s="118" t="s">
        <v>237</v>
      </c>
      <c r="T54" s="118"/>
      <c r="U54" s="118"/>
      <c r="V54" s="118"/>
      <c r="W54" s="118"/>
      <c r="X54" s="118"/>
      <c r="Y54" s="117" t="str">
        <f aca="false">IFERROR(IF(INDEX($L$122:$L$129,MATCH($L$42,$B$30:$B$37,0))="Quality issues","☑","☐"),"☐")</f>
        <v>☐</v>
      </c>
      <c r="Z54" s="118" t="s">
        <v>238</v>
      </c>
      <c r="AA54" s="118"/>
      <c r="AB54" s="118"/>
      <c r="AC54" s="118"/>
      <c r="AD54" s="118"/>
      <c r="AE54" s="118"/>
      <c r="AF54" s="117" t="str">
        <f aca="false">IFERROR(IF(INDEX($L$122:$L$129,MATCH($L$42,$B$30:$B$37,0))="Absence / leave","☑","☐"),"☐")</f>
        <v>☐</v>
      </c>
      <c r="AG54" s="118" t="s">
        <v>239</v>
      </c>
      <c r="AH54" s="118"/>
      <c r="AI54" s="118"/>
      <c r="AJ54" s="118"/>
      <c r="AK54" s="118"/>
      <c r="AL54" s="118"/>
      <c r="AM54" s="118"/>
    </row>
    <row r="55" customFormat="false" ht="19.5" hidden="false" customHeight="true" outlineLevel="0" collapsed="false">
      <c r="B55" s="117" t="str">
        <f aca="false">IFERROR(IF(INDEX($L$122:$L$129,MATCH($L$42,$B$30:$B$37,0))="Other","☑","☐"),"☐")</f>
        <v>☐</v>
      </c>
      <c r="C55" s="118" t="s">
        <v>240</v>
      </c>
      <c r="D55" s="118"/>
      <c r="E55" s="118"/>
      <c r="F55" s="118"/>
      <c r="G55" s="119" t="str">
        <f aca="false">IFERROR(IF(INDEX($R$122:$R$129,MATCH($L$42,$B$30:$B$37,0))="","",INDEX($R$122:$R$129,MATCH($L$42,$B$30:$B$37,0))),"")</f>
        <v/>
      </c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</row>
    <row r="56" customFormat="false" ht="9.75" hidden="false" customHeight="true" outlineLevel="0" collapsed="false"/>
    <row r="57" customFormat="false" ht="21.75" hidden="false" customHeight="true" outlineLevel="0" collapsed="false">
      <c r="B57" s="6"/>
      <c r="C57" s="37" t="s">
        <v>241</v>
      </c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8" t="s">
        <v>242</v>
      </c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</row>
    <row r="58" customFormat="false" ht="24" hidden="false" customHeight="true" outlineLevel="0" collapsed="false">
      <c r="B58" s="120" t="n">
        <v>1</v>
      </c>
      <c r="C58" s="120"/>
      <c r="D58" s="120"/>
      <c r="E58" s="120"/>
      <c r="F58" s="121" t="n">
        <v>2</v>
      </c>
      <c r="G58" s="121"/>
      <c r="H58" s="121"/>
      <c r="I58" s="121"/>
      <c r="J58" s="122" t="n">
        <v>3</v>
      </c>
      <c r="K58" s="122"/>
      <c r="L58" s="122"/>
      <c r="M58" s="122"/>
      <c r="N58" s="123" t="n">
        <v>4</v>
      </c>
      <c r="O58" s="123"/>
      <c r="P58" s="123"/>
      <c r="Q58" s="123"/>
      <c r="R58" s="124" t="n">
        <v>5</v>
      </c>
      <c r="S58" s="124"/>
      <c r="T58" s="124"/>
      <c r="U58" s="124"/>
      <c r="V58" s="124" t="n">
        <v>6</v>
      </c>
      <c r="W58" s="124"/>
      <c r="X58" s="124"/>
      <c r="Y58" s="124"/>
      <c r="Z58" s="125" t="n">
        <v>7</v>
      </c>
      <c r="AA58" s="125"/>
      <c r="AB58" s="125"/>
      <c r="AC58" s="125"/>
      <c r="AD58" s="126" t="n">
        <v>8</v>
      </c>
      <c r="AE58" s="126"/>
      <c r="AF58" s="126"/>
      <c r="AG58" s="126"/>
      <c r="AH58" s="127" t="n">
        <v>9</v>
      </c>
      <c r="AI58" s="127"/>
      <c r="AJ58" s="127"/>
      <c r="AK58" s="128" t="n">
        <v>10</v>
      </c>
      <c r="AL58" s="128"/>
      <c r="AM58" s="128"/>
    </row>
    <row r="59" customFormat="false" ht="18" hidden="false" customHeight="true" outlineLevel="0" collapsed="false">
      <c r="B59" s="129" t="s">
        <v>243</v>
      </c>
      <c r="C59" s="129"/>
      <c r="D59" s="129"/>
      <c r="E59" s="129"/>
      <c r="F59" s="129" t="s">
        <v>244</v>
      </c>
      <c r="G59" s="129"/>
      <c r="H59" s="129"/>
      <c r="I59" s="129"/>
      <c r="J59" s="129" t="s">
        <v>245</v>
      </c>
      <c r="K59" s="129"/>
      <c r="L59" s="129"/>
      <c r="M59" s="129"/>
      <c r="N59" s="129" t="s">
        <v>246</v>
      </c>
      <c r="O59" s="129"/>
      <c r="P59" s="129"/>
      <c r="Q59" s="129"/>
      <c r="R59" s="129" t="s">
        <v>247</v>
      </c>
      <c r="S59" s="129"/>
      <c r="T59" s="129"/>
      <c r="U59" s="129"/>
      <c r="V59" s="129" t="s">
        <v>248</v>
      </c>
      <c r="W59" s="129"/>
      <c r="X59" s="129"/>
      <c r="Y59" s="129"/>
      <c r="Z59" s="129" t="s">
        <v>249</v>
      </c>
      <c r="AA59" s="129"/>
      <c r="AB59" s="129"/>
      <c r="AC59" s="129"/>
      <c r="AD59" s="129" t="s">
        <v>250</v>
      </c>
      <c r="AE59" s="129"/>
      <c r="AF59" s="129"/>
      <c r="AG59" s="129"/>
      <c r="AH59" s="129" t="s">
        <v>251</v>
      </c>
      <c r="AI59" s="129"/>
      <c r="AJ59" s="129"/>
      <c r="AK59" s="129" t="s">
        <v>252</v>
      </c>
      <c r="AL59" s="129"/>
      <c r="AM59" s="129"/>
    </row>
    <row r="60" customFormat="false" ht="6" hidden="false" customHeight="true" outlineLevel="0" collapsed="false"/>
    <row r="61" customFormat="false" ht="24" hidden="false" customHeight="true" outlineLevel="0" collapsed="false">
      <c r="B61" s="130" t="s">
        <v>253</v>
      </c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1" t="s">
        <v>254</v>
      </c>
      <c r="O61" s="131"/>
      <c r="P61" s="131"/>
      <c r="Q61" s="131"/>
      <c r="R61" s="131"/>
      <c r="S61" s="130" t="s">
        <v>255</v>
      </c>
      <c r="T61" s="130"/>
      <c r="U61" s="130"/>
      <c r="V61" s="130"/>
      <c r="W61" s="130"/>
      <c r="X61" s="130"/>
      <c r="Y61" s="130"/>
      <c r="Z61" s="130"/>
      <c r="AA61" s="130"/>
      <c r="AB61" s="130"/>
      <c r="AC61" s="130"/>
      <c r="AD61" s="130" t="s">
        <v>256</v>
      </c>
      <c r="AE61" s="130"/>
      <c r="AF61" s="130"/>
      <c r="AG61" s="130"/>
      <c r="AH61" s="130"/>
      <c r="AI61" s="130"/>
      <c r="AJ61" s="130"/>
      <c r="AK61" s="130"/>
      <c r="AL61" s="130"/>
      <c r="AM61" s="130"/>
    </row>
    <row r="62" customFormat="false" ht="37.5" hidden="false" customHeight="true" outlineLevel="0" collapsed="false">
      <c r="B62" s="132" t="n">
        <v>6</v>
      </c>
      <c r="C62" s="133" t="s">
        <v>257</v>
      </c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4" t="str">
        <f aca="false">IFERROR(IF(INDEX($N$134:$N$181,(MATCH($L$42,$B$30:$B$37,0)-1)*6+1)="","",INDEX($N$134:$N$181,(MATCH($L$42,$B$30:$B$37,0)-1)*6+1)),"")</f>
        <v/>
      </c>
      <c r="O62" s="134"/>
      <c r="P62" s="134"/>
      <c r="Q62" s="135" t="s">
        <v>258</v>
      </c>
      <c r="R62" s="135"/>
      <c r="S62" s="136" t="str">
        <f aca="false">IFERROR(IF(INDEX($Q$134:$Q$181,(MATCH($L$42,$B$30:$B$37,0)-1)*6+1)="","",INDEX($Q$134:$Q$181,(MATCH($L$42,$B$30:$B$37,0)-1)*6+1)),"")</f>
        <v/>
      </c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 t="str">
        <f aca="false">IFERROR(IF(INDEX($AB$134:$AB$181,(MATCH($L$42,$B$30:$B$37,0)-1)*6+1)="","",INDEX($AB$134:$AB$181,(MATCH($L$42,$B$30:$B$37,0)-1)*6+1)),"")</f>
        <v/>
      </c>
      <c r="AE62" s="136"/>
      <c r="AF62" s="136"/>
      <c r="AG62" s="136"/>
      <c r="AH62" s="136"/>
      <c r="AI62" s="136"/>
      <c r="AJ62" s="136"/>
      <c r="AK62" s="136"/>
      <c r="AL62" s="136"/>
      <c r="AM62" s="136"/>
    </row>
    <row r="63" customFormat="false" ht="37.5" hidden="false" customHeight="true" outlineLevel="0" collapsed="false">
      <c r="B63" s="132" t="n">
        <v>7</v>
      </c>
      <c r="C63" s="133" t="s">
        <v>259</v>
      </c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4" t="str">
        <f aca="false">IFERROR(IF(INDEX($N$134:$N$181,(MATCH($L$42,$B$30:$B$37,0)-1)*6+2)="","",INDEX($N$134:$N$181,(MATCH($L$42,$B$30:$B$37,0)-1)*6+2)),"")</f>
        <v/>
      </c>
      <c r="O63" s="134"/>
      <c r="P63" s="134"/>
      <c r="Q63" s="135" t="s">
        <v>258</v>
      </c>
      <c r="R63" s="135"/>
      <c r="S63" s="136" t="str">
        <f aca="false">IFERROR(IF(INDEX($Q$134:$Q$181,(MATCH($L$42,$B$30:$B$37,0)-1)*6+2)="","",INDEX($Q$134:$Q$181,(MATCH($L$42,$B$30:$B$37,0)-1)*6+2)),"")</f>
        <v/>
      </c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 t="str">
        <f aca="false">IFERROR(IF(INDEX($AB$134:$AB$181,(MATCH($L$42,$B$30:$B$37,0)-1)*6+2)="","",INDEX($AB$134:$AB$181,(MATCH($L$42,$B$30:$B$37,0)-1)*6+2)),"")</f>
        <v/>
      </c>
      <c r="AE63" s="136"/>
      <c r="AF63" s="136"/>
      <c r="AG63" s="136"/>
      <c r="AH63" s="136"/>
      <c r="AI63" s="136"/>
      <c r="AJ63" s="136"/>
      <c r="AK63" s="136"/>
      <c r="AL63" s="136"/>
      <c r="AM63" s="136"/>
    </row>
    <row r="64" customFormat="false" ht="37.5" hidden="false" customHeight="true" outlineLevel="0" collapsed="false">
      <c r="B64" s="132" t="n">
        <v>8</v>
      </c>
      <c r="C64" s="133" t="s">
        <v>260</v>
      </c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4" t="str">
        <f aca="false">IFERROR(IF(INDEX($N$134:$N$181,(MATCH($L$42,$B$30:$B$37,0)-1)*6+3)="","",INDEX($N$134:$N$181,(MATCH($L$42,$B$30:$B$37,0)-1)*6+3)),"")</f>
        <v/>
      </c>
      <c r="O64" s="134"/>
      <c r="P64" s="134"/>
      <c r="Q64" s="135" t="s">
        <v>258</v>
      </c>
      <c r="R64" s="135"/>
      <c r="S64" s="136" t="str">
        <f aca="false">IFERROR(IF(INDEX($Q$134:$Q$181,(MATCH($L$42,$B$30:$B$37,0)-1)*6+3)="","",INDEX($Q$134:$Q$181,(MATCH($L$42,$B$30:$B$37,0)-1)*6+3)),"")</f>
        <v/>
      </c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 t="str">
        <f aca="false">IFERROR(IF(INDEX($AB$134:$AB$181,(MATCH($L$42,$B$30:$B$37,0)-1)*6+3)="","",INDEX($AB$134:$AB$181,(MATCH($L$42,$B$30:$B$37,0)-1)*6+3)),"")</f>
        <v/>
      </c>
      <c r="AE64" s="136"/>
      <c r="AF64" s="136"/>
      <c r="AG64" s="136"/>
      <c r="AH64" s="136"/>
      <c r="AI64" s="136"/>
      <c r="AJ64" s="136"/>
      <c r="AK64" s="136"/>
      <c r="AL64" s="136"/>
      <c r="AM64" s="136"/>
    </row>
    <row r="65" customFormat="false" ht="37.5" hidden="false" customHeight="true" outlineLevel="0" collapsed="false">
      <c r="B65" s="132" t="n">
        <v>9</v>
      </c>
      <c r="C65" s="133" t="s">
        <v>261</v>
      </c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4" t="str">
        <f aca="false">IFERROR(IF(INDEX($N$134:$N$181,(MATCH($L$42,$B$30:$B$37,0)-1)*6+4)="","",INDEX($N$134:$N$181,(MATCH($L$42,$B$30:$B$37,0)-1)*6+4)),"")</f>
        <v/>
      </c>
      <c r="O65" s="134"/>
      <c r="P65" s="134"/>
      <c r="Q65" s="135" t="s">
        <v>258</v>
      </c>
      <c r="R65" s="135"/>
      <c r="S65" s="136" t="str">
        <f aca="false">IFERROR(IF(INDEX($Q$134:$Q$181,(MATCH($L$42,$B$30:$B$37,0)-1)*6+4)="","",INDEX($Q$134:$Q$181,(MATCH($L$42,$B$30:$B$37,0)-1)*6+4)),"")</f>
        <v/>
      </c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 t="str">
        <f aca="false">IFERROR(IF(INDEX($AB$134:$AB$181,(MATCH($L$42,$B$30:$B$37,0)-1)*6+4)="","",INDEX($AB$134:$AB$181,(MATCH($L$42,$B$30:$B$37,0)-1)*6+4)),"")</f>
        <v/>
      </c>
      <c r="AE65" s="136"/>
      <c r="AF65" s="136"/>
      <c r="AG65" s="136"/>
      <c r="AH65" s="136"/>
      <c r="AI65" s="136"/>
      <c r="AJ65" s="136"/>
      <c r="AK65" s="136"/>
      <c r="AL65" s="136"/>
      <c r="AM65" s="136"/>
    </row>
    <row r="66" customFormat="false" ht="37.5" hidden="false" customHeight="true" outlineLevel="0" collapsed="false">
      <c r="B66" s="132" t="n">
        <v>10</v>
      </c>
      <c r="C66" s="133" t="s">
        <v>262</v>
      </c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4" t="str">
        <f aca="false">IFERROR(IF(INDEX($N$134:$N$181,(MATCH($L$42,$B$30:$B$37,0)-1)*6+5)="","",INDEX($N$134:$N$181,(MATCH($L$42,$B$30:$B$37,0)-1)*6+5)),"")</f>
        <v/>
      </c>
      <c r="O66" s="134"/>
      <c r="P66" s="134"/>
      <c r="Q66" s="135" t="s">
        <v>258</v>
      </c>
      <c r="R66" s="135"/>
      <c r="S66" s="136" t="str">
        <f aca="false">IFERROR(IF(INDEX($Q$134:$Q$181,(MATCH($L$42,$B$30:$B$37,0)-1)*6+5)="","",INDEX($Q$134:$Q$181,(MATCH($L$42,$B$30:$B$37,0)-1)*6+5)),"")</f>
        <v/>
      </c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 t="str">
        <f aca="false">IFERROR(IF(INDEX($AB$134:$AB$181,(MATCH($L$42,$B$30:$B$37,0)-1)*6+5)="","",INDEX($AB$134:$AB$181,(MATCH($L$42,$B$30:$B$37,0)-1)*6+5)),"")</f>
        <v/>
      </c>
      <c r="AE66" s="136"/>
      <c r="AF66" s="136"/>
      <c r="AG66" s="136"/>
      <c r="AH66" s="136"/>
      <c r="AI66" s="136"/>
      <c r="AJ66" s="136"/>
      <c r="AK66" s="136"/>
      <c r="AL66" s="136"/>
      <c r="AM66" s="136"/>
    </row>
    <row r="67" customFormat="false" ht="37.5" hidden="false" customHeight="true" outlineLevel="0" collapsed="false">
      <c r="B67" s="132" t="n">
        <v>11</v>
      </c>
      <c r="C67" s="133" t="s">
        <v>263</v>
      </c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4" t="str">
        <f aca="false">IFERROR(IF(INDEX($N$134:$N$181,(MATCH($L$42,$B$30:$B$37,0)-1)*6+6)="","",INDEX($N$134:$N$181,(MATCH($L$42,$B$30:$B$37,0)-1)*6+6)),"")</f>
        <v/>
      </c>
      <c r="O67" s="134"/>
      <c r="P67" s="134"/>
      <c r="Q67" s="135" t="s">
        <v>258</v>
      </c>
      <c r="R67" s="135"/>
      <c r="S67" s="136" t="str">
        <f aca="false">IFERROR(IF(INDEX($Q$134:$Q$181,(MATCH($L$42,$B$30:$B$37,0)-1)*6+6)="","",INDEX($Q$134:$Q$181,(MATCH($L$42,$B$30:$B$37,0)-1)*6+6)),"")</f>
        <v/>
      </c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 t="str">
        <f aca="false">IFERROR(IF(INDEX($AB$134:$AB$181,(MATCH($L$42,$B$30:$B$37,0)-1)*6+6)="","",INDEX($AB$134:$AB$181,(MATCH($L$42,$B$30:$B$37,0)-1)*6+6)),"")</f>
        <v/>
      </c>
      <c r="AE67" s="136"/>
      <c r="AF67" s="136"/>
      <c r="AG67" s="136"/>
      <c r="AH67" s="136"/>
      <c r="AI67" s="136"/>
      <c r="AJ67" s="136"/>
      <c r="AK67" s="136"/>
      <c r="AL67" s="136"/>
      <c r="AM67" s="136"/>
    </row>
    <row r="68" customFormat="false" ht="27.75" hidden="false" customHeight="true" outlineLevel="0" collapsed="false">
      <c r="B68" s="114" t="n">
        <v>12</v>
      </c>
      <c r="C68" s="137" t="s">
        <v>264</v>
      </c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8" t="str">
        <f aca="false">IF(COUNT(N62:N67)=0,"",SUM(N62:N67))</f>
        <v/>
      </c>
      <c r="O68" s="138"/>
      <c r="P68" s="138"/>
      <c r="Q68" s="139" t="s">
        <v>265</v>
      </c>
      <c r="R68" s="139"/>
      <c r="S68" s="140"/>
      <c r="T68" s="140"/>
      <c r="U68" s="140"/>
      <c r="V68" s="140"/>
      <c r="W68" s="140"/>
      <c r="X68" s="140"/>
      <c r="Y68" s="140"/>
      <c r="Z68" s="140"/>
      <c r="AA68" s="140"/>
      <c r="AB68" s="140"/>
      <c r="AC68" s="140"/>
      <c r="AD68" s="140"/>
      <c r="AE68" s="140"/>
      <c r="AF68" s="140"/>
      <c r="AG68" s="140"/>
      <c r="AH68" s="140"/>
      <c r="AI68" s="140"/>
      <c r="AJ68" s="140"/>
      <c r="AK68" s="140"/>
      <c r="AL68" s="140"/>
      <c r="AM68" s="140"/>
    </row>
    <row r="69" customFormat="false" ht="9.75" hidden="false" customHeight="true" outlineLevel="0" collapsed="false"/>
    <row r="70" customFormat="false" ht="21.75" hidden="false" customHeight="true" outlineLevel="0" collapsed="false">
      <c r="B70" s="6"/>
      <c r="C70" s="37" t="s">
        <v>266</v>
      </c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</row>
    <row r="71" customFormat="false" ht="24" hidden="false" customHeight="true" outlineLevel="0" collapsed="false">
      <c r="B71" s="39"/>
      <c r="C71" s="64" t="n">
        <v>13</v>
      </c>
      <c r="D71" s="78" t="s">
        <v>267</v>
      </c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41"/>
      <c r="V71" s="39"/>
      <c r="W71" s="64" t="n">
        <v>14</v>
      </c>
      <c r="X71" s="78" t="s">
        <v>268</v>
      </c>
      <c r="Y71" s="78"/>
      <c r="Z71" s="78"/>
      <c r="AA71" s="78"/>
      <c r="AB71" s="78"/>
      <c r="AC71" s="78"/>
      <c r="AD71" s="78"/>
      <c r="AE71" s="78"/>
      <c r="AF71" s="78"/>
      <c r="AG71" s="78"/>
      <c r="AH71" s="78"/>
      <c r="AI71" s="78"/>
      <c r="AJ71" s="78"/>
      <c r="AK71" s="78"/>
      <c r="AL71" s="78"/>
      <c r="AM71" s="41"/>
    </row>
    <row r="72" customFormat="false" ht="21.75" hidden="false" customHeight="true" outlineLevel="0" collapsed="false">
      <c r="B72" s="42"/>
      <c r="C72" s="141" t="str">
        <f aca="false">IFERROR(IF(INDEX($AA$122:$AA$129,MATCH($L$42,$B$30:$B$37,0))="","",INDEX($AA$122:$AA$129,MATCH($L$42,$B$30:$B$37,0))),"")</f>
        <v/>
      </c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44"/>
      <c r="V72" s="42"/>
      <c r="W72" s="141" t="str">
        <f aca="false">IFERROR(IF(INDEX($AG$122:$AG$129,MATCH($L$42,$B$30:$B$37,0))="","",INDEX($AG$122:$AG$129,MATCH($L$42,$B$30:$B$37,0))),"")</f>
        <v/>
      </c>
      <c r="X72" s="141"/>
      <c r="Y72" s="141"/>
      <c r="Z72" s="141"/>
      <c r="AA72" s="141"/>
      <c r="AB72" s="141"/>
      <c r="AC72" s="141"/>
      <c r="AD72" s="141"/>
      <c r="AE72" s="141"/>
      <c r="AF72" s="141"/>
      <c r="AG72" s="141"/>
      <c r="AH72" s="141"/>
      <c r="AI72" s="141"/>
      <c r="AJ72" s="141"/>
      <c r="AK72" s="141"/>
      <c r="AL72" s="141"/>
      <c r="AM72" s="44"/>
    </row>
    <row r="73" customFormat="false" ht="21.75" hidden="false" customHeight="true" outlineLevel="0" collapsed="false">
      <c r="B73" s="42"/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44"/>
      <c r="V73" s="42"/>
      <c r="W73" s="141"/>
      <c r="X73" s="141"/>
      <c r="Y73" s="141"/>
      <c r="Z73" s="141"/>
      <c r="AA73" s="141"/>
      <c r="AB73" s="141"/>
      <c r="AC73" s="141"/>
      <c r="AD73" s="141"/>
      <c r="AE73" s="141"/>
      <c r="AF73" s="141"/>
      <c r="AG73" s="141"/>
      <c r="AH73" s="141"/>
      <c r="AI73" s="141"/>
      <c r="AJ73" s="141"/>
      <c r="AK73" s="141"/>
      <c r="AL73" s="141"/>
      <c r="AM73" s="44"/>
    </row>
    <row r="74" customFormat="false" ht="21.75" hidden="false" customHeight="true" outlineLevel="0" collapsed="false">
      <c r="B74" s="42"/>
      <c r="C74" s="141"/>
      <c r="D74" s="141"/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44"/>
      <c r="V74" s="42"/>
      <c r="W74" s="141"/>
      <c r="X74" s="141"/>
      <c r="Y74" s="141"/>
      <c r="Z74" s="141"/>
      <c r="AA74" s="141"/>
      <c r="AB74" s="141"/>
      <c r="AC74" s="141"/>
      <c r="AD74" s="141"/>
      <c r="AE74" s="141"/>
      <c r="AF74" s="141"/>
      <c r="AG74" s="141"/>
      <c r="AH74" s="141"/>
      <c r="AI74" s="141"/>
      <c r="AJ74" s="141"/>
      <c r="AK74" s="141"/>
      <c r="AL74" s="141"/>
      <c r="AM74" s="44"/>
    </row>
    <row r="75" customFormat="false" ht="6" hidden="false" customHeight="true" outlineLevel="0" collapsed="false">
      <c r="B75" s="48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50"/>
      <c r="V75" s="48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50"/>
    </row>
    <row r="76" customFormat="false" ht="9.75" hidden="false" customHeight="true" outlineLevel="0" collapsed="false"/>
    <row r="77" customFormat="false" ht="6" hidden="false" customHeight="true" outlineLevel="0" collapsed="false"/>
    <row r="78" customFormat="false" ht="19.5" hidden="false" customHeight="true" outlineLevel="0" collapsed="false">
      <c r="B78" s="76" t="s">
        <v>167</v>
      </c>
      <c r="C78" s="76"/>
      <c r="D78" s="76"/>
      <c r="E78" s="76"/>
      <c r="F78" s="76"/>
      <c r="G78" s="76"/>
      <c r="H78" s="76"/>
      <c r="I78" s="76"/>
      <c r="J78" s="76"/>
      <c r="K78" s="76"/>
      <c r="L78" s="77" t="s">
        <v>168</v>
      </c>
      <c r="M78" s="77"/>
      <c r="N78" s="77"/>
      <c r="O78" s="77"/>
      <c r="P78" s="77"/>
      <c r="Q78" s="77"/>
      <c r="R78" s="77"/>
      <c r="S78" s="77"/>
      <c r="U78" s="76" t="s">
        <v>269</v>
      </c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7" t="s">
        <v>168</v>
      </c>
      <c r="AG78" s="77"/>
      <c r="AH78" s="77"/>
      <c r="AI78" s="77"/>
      <c r="AJ78" s="77"/>
      <c r="AK78" s="77"/>
      <c r="AL78" s="77"/>
      <c r="AM78" s="77"/>
    </row>
    <row r="118" customFormat="false" ht="3.75" hidden="false" customHeight="true" outlineLevel="0" collapsed="false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</row>
    <row r="119" customFormat="false" ht="25.5" hidden="false" customHeight="true" outlineLevel="0" collapsed="false">
      <c r="B119" s="80" t="s">
        <v>270</v>
      </c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  <c r="AH119" s="80"/>
      <c r="AI119" s="80"/>
      <c r="AJ119" s="80"/>
      <c r="AK119" s="80"/>
      <c r="AL119" s="80"/>
      <c r="AM119" s="80"/>
    </row>
    <row r="120" customFormat="false" ht="21.75" hidden="false" customHeight="true" outlineLevel="0" collapsed="false">
      <c r="B120" s="6"/>
      <c r="C120" s="37" t="s">
        <v>271</v>
      </c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</row>
    <row r="121" customFormat="false" ht="30" hidden="false" customHeight="true" outlineLevel="0" collapsed="false">
      <c r="B121" s="101" t="s">
        <v>73</v>
      </c>
      <c r="C121" s="101"/>
      <c r="D121" s="101"/>
      <c r="E121" s="101"/>
      <c r="F121" s="101"/>
      <c r="G121" s="101" t="s">
        <v>272</v>
      </c>
      <c r="H121" s="101"/>
      <c r="I121" s="101"/>
      <c r="J121" s="101"/>
      <c r="K121" s="101"/>
      <c r="L121" s="101" t="s">
        <v>273</v>
      </c>
      <c r="M121" s="101"/>
      <c r="N121" s="101"/>
      <c r="O121" s="101"/>
      <c r="P121" s="101"/>
      <c r="Q121" s="101"/>
      <c r="R121" s="101" t="s">
        <v>274</v>
      </c>
      <c r="S121" s="101"/>
      <c r="T121" s="101"/>
      <c r="U121" s="101"/>
      <c r="V121" s="101"/>
      <c r="W121" s="101" t="s">
        <v>228</v>
      </c>
      <c r="X121" s="101"/>
      <c r="Y121" s="101"/>
      <c r="Z121" s="101"/>
      <c r="AA121" s="101" t="s">
        <v>267</v>
      </c>
      <c r="AB121" s="101"/>
      <c r="AC121" s="101"/>
      <c r="AD121" s="101"/>
      <c r="AE121" s="101"/>
      <c r="AF121" s="101"/>
      <c r="AG121" s="101" t="s">
        <v>268</v>
      </c>
      <c r="AH121" s="101"/>
      <c r="AI121" s="101"/>
      <c r="AJ121" s="101"/>
      <c r="AK121" s="101"/>
      <c r="AL121" s="101"/>
      <c r="AM121" s="101"/>
    </row>
    <row r="122" customFormat="false" ht="36" hidden="false" customHeight="true" outlineLevel="0" collapsed="false">
      <c r="B122" s="142" t="str">
        <f aca="false">$B$30</f>
        <v>Alshima</v>
      </c>
      <c r="C122" s="142"/>
      <c r="D122" s="142"/>
      <c r="E122" s="142"/>
      <c r="F122" s="142"/>
      <c r="G122" s="143"/>
      <c r="H122" s="143"/>
      <c r="I122" s="143"/>
      <c r="J122" s="143"/>
      <c r="K122" s="143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144"/>
      <c r="X122" s="144"/>
      <c r="Y122" s="144"/>
      <c r="Z122" s="14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</row>
    <row r="123" customFormat="false" ht="36" hidden="false" customHeight="true" outlineLevel="0" collapsed="false">
      <c r="B123" s="142" t="str">
        <f aca="false">$B$31</f>
        <v>Chaima</v>
      </c>
      <c r="C123" s="142"/>
      <c r="D123" s="142"/>
      <c r="E123" s="142"/>
      <c r="F123" s="142"/>
      <c r="G123" s="143"/>
      <c r="H123" s="143"/>
      <c r="I123" s="143"/>
      <c r="J123" s="143"/>
      <c r="K123" s="143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144"/>
      <c r="X123" s="144"/>
      <c r="Y123" s="144"/>
      <c r="Z123" s="14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</row>
    <row r="124" customFormat="false" ht="36" hidden="false" customHeight="true" outlineLevel="0" collapsed="false">
      <c r="B124" s="142" t="str">
        <f aca="false">$B$32</f>
        <v>Harinder</v>
      </c>
      <c r="C124" s="142"/>
      <c r="D124" s="142"/>
      <c r="E124" s="142"/>
      <c r="F124" s="142"/>
      <c r="G124" s="143"/>
      <c r="H124" s="143"/>
      <c r="I124" s="143"/>
      <c r="J124" s="143"/>
      <c r="K124" s="143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144"/>
      <c r="X124" s="144"/>
      <c r="Y124" s="144"/>
      <c r="Z124" s="14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</row>
    <row r="125" customFormat="false" ht="36" hidden="false" customHeight="true" outlineLevel="0" collapsed="false">
      <c r="B125" s="142" t="str">
        <f aca="false">$B$33</f>
        <v>Ibrahim</v>
      </c>
      <c r="C125" s="142"/>
      <c r="D125" s="142"/>
      <c r="E125" s="142"/>
      <c r="F125" s="142"/>
      <c r="G125" s="143"/>
      <c r="H125" s="143"/>
      <c r="I125" s="143"/>
      <c r="J125" s="143"/>
      <c r="K125" s="143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144"/>
      <c r="X125" s="144"/>
      <c r="Y125" s="144"/>
      <c r="Z125" s="14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</row>
    <row r="126" customFormat="false" ht="36" hidden="false" customHeight="true" outlineLevel="0" collapsed="false">
      <c r="B126" s="142" t="str">
        <f aca="false">$B$34</f>
        <v>Khozema</v>
      </c>
      <c r="C126" s="142"/>
      <c r="D126" s="142"/>
      <c r="E126" s="142"/>
      <c r="F126" s="142"/>
      <c r="G126" s="143"/>
      <c r="H126" s="143"/>
      <c r="I126" s="143"/>
      <c r="J126" s="143"/>
      <c r="K126" s="143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144"/>
      <c r="X126" s="144"/>
      <c r="Y126" s="144"/>
      <c r="Z126" s="14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</row>
    <row r="127" customFormat="false" ht="36" hidden="false" customHeight="true" outlineLevel="0" collapsed="false">
      <c r="B127" s="142" t="str">
        <f aca="false">$B$35</f>
        <v>Layan</v>
      </c>
      <c r="C127" s="142"/>
      <c r="D127" s="142"/>
      <c r="E127" s="142"/>
      <c r="F127" s="142"/>
      <c r="G127" s="143"/>
      <c r="H127" s="143"/>
      <c r="I127" s="143"/>
      <c r="J127" s="143"/>
      <c r="K127" s="143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144"/>
      <c r="X127" s="144"/>
      <c r="Y127" s="144"/>
      <c r="Z127" s="14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</row>
    <row r="128" customFormat="false" ht="36" hidden="false" customHeight="true" outlineLevel="0" collapsed="false">
      <c r="B128" s="142" t="str">
        <f aca="false">$B$36</f>
        <v>Rihab</v>
      </c>
      <c r="C128" s="142"/>
      <c r="D128" s="142"/>
      <c r="E128" s="142"/>
      <c r="F128" s="142"/>
      <c r="G128" s="143"/>
      <c r="H128" s="143"/>
      <c r="I128" s="143"/>
      <c r="J128" s="143"/>
      <c r="K128" s="143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144"/>
      <c r="X128" s="144"/>
      <c r="Y128" s="144"/>
      <c r="Z128" s="14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</row>
    <row r="129" customFormat="false" ht="36" hidden="false" customHeight="true" outlineLevel="0" collapsed="false">
      <c r="B129" s="142" t="str">
        <f aca="false">$B$37</f>
        <v>Saha</v>
      </c>
      <c r="C129" s="142"/>
      <c r="D129" s="142"/>
      <c r="E129" s="142"/>
      <c r="F129" s="142"/>
      <c r="G129" s="143"/>
      <c r="H129" s="143"/>
      <c r="I129" s="143"/>
      <c r="J129" s="143"/>
      <c r="K129" s="143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144"/>
      <c r="X129" s="144"/>
      <c r="Y129" s="144"/>
      <c r="Z129" s="14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</row>
    <row r="130" customFormat="false" ht="9.75" hidden="false" customHeight="true" outlineLevel="0" collapsed="false"/>
    <row r="131" customFormat="false" ht="21.75" hidden="false" customHeight="true" outlineLevel="0" collapsed="false">
      <c r="B131" s="6"/>
      <c r="C131" s="37" t="s">
        <v>275</v>
      </c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</row>
    <row r="132" customFormat="false" ht="3.75" hidden="false" customHeight="true" outlineLevel="0" collapsed="false"/>
    <row r="133" customFormat="false" ht="25.5" hidden="false" customHeight="true" outlineLevel="0" collapsed="false">
      <c r="B133" s="101" t="s">
        <v>73</v>
      </c>
      <c r="C133" s="101"/>
      <c r="D133" s="101"/>
      <c r="E133" s="101"/>
      <c r="F133" s="101"/>
      <c r="G133" s="101" t="s">
        <v>253</v>
      </c>
      <c r="H133" s="101"/>
      <c r="I133" s="101"/>
      <c r="J133" s="101"/>
      <c r="K133" s="101"/>
      <c r="L133" s="101"/>
      <c r="M133" s="101"/>
      <c r="N133" s="101" t="s">
        <v>276</v>
      </c>
      <c r="O133" s="101"/>
      <c r="P133" s="101"/>
      <c r="Q133" s="101" t="s">
        <v>255</v>
      </c>
      <c r="R133" s="101"/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 t="s">
        <v>256</v>
      </c>
      <c r="AC133" s="101"/>
      <c r="AD133" s="101"/>
      <c r="AE133" s="101"/>
      <c r="AF133" s="101"/>
      <c r="AG133" s="101"/>
      <c r="AH133" s="101"/>
      <c r="AI133" s="101"/>
      <c r="AJ133" s="101"/>
      <c r="AK133" s="101"/>
      <c r="AL133" s="101"/>
      <c r="AM133" s="101"/>
    </row>
    <row r="134" customFormat="false" ht="27.75" hidden="false" customHeight="true" outlineLevel="0" collapsed="false">
      <c r="B134" s="82" t="str">
        <f aca="false">$B$30</f>
        <v>Alshima</v>
      </c>
      <c r="C134" s="82"/>
      <c r="D134" s="82"/>
      <c r="E134" s="82"/>
      <c r="F134" s="82"/>
      <c r="G134" s="145" t="s">
        <v>277</v>
      </c>
      <c r="H134" s="145"/>
      <c r="I134" s="145"/>
      <c r="J134" s="145"/>
      <c r="K134" s="145"/>
      <c r="L134" s="145"/>
      <c r="M134" s="145"/>
      <c r="N134" s="146"/>
      <c r="O134" s="146"/>
      <c r="P134" s="146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</row>
    <row r="135" customFormat="false" ht="27.75" hidden="false" customHeight="true" outlineLevel="0" collapsed="false">
      <c r="B135" s="82" t="str">
        <f aca="false">$B$30</f>
        <v>Alshima</v>
      </c>
      <c r="C135" s="82"/>
      <c r="D135" s="82"/>
      <c r="E135" s="82"/>
      <c r="F135" s="82"/>
      <c r="G135" s="145" t="s">
        <v>278</v>
      </c>
      <c r="H135" s="145"/>
      <c r="I135" s="145"/>
      <c r="J135" s="145"/>
      <c r="K135" s="145"/>
      <c r="L135" s="145"/>
      <c r="M135" s="145"/>
      <c r="N135" s="146"/>
      <c r="O135" s="146"/>
      <c r="P135" s="146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</row>
    <row r="136" customFormat="false" ht="27.75" hidden="false" customHeight="true" outlineLevel="0" collapsed="false">
      <c r="B136" s="82" t="str">
        <f aca="false">$B$30</f>
        <v>Alshima</v>
      </c>
      <c r="C136" s="82"/>
      <c r="D136" s="82"/>
      <c r="E136" s="82"/>
      <c r="F136" s="82"/>
      <c r="G136" s="145" t="s">
        <v>279</v>
      </c>
      <c r="H136" s="145"/>
      <c r="I136" s="145"/>
      <c r="J136" s="145"/>
      <c r="K136" s="145"/>
      <c r="L136" s="145"/>
      <c r="M136" s="145"/>
      <c r="N136" s="146"/>
      <c r="O136" s="146"/>
      <c r="P136" s="146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</row>
    <row r="137" customFormat="false" ht="27.75" hidden="false" customHeight="true" outlineLevel="0" collapsed="false">
      <c r="B137" s="82" t="str">
        <f aca="false">$B$30</f>
        <v>Alshima</v>
      </c>
      <c r="C137" s="82"/>
      <c r="D137" s="82"/>
      <c r="E137" s="82"/>
      <c r="F137" s="82"/>
      <c r="G137" s="145" t="s">
        <v>280</v>
      </c>
      <c r="H137" s="145"/>
      <c r="I137" s="145"/>
      <c r="J137" s="145"/>
      <c r="K137" s="145"/>
      <c r="L137" s="145"/>
      <c r="M137" s="145"/>
      <c r="N137" s="146"/>
      <c r="O137" s="146"/>
      <c r="P137" s="146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</row>
    <row r="138" customFormat="false" ht="27.75" hidden="false" customHeight="true" outlineLevel="0" collapsed="false">
      <c r="B138" s="82" t="str">
        <f aca="false">$B$30</f>
        <v>Alshima</v>
      </c>
      <c r="C138" s="82"/>
      <c r="D138" s="82"/>
      <c r="E138" s="82"/>
      <c r="F138" s="82"/>
      <c r="G138" s="145" t="s">
        <v>281</v>
      </c>
      <c r="H138" s="145"/>
      <c r="I138" s="145"/>
      <c r="J138" s="145"/>
      <c r="K138" s="145"/>
      <c r="L138" s="145"/>
      <c r="M138" s="145"/>
      <c r="N138" s="146"/>
      <c r="O138" s="146"/>
      <c r="P138" s="146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</row>
    <row r="139" customFormat="false" ht="27.75" hidden="false" customHeight="true" outlineLevel="0" collapsed="false">
      <c r="B139" s="82" t="str">
        <f aca="false">$B$30</f>
        <v>Alshima</v>
      </c>
      <c r="C139" s="82"/>
      <c r="D139" s="82"/>
      <c r="E139" s="82"/>
      <c r="F139" s="82"/>
      <c r="G139" s="145" t="s">
        <v>282</v>
      </c>
      <c r="H139" s="145"/>
      <c r="I139" s="145"/>
      <c r="J139" s="145"/>
      <c r="K139" s="145"/>
      <c r="L139" s="145"/>
      <c r="M139" s="145"/>
      <c r="N139" s="146"/>
      <c r="O139" s="146"/>
      <c r="P139" s="146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</row>
    <row r="140" customFormat="false" ht="27.75" hidden="false" customHeight="true" outlineLevel="0" collapsed="false">
      <c r="B140" s="82" t="str">
        <f aca="false">$B$31</f>
        <v>Chaima</v>
      </c>
      <c r="C140" s="82"/>
      <c r="D140" s="82"/>
      <c r="E140" s="82"/>
      <c r="F140" s="82"/>
      <c r="G140" s="145" t="s">
        <v>277</v>
      </c>
      <c r="H140" s="145"/>
      <c r="I140" s="145"/>
      <c r="J140" s="145"/>
      <c r="K140" s="145"/>
      <c r="L140" s="145"/>
      <c r="M140" s="145"/>
      <c r="N140" s="146"/>
      <c r="O140" s="146"/>
      <c r="P140" s="146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</row>
    <row r="141" customFormat="false" ht="27.75" hidden="false" customHeight="true" outlineLevel="0" collapsed="false">
      <c r="B141" s="82" t="str">
        <f aca="false">$B$31</f>
        <v>Chaima</v>
      </c>
      <c r="C141" s="82"/>
      <c r="D141" s="82"/>
      <c r="E141" s="82"/>
      <c r="F141" s="82"/>
      <c r="G141" s="145" t="s">
        <v>278</v>
      </c>
      <c r="H141" s="145"/>
      <c r="I141" s="145"/>
      <c r="J141" s="145"/>
      <c r="K141" s="145"/>
      <c r="L141" s="145"/>
      <c r="M141" s="145"/>
      <c r="N141" s="146"/>
      <c r="O141" s="146"/>
      <c r="P141" s="146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</row>
    <row r="142" customFormat="false" ht="27.75" hidden="false" customHeight="true" outlineLevel="0" collapsed="false">
      <c r="B142" s="82" t="str">
        <f aca="false">$B$31</f>
        <v>Chaima</v>
      </c>
      <c r="C142" s="82"/>
      <c r="D142" s="82"/>
      <c r="E142" s="82"/>
      <c r="F142" s="82"/>
      <c r="G142" s="145" t="s">
        <v>279</v>
      </c>
      <c r="H142" s="145"/>
      <c r="I142" s="145"/>
      <c r="J142" s="145"/>
      <c r="K142" s="145"/>
      <c r="L142" s="145"/>
      <c r="M142" s="145"/>
      <c r="N142" s="146"/>
      <c r="O142" s="146"/>
      <c r="P142" s="146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</row>
    <row r="143" customFormat="false" ht="27.75" hidden="false" customHeight="true" outlineLevel="0" collapsed="false">
      <c r="B143" s="82" t="str">
        <f aca="false">$B$31</f>
        <v>Chaima</v>
      </c>
      <c r="C143" s="82"/>
      <c r="D143" s="82"/>
      <c r="E143" s="82"/>
      <c r="F143" s="82"/>
      <c r="G143" s="145" t="s">
        <v>280</v>
      </c>
      <c r="H143" s="145"/>
      <c r="I143" s="145"/>
      <c r="J143" s="145"/>
      <c r="K143" s="145"/>
      <c r="L143" s="145"/>
      <c r="M143" s="145"/>
      <c r="N143" s="146"/>
      <c r="O143" s="146"/>
      <c r="P143" s="146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</row>
    <row r="144" customFormat="false" ht="27.75" hidden="false" customHeight="true" outlineLevel="0" collapsed="false">
      <c r="B144" s="82" t="str">
        <f aca="false">$B$31</f>
        <v>Chaima</v>
      </c>
      <c r="C144" s="82"/>
      <c r="D144" s="82"/>
      <c r="E144" s="82"/>
      <c r="F144" s="82"/>
      <c r="G144" s="145" t="s">
        <v>281</v>
      </c>
      <c r="H144" s="145"/>
      <c r="I144" s="145"/>
      <c r="J144" s="145"/>
      <c r="K144" s="145"/>
      <c r="L144" s="145"/>
      <c r="M144" s="145"/>
      <c r="N144" s="146"/>
      <c r="O144" s="146"/>
      <c r="P144" s="146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</row>
    <row r="145" customFormat="false" ht="27.75" hidden="false" customHeight="true" outlineLevel="0" collapsed="false">
      <c r="B145" s="82" t="str">
        <f aca="false">$B$31</f>
        <v>Chaima</v>
      </c>
      <c r="C145" s="82"/>
      <c r="D145" s="82"/>
      <c r="E145" s="82"/>
      <c r="F145" s="82"/>
      <c r="G145" s="145" t="s">
        <v>282</v>
      </c>
      <c r="H145" s="145"/>
      <c r="I145" s="145"/>
      <c r="J145" s="145"/>
      <c r="K145" s="145"/>
      <c r="L145" s="145"/>
      <c r="M145" s="145"/>
      <c r="N145" s="146"/>
      <c r="O145" s="146"/>
      <c r="P145" s="146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</row>
    <row r="146" customFormat="false" ht="27.75" hidden="false" customHeight="true" outlineLevel="0" collapsed="false">
      <c r="B146" s="82" t="str">
        <f aca="false">$B$32</f>
        <v>Harinder</v>
      </c>
      <c r="C146" s="82"/>
      <c r="D146" s="82"/>
      <c r="E146" s="82"/>
      <c r="F146" s="82"/>
      <c r="G146" s="145" t="s">
        <v>277</v>
      </c>
      <c r="H146" s="145"/>
      <c r="I146" s="145"/>
      <c r="J146" s="145"/>
      <c r="K146" s="145"/>
      <c r="L146" s="145"/>
      <c r="M146" s="145"/>
      <c r="N146" s="146"/>
      <c r="O146" s="146"/>
      <c r="P146" s="146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</row>
    <row r="147" customFormat="false" ht="27.75" hidden="false" customHeight="true" outlineLevel="0" collapsed="false">
      <c r="B147" s="82" t="str">
        <f aca="false">$B$32</f>
        <v>Harinder</v>
      </c>
      <c r="C147" s="82"/>
      <c r="D147" s="82"/>
      <c r="E147" s="82"/>
      <c r="F147" s="82"/>
      <c r="G147" s="145" t="s">
        <v>278</v>
      </c>
      <c r="H147" s="145"/>
      <c r="I147" s="145"/>
      <c r="J147" s="145"/>
      <c r="K147" s="145"/>
      <c r="L147" s="145"/>
      <c r="M147" s="145"/>
      <c r="N147" s="146"/>
      <c r="O147" s="146"/>
      <c r="P147" s="146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</row>
    <row r="148" customFormat="false" ht="27.75" hidden="false" customHeight="true" outlineLevel="0" collapsed="false">
      <c r="B148" s="82" t="str">
        <f aca="false">$B$32</f>
        <v>Harinder</v>
      </c>
      <c r="C148" s="82"/>
      <c r="D148" s="82"/>
      <c r="E148" s="82"/>
      <c r="F148" s="82"/>
      <c r="G148" s="145" t="s">
        <v>279</v>
      </c>
      <c r="H148" s="145"/>
      <c r="I148" s="145"/>
      <c r="J148" s="145"/>
      <c r="K148" s="145"/>
      <c r="L148" s="145"/>
      <c r="M148" s="145"/>
      <c r="N148" s="146"/>
      <c r="O148" s="146"/>
      <c r="P148" s="146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</row>
    <row r="149" customFormat="false" ht="27.75" hidden="false" customHeight="true" outlineLevel="0" collapsed="false">
      <c r="B149" s="82" t="str">
        <f aca="false">$B$32</f>
        <v>Harinder</v>
      </c>
      <c r="C149" s="82"/>
      <c r="D149" s="82"/>
      <c r="E149" s="82"/>
      <c r="F149" s="82"/>
      <c r="G149" s="145" t="s">
        <v>280</v>
      </c>
      <c r="H149" s="145"/>
      <c r="I149" s="145"/>
      <c r="J149" s="145"/>
      <c r="K149" s="145"/>
      <c r="L149" s="145"/>
      <c r="M149" s="145"/>
      <c r="N149" s="146"/>
      <c r="O149" s="146"/>
      <c r="P149" s="146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</row>
    <row r="150" customFormat="false" ht="27.75" hidden="false" customHeight="true" outlineLevel="0" collapsed="false">
      <c r="B150" s="82" t="str">
        <f aca="false">$B$32</f>
        <v>Harinder</v>
      </c>
      <c r="C150" s="82"/>
      <c r="D150" s="82"/>
      <c r="E150" s="82"/>
      <c r="F150" s="82"/>
      <c r="G150" s="145" t="s">
        <v>281</v>
      </c>
      <c r="H150" s="145"/>
      <c r="I150" s="145"/>
      <c r="J150" s="145"/>
      <c r="K150" s="145"/>
      <c r="L150" s="145"/>
      <c r="M150" s="145"/>
      <c r="N150" s="146"/>
      <c r="O150" s="146"/>
      <c r="P150" s="146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</row>
    <row r="151" customFormat="false" ht="27.75" hidden="false" customHeight="true" outlineLevel="0" collapsed="false">
      <c r="B151" s="82" t="str">
        <f aca="false">$B$32</f>
        <v>Harinder</v>
      </c>
      <c r="C151" s="82"/>
      <c r="D151" s="82"/>
      <c r="E151" s="82"/>
      <c r="F151" s="82"/>
      <c r="G151" s="145" t="s">
        <v>282</v>
      </c>
      <c r="H151" s="145"/>
      <c r="I151" s="145"/>
      <c r="J151" s="145"/>
      <c r="K151" s="145"/>
      <c r="L151" s="145"/>
      <c r="M151" s="145"/>
      <c r="N151" s="146"/>
      <c r="O151" s="146"/>
      <c r="P151" s="146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</row>
    <row r="152" customFormat="false" ht="27.75" hidden="false" customHeight="true" outlineLevel="0" collapsed="false">
      <c r="B152" s="82" t="str">
        <f aca="false">$B$33</f>
        <v>Ibrahim</v>
      </c>
      <c r="C152" s="82"/>
      <c r="D152" s="82"/>
      <c r="E152" s="82"/>
      <c r="F152" s="82"/>
      <c r="G152" s="145" t="s">
        <v>277</v>
      </c>
      <c r="H152" s="145"/>
      <c r="I152" s="145"/>
      <c r="J152" s="145"/>
      <c r="K152" s="145"/>
      <c r="L152" s="145"/>
      <c r="M152" s="145"/>
      <c r="N152" s="146"/>
      <c r="O152" s="146"/>
      <c r="P152" s="146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</row>
    <row r="153" customFormat="false" ht="27.75" hidden="false" customHeight="true" outlineLevel="0" collapsed="false">
      <c r="B153" s="82" t="str">
        <f aca="false">$B$33</f>
        <v>Ibrahim</v>
      </c>
      <c r="C153" s="82"/>
      <c r="D153" s="82"/>
      <c r="E153" s="82"/>
      <c r="F153" s="82"/>
      <c r="G153" s="145" t="s">
        <v>278</v>
      </c>
      <c r="H153" s="145"/>
      <c r="I153" s="145"/>
      <c r="J153" s="145"/>
      <c r="K153" s="145"/>
      <c r="L153" s="145"/>
      <c r="M153" s="145"/>
      <c r="N153" s="146"/>
      <c r="O153" s="146"/>
      <c r="P153" s="146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</row>
    <row r="154" customFormat="false" ht="27.75" hidden="false" customHeight="true" outlineLevel="0" collapsed="false">
      <c r="B154" s="82" t="str">
        <f aca="false">$B$33</f>
        <v>Ibrahim</v>
      </c>
      <c r="C154" s="82"/>
      <c r="D154" s="82"/>
      <c r="E154" s="82"/>
      <c r="F154" s="82"/>
      <c r="G154" s="145" t="s">
        <v>279</v>
      </c>
      <c r="H154" s="145"/>
      <c r="I154" s="145"/>
      <c r="J154" s="145"/>
      <c r="K154" s="145"/>
      <c r="L154" s="145"/>
      <c r="M154" s="145"/>
      <c r="N154" s="146"/>
      <c r="O154" s="146"/>
      <c r="P154" s="146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</row>
    <row r="155" customFormat="false" ht="27.75" hidden="false" customHeight="true" outlineLevel="0" collapsed="false">
      <c r="B155" s="82" t="str">
        <f aca="false">$B$33</f>
        <v>Ibrahim</v>
      </c>
      <c r="C155" s="82"/>
      <c r="D155" s="82"/>
      <c r="E155" s="82"/>
      <c r="F155" s="82"/>
      <c r="G155" s="145" t="s">
        <v>280</v>
      </c>
      <c r="H155" s="145"/>
      <c r="I155" s="145"/>
      <c r="J155" s="145"/>
      <c r="K155" s="145"/>
      <c r="L155" s="145"/>
      <c r="M155" s="145"/>
      <c r="N155" s="146"/>
      <c r="O155" s="146"/>
      <c r="P155" s="146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</row>
    <row r="156" customFormat="false" ht="27.75" hidden="false" customHeight="true" outlineLevel="0" collapsed="false">
      <c r="B156" s="82" t="str">
        <f aca="false">$B$33</f>
        <v>Ibrahim</v>
      </c>
      <c r="C156" s="82"/>
      <c r="D156" s="82"/>
      <c r="E156" s="82"/>
      <c r="F156" s="82"/>
      <c r="G156" s="145" t="s">
        <v>281</v>
      </c>
      <c r="H156" s="145"/>
      <c r="I156" s="145"/>
      <c r="J156" s="145"/>
      <c r="K156" s="145"/>
      <c r="L156" s="145"/>
      <c r="M156" s="145"/>
      <c r="N156" s="146"/>
      <c r="O156" s="146"/>
      <c r="P156" s="146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</row>
    <row r="157" customFormat="false" ht="27.75" hidden="false" customHeight="true" outlineLevel="0" collapsed="false">
      <c r="B157" s="82" t="str">
        <f aca="false">$B$33</f>
        <v>Ibrahim</v>
      </c>
      <c r="C157" s="82"/>
      <c r="D157" s="82"/>
      <c r="E157" s="82"/>
      <c r="F157" s="82"/>
      <c r="G157" s="145" t="s">
        <v>282</v>
      </c>
      <c r="H157" s="145"/>
      <c r="I157" s="145"/>
      <c r="J157" s="145"/>
      <c r="K157" s="145"/>
      <c r="L157" s="145"/>
      <c r="M157" s="145"/>
      <c r="N157" s="146"/>
      <c r="O157" s="146"/>
      <c r="P157" s="146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</row>
    <row r="158" customFormat="false" ht="27.75" hidden="false" customHeight="true" outlineLevel="0" collapsed="false">
      <c r="B158" s="82" t="str">
        <f aca="false">$B$34</f>
        <v>Khozema</v>
      </c>
      <c r="C158" s="82"/>
      <c r="D158" s="82"/>
      <c r="E158" s="82"/>
      <c r="F158" s="82"/>
      <c r="G158" s="145" t="s">
        <v>277</v>
      </c>
      <c r="H158" s="145"/>
      <c r="I158" s="145"/>
      <c r="J158" s="145"/>
      <c r="K158" s="145"/>
      <c r="L158" s="145"/>
      <c r="M158" s="145"/>
      <c r="N158" s="146"/>
      <c r="O158" s="146"/>
      <c r="P158" s="146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</row>
    <row r="159" customFormat="false" ht="27.75" hidden="false" customHeight="true" outlineLevel="0" collapsed="false">
      <c r="B159" s="82" t="str">
        <f aca="false">$B$34</f>
        <v>Khozema</v>
      </c>
      <c r="C159" s="82"/>
      <c r="D159" s="82"/>
      <c r="E159" s="82"/>
      <c r="F159" s="82"/>
      <c r="G159" s="145" t="s">
        <v>278</v>
      </c>
      <c r="H159" s="145"/>
      <c r="I159" s="145"/>
      <c r="J159" s="145"/>
      <c r="K159" s="145"/>
      <c r="L159" s="145"/>
      <c r="M159" s="145"/>
      <c r="N159" s="146"/>
      <c r="O159" s="146"/>
      <c r="P159" s="146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</row>
    <row r="160" customFormat="false" ht="27.75" hidden="false" customHeight="true" outlineLevel="0" collapsed="false">
      <c r="B160" s="82" t="str">
        <f aca="false">$B$34</f>
        <v>Khozema</v>
      </c>
      <c r="C160" s="82"/>
      <c r="D160" s="82"/>
      <c r="E160" s="82"/>
      <c r="F160" s="82"/>
      <c r="G160" s="145" t="s">
        <v>279</v>
      </c>
      <c r="H160" s="145"/>
      <c r="I160" s="145"/>
      <c r="J160" s="145"/>
      <c r="K160" s="145"/>
      <c r="L160" s="145"/>
      <c r="M160" s="145"/>
      <c r="N160" s="146"/>
      <c r="O160" s="146"/>
      <c r="P160" s="146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</row>
    <row r="161" customFormat="false" ht="27.75" hidden="false" customHeight="true" outlineLevel="0" collapsed="false">
      <c r="B161" s="82" t="str">
        <f aca="false">$B$34</f>
        <v>Khozema</v>
      </c>
      <c r="C161" s="82"/>
      <c r="D161" s="82"/>
      <c r="E161" s="82"/>
      <c r="F161" s="82"/>
      <c r="G161" s="145" t="s">
        <v>280</v>
      </c>
      <c r="H161" s="145"/>
      <c r="I161" s="145"/>
      <c r="J161" s="145"/>
      <c r="K161" s="145"/>
      <c r="L161" s="145"/>
      <c r="M161" s="145"/>
      <c r="N161" s="146"/>
      <c r="O161" s="146"/>
      <c r="P161" s="146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</row>
    <row r="162" customFormat="false" ht="27.75" hidden="false" customHeight="true" outlineLevel="0" collapsed="false">
      <c r="B162" s="82" t="str">
        <f aca="false">$B$34</f>
        <v>Khozema</v>
      </c>
      <c r="C162" s="82"/>
      <c r="D162" s="82"/>
      <c r="E162" s="82"/>
      <c r="F162" s="82"/>
      <c r="G162" s="145" t="s">
        <v>281</v>
      </c>
      <c r="H162" s="145"/>
      <c r="I162" s="145"/>
      <c r="J162" s="145"/>
      <c r="K162" s="145"/>
      <c r="L162" s="145"/>
      <c r="M162" s="145"/>
      <c r="N162" s="146"/>
      <c r="O162" s="146"/>
      <c r="P162" s="146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</row>
    <row r="163" customFormat="false" ht="27.75" hidden="false" customHeight="true" outlineLevel="0" collapsed="false">
      <c r="B163" s="82" t="str">
        <f aca="false">$B$34</f>
        <v>Khozema</v>
      </c>
      <c r="C163" s="82"/>
      <c r="D163" s="82"/>
      <c r="E163" s="82"/>
      <c r="F163" s="82"/>
      <c r="G163" s="145" t="s">
        <v>282</v>
      </c>
      <c r="H163" s="145"/>
      <c r="I163" s="145"/>
      <c r="J163" s="145"/>
      <c r="K163" s="145"/>
      <c r="L163" s="145"/>
      <c r="M163" s="145"/>
      <c r="N163" s="146"/>
      <c r="O163" s="146"/>
      <c r="P163" s="146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</row>
    <row r="164" customFormat="false" ht="27.75" hidden="false" customHeight="true" outlineLevel="0" collapsed="false">
      <c r="B164" s="82" t="str">
        <f aca="false">$B$35</f>
        <v>Layan</v>
      </c>
      <c r="C164" s="82"/>
      <c r="D164" s="82"/>
      <c r="E164" s="82"/>
      <c r="F164" s="82"/>
      <c r="G164" s="145" t="s">
        <v>277</v>
      </c>
      <c r="H164" s="145"/>
      <c r="I164" s="145"/>
      <c r="J164" s="145"/>
      <c r="K164" s="145"/>
      <c r="L164" s="145"/>
      <c r="M164" s="145"/>
      <c r="N164" s="146"/>
      <c r="O164" s="146"/>
      <c r="P164" s="146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</row>
    <row r="165" customFormat="false" ht="27.75" hidden="false" customHeight="true" outlineLevel="0" collapsed="false">
      <c r="B165" s="82" t="str">
        <f aca="false">$B$35</f>
        <v>Layan</v>
      </c>
      <c r="C165" s="82"/>
      <c r="D165" s="82"/>
      <c r="E165" s="82"/>
      <c r="F165" s="82"/>
      <c r="G165" s="145" t="s">
        <v>278</v>
      </c>
      <c r="H165" s="145"/>
      <c r="I165" s="145"/>
      <c r="J165" s="145"/>
      <c r="K165" s="145"/>
      <c r="L165" s="145"/>
      <c r="M165" s="145"/>
      <c r="N165" s="146"/>
      <c r="O165" s="146"/>
      <c r="P165" s="146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</row>
    <row r="166" customFormat="false" ht="27.75" hidden="false" customHeight="true" outlineLevel="0" collapsed="false">
      <c r="B166" s="82" t="str">
        <f aca="false">$B$35</f>
        <v>Layan</v>
      </c>
      <c r="C166" s="82"/>
      <c r="D166" s="82"/>
      <c r="E166" s="82"/>
      <c r="F166" s="82"/>
      <c r="G166" s="145" t="s">
        <v>279</v>
      </c>
      <c r="H166" s="145"/>
      <c r="I166" s="145"/>
      <c r="J166" s="145"/>
      <c r="K166" s="145"/>
      <c r="L166" s="145"/>
      <c r="M166" s="145"/>
      <c r="N166" s="146"/>
      <c r="O166" s="146"/>
      <c r="P166" s="146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</row>
    <row r="167" customFormat="false" ht="27.75" hidden="false" customHeight="true" outlineLevel="0" collapsed="false">
      <c r="B167" s="82" t="str">
        <f aca="false">$B$35</f>
        <v>Layan</v>
      </c>
      <c r="C167" s="82"/>
      <c r="D167" s="82"/>
      <c r="E167" s="82"/>
      <c r="F167" s="82"/>
      <c r="G167" s="145" t="s">
        <v>280</v>
      </c>
      <c r="H167" s="145"/>
      <c r="I167" s="145"/>
      <c r="J167" s="145"/>
      <c r="K167" s="145"/>
      <c r="L167" s="145"/>
      <c r="M167" s="145"/>
      <c r="N167" s="146"/>
      <c r="O167" s="146"/>
      <c r="P167" s="146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</row>
    <row r="168" customFormat="false" ht="27.75" hidden="false" customHeight="true" outlineLevel="0" collapsed="false">
      <c r="B168" s="82" t="str">
        <f aca="false">$B$35</f>
        <v>Layan</v>
      </c>
      <c r="C168" s="82"/>
      <c r="D168" s="82"/>
      <c r="E168" s="82"/>
      <c r="F168" s="82"/>
      <c r="G168" s="145" t="s">
        <v>281</v>
      </c>
      <c r="H168" s="145"/>
      <c r="I168" s="145"/>
      <c r="J168" s="145"/>
      <c r="K168" s="145"/>
      <c r="L168" s="145"/>
      <c r="M168" s="145"/>
      <c r="N168" s="146"/>
      <c r="O168" s="146"/>
      <c r="P168" s="146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</row>
    <row r="169" customFormat="false" ht="27.75" hidden="false" customHeight="true" outlineLevel="0" collapsed="false">
      <c r="B169" s="82" t="str">
        <f aca="false">$B$35</f>
        <v>Layan</v>
      </c>
      <c r="C169" s="82"/>
      <c r="D169" s="82"/>
      <c r="E169" s="82"/>
      <c r="F169" s="82"/>
      <c r="G169" s="145" t="s">
        <v>282</v>
      </c>
      <c r="H169" s="145"/>
      <c r="I169" s="145"/>
      <c r="J169" s="145"/>
      <c r="K169" s="145"/>
      <c r="L169" s="145"/>
      <c r="M169" s="145"/>
      <c r="N169" s="146"/>
      <c r="O169" s="146"/>
      <c r="P169" s="146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</row>
    <row r="170" customFormat="false" ht="27.75" hidden="false" customHeight="true" outlineLevel="0" collapsed="false">
      <c r="B170" s="82" t="str">
        <f aca="false">$B$36</f>
        <v>Rihab</v>
      </c>
      <c r="C170" s="82"/>
      <c r="D170" s="82"/>
      <c r="E170" s="82"/>
      <c r="F170" s="82"/>
      <c r="G170" s="145" t="s">
        <v>277</v>
      </c>
      <c r="H170" s="145"/>
      <c r="I170" s="145"/>
      <c r="J170" s="145"/>
      <c r="K170" s="145"/>
      <c r="L170" s="145"/>
      <c r="M170" s="145"/>
      <c r="N170" s="146"/>
      <c r="O170" s="146"/>
      <c r="P170" s="146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</row>
    <row r="171" customFormat="false" ht="27.75" hidden="false" customHeight="true" outlineLevel="0" collapsed="false">
      <c r="B171" s="82" t="str">
        <f aca="false">$B$36</f>
        <v>Rihab</v>
      </c>
      <c r="C171" s="82"/>
      <c r="D171" s="82"/>
      <c r="E171" s="82"/>
      <c r="F171" s="82"/>
      <c r="G171" s="145" t="s">
        <v>278</v>
      </c>
      <c r="H171" s="145"/>
      <c r="I171" s="145"/>
      <c r="J171" s="145"/>
      <c r="K171" s="145"/>
      <c r="L171" s="145"/>
      <c r="M171" s="145"/>
      <c r="N171" s="146"/>
      <c r="O171" s="146"/>
      <c r="P171" s="146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</row>
    <row r="172" customFormat="false" ht="27.75" hidden="false" customHeight="true" outlineLevel="0" collapsed="false">
      <c r="B172" s="82" t="str">
        <f aca="false">$B$36</f>
        <v>Rihab</v>
      </c>
      <c r="C172" s="82"/>
      <c r="D172" s="82"/>
      <c r="E172" s="82"/>
      <c r="F172" s="82"/>
      <c r="G172" s="145" t="s">
        <v>279</v>
      </c>
      <c r="H172" s="145"/>
      <c r="I172" s="145"/>
      <c r="J172" s="145"/>
      <c r="K172" s="145"/>
      <c r="L172" s="145"/>
      <c r="M172" s="145"/>
      <c r="N172" s="146"/>
      <c r="O172" s="146"/>
      <c r="P172" s="146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</row>
    <row r="173" customFormat="false" ht="27.75" hidden="false" customHeight="true" outlineLevel="0" collapsed="false">
      <c r="B173" s="82" t="str">
        <f aca="false">$B$36</f>
        <v>Rihab</v>
      </c>
      <c r="C173" s="82"/>
      <c r="D173" s="82"/>
      <c r="E173" s="82"/>
      <c r="F173" s="82"/>
      <c r="G173" s="145" t="s">
        <v>280</v>
      </c>
      <c r="H173" s="145"/>
      <c r="I173" s="145"/>
      <c r="J173" s="145"/>
      <c r="K173" s="145"/>
      <c r="L173" s="145"/>
      <c r="M173" s="145"/>
      <c r="N173" s="146"/>
      <c r="O173" s="146"/>
      <c r="P173" s="146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</row>
    <row r="174" customFormat="false" ht="27.75" hidden="false" customHeight="true" outlineLevel="0" collapsed="false">
      <c r="B174" s="82" t="str">
        <f aca="false">$B$36</f>
        <v>Rihab</v>
      </c>
      <c r="C174" s="82"/>
      <c r="D174" s="82"/>
      <c r="E174" s="82"/>
      <c r="F174" s="82"/>
      <c r="G174" s="145" t="s">
        <v>281</v>
      </c>
      <c r="H174" s="145"/>
      <c r="I174" s="145"/>
      <c r="J174" s="145"/>
      <c r="K174" s="145"/>
      <c r="L174" s="145"/>
      <c r="M174" s="145"/>
      <c r="N174" s="146"/>
      <c r="O174" s="146"/>
      <c r="P174" s="146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</row>
    <row r="175" customFormat="false" ht="27.75" hidden="false" customHeight="true" outlineLevel="0" collapsed="false">
      <c r="B175" s="82" t="str">
        <f aca="false">$B$36</f>
        <v>Rihab</v>
      </c>
      <c r="C175" s="82"/>
      <c r="D175" s="82"/>
      <c r="E175" s="82"/>
      <c r="F175" s="82"/>
      <c r="G175" s="145" t="s">
        <v>282</v>
      </c>
      <c r="H175" s="145"/>
      <c r="I175" s="145"/>
      <c r="J175" s="145"/>
      <c r="K175" s="145"/>
      <c r="L175" s="145"/>
      <c r="M175" s="145"/>
      <c r="N175" s="146"/>
      <c r="O175" s="146"/>
      <c r="P175" s="146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</row>
    <row r="176" customFormat="false" ht="27.75" hidden="false" customHeight="true" outlineLevel="0" collapsed="false">
      <c r="B176" s="82" t="str">
        <f aca="false">$B$37</f>
        <v>Saha</v>
      </c>
      <c r="C176" s="82"/>
      <c r="D176" s="82"/>
      <c r="E176" s="82"/>
      <c r="F176" s="82"/>
      <c r="G176" s="145" t="s">
        <v>277</v>
      </c>
      <c r="H176" s="145"/>
      <c r="I176" s="145"/>
      <c r="J176" s="145"/>
      <c r="K176" s="145"/>
      <c r="L176" s="145"/>
      <c r="M176" s="145"/>
      <c r="N176" s="146"/>
      <c r="O176" s="146"/>
      <c r="P176" s="146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</row>
    <row r="177" customFormat="false" ht="27.75" hidden="false" customHeight="true" outlineLevel="0" collapsed="false">
      <c r="B177" s="82" t="str">
        <f aca="false">$B$37</f>
        <v>Saha</v>
      </c>
      <c r="C177" s="82"/>
      <c r="D177" s="82"/>
      <c r="E177" s="82"/>
      <c r="F177" s="82"/>
      <c r="G177" s="145" t="s">
        <v>278</v>
      </c>
      <c r="H177" s="145"/>
      <c r="I177" s="145"/>
      <c r="J177" s="145"/>
      <c r="K177" s="145"/>
      <c r="L177" s="145"/>
      <c r="M177" s="145"/>
      <c r="N177" s="146"/>
      <c r="O177" s="146"/>
      <c r="P177" s="146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</row>
    <row r="178" customFormat="false" ht="27.75" hidden="false" customHeight="true" outlineLevel="0" collapsed="false">
      <c r="B178" s="82" t="str">
        <f aca="false">$B$37</f>
        <v>Saha</v>
      </c>
      <c r="C178" s="82"/>
      <c r="D178" s="82"/>
      <c r="E178" s="82"/>
      <c r="F178" s="82"/>
      <c r="G178" s="145" t="s">
        <v>279</v>
      </c>
      <c r="H178" s="145"/>
      <c r="I178" s="145"/>
      <c r="J178" s="145"/>
      <c r="K178" s="145"/>
      <c r="L178" s="145"/>
      <c r="M178" s="145"/>
      <c r="N178" s="146"/>
      <c r="O178" s="146"/>
      <c r="P178" s="146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</row>
    <row r="179" customFormat="false" ht="27.75" hidden="false" customHeight="true" outlineLevel="0" collapsed="false">
      <c r="B179" s="82" t="str">
        <f aca="false">$B$37</f>
        <v>Saha</v>
      </c>
      <c r="C179" s="82"/>
      <c r="D179" s="82"/>
      <c r="E179" s="82"/>
      <c r="F179" s="82"/>
      <c r="G179" s="145" t="s">
        <v>280</v>
      </c>
      <c r="H179" s="145"/>
      <c r="I179" s="145"/>
      <c r="J179" s="145"/>
      <c r="K179" s="145"/>
      <c r="L179" s="145"/>
      <c r="M179" s="145"/>
      <c r="N179" s="146"/>
      <c r="O179" s="146"/>
      <c r="P179" s="146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</row>
    <row r="180" customFormat="false" ht="27.75" hidden="false" customHeight="true" outlineLevel="0" collapsed="false">
      <c r="B180" s="82" t="str">
        <f aca="false">$B$37</f>
        <v>Saha</v>
      </c>
      <c r="C180" s="82"/>
      <c r="D180" s="82"/>
      <c r="E180" s="82"/>
      <c r="F180" s="82"/>
      <c r="G180" s="145" t="s">
        <v>281</v>
      </c>
      <c r="H180" s="145"/>
      <c r="I180" s="145"/>
      <c r="J180" s="145"/>
      <c r="K180" s="145"/>
      <c r="L180" s="145"/>
      <c r="M180" s="145"/>
      <c r="N180" s="146"/>
      <c r="O180" s="146"/>
      <c r="P180" s="146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</row>
    <row r="181" customFormat="false" ht="27.75" hidden="false" customHeight="true" outlineLevel="0" collapsed="false">
      <c r="B181" s="82" t="str">
        <f aca="false">$B$37</f>
        <v>Saha</v>
      </c>
      <c r="C181" s="82"/>
      <c r="D181" s="82"/>
      <c r="E181" s="82"/>
      <c r="F181" s="82"/>
      <c r="G181" s="145" t="s">
        <v>282</v>
      </c>
      <c r="H181" s="145"/>
      <c r="I181" s="145"/>
      <c r="J181" s="145"/>
      <c r="K181" s="145"/>
      <c r="L181" s="145"/>
      <c r="M181" s="145"/>
      <c r="N181" s="146"/>
      <c r="O181" s="146"/>
      <c r="P181" s="146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</row>
  </sheetData>
  <mergeCells count="583">
    <mergeCell ref="C2:AA2"/>
    <mergeCell ref="AE2:AK2"/>
    <mergeCell ref="C3:AA3"/>
    <mergeCell ref="AB3:AK3"/>
    <mergeCell ref="C4:AA4"/>
    <mergeCell ref="B8:M8"/>
    <mergeCell ref="O8:V8"/>
    <mergeCell ref="X8:AD8"/>
    <mergeCell ref="AF8:AM8"/>
    <mergeCell ref="B9:M9"/>
    <mergeCell ref="O9:V9"/>
    <mergeCell ref="X9:AD9"/>
    <mergeCell ref="AF9:AM9"/>
    <mergeCell ref="C11:AM11"/>
    <mergeCell ref="B12:G12"/>
    <mergeCell ref="I12:N12"/>
    <mergeCell ref="P12:U12"/>
    <mergeCell ref="W12:AA12"/>
    <mergeCell ref="AC12:AG12"/>
    <mergeCell ref="AI12:AM12"/>
    <mergeCell ref="B13:G13"/>
    <mergeCell ref="I13:N13"/>
    <mergeCell ref="P13:U13"/>
    <mergeCell ref="W13:AA13"/>
    <mergeCell ref="AC13:AG13"/>
    <mergeCell ref="AI13:AM13"/>
    <mergeCell ref="B14:G14"/>
    <mergeCell ref="I14:N14"/>
    <mergeCell ref="P14:U14"/>
    <mergeCell ref="W14:AA14"/>
    <mergeCell ref="AC14:AG14"/>
    <mergeCell ref="AI14:AM14"/>
    <mergeCell ref="C16:AM16"/>
    <mergeCell ref="B17:E17"/>
    <mergeCell ref="F17:J17"/>
    <mergeCell ref="K17:O17"/>
    <mergeCell ref="P17:T17"/>
    <mergeCell ref="U17:Z17"/>
    <mergeCell ref="AA17:AF17"/>
    <mergeCell ref="AG17:AM17"/>
    <mergeCell ref="B18:E18"/>
    <mergeCell ref="F18:J18"/>
    <mergeCell ref="K18:O18"/>
    <mergeCell ref="P18:T18"/>
    <mergeCell ref="U18:Z18"/>
    <mergeCell ref="AA18:AF18"/>
    <mergeCell ref="AG18:AM18"/>
    <mergeCell ref="B19:E19"/>
    <mergeCell ref="F19:J19"/>
    <mergeCell ref="K19:O19"/>
    <mergeCell ref="P19:T19"/>
    <mergeCell ref="U19:Z19"/>
    <mergeCell ref="AA19:AF19"/>
    <mergeCell ref="AG19:AM19"/>
    <mergeCell ref="B20:E20"/>
    <mergeCell ref="F20:J20"/>
    <mergeCell ref="K20:O20"/>
    <mergeCell ref="P20:T20"/>
    <mergeCell ref="U20:Z20"/>
    <mergeCell ref="AA20:AF20"/>
    <mergeCell ref="AG20:AM20"/>
    <mergeCell ref="B21:E21"/>
    <mergeCell ref="F21:J21"/>
    <mergeCell ref="K21:O21"/>
    <mergeCell ref="P21:T21"/>
    <mergeCell ref="U21:Z21"/>
    <mergeCell ref="AA21:AF21"/>
    <mergeCell ref="AG21:AM21"/>
    <mergeCell ref="B22:E22"/>
    <mergeCell ref="F22:J22"/>
    <mergeCell ref="K22:O22"/>
    <mergeCell ref="P22:T22"/>
    <mergeCell ref="U22:Z22"/>
    <mergeCell ref="AA22:AF22"/>
    <mergeCell ref="AG22:AM22"/>
    <mergeCell ref="B23:E23"/>
    <mergeCell ref="F23:J23"/>
    <mergeCell ref="K23:O23"/>
    <mergeCell ref="P23:T23"/>
    <mergeCell ref="U23:Z23"/>
    <mergeCell ref="AA23:AF23"/>
    <mergeCell ref="AG23:AM23"/>
    <mergeCell ref="B25:AM25"/>
    <mergeCell ref="B26:E26"/>
    <mergeCell ref="G26:J26"/>
    <mergeCell ref="L26:O26"/>
    <mergeCell ref="Q26:T26"/>
    <mergeCell ref="V26:Y26"/>
    <mergeCell ref="AA26:AD26"/>
    <mergeCell ref="AF26:AI26"/>
    <mergeCell ref="AK26:AM26"/>
    <mergeCell ref="C28:M28"/>
    <mergeCell ref="N28:AM28"/>
    <mergeCell ref="B29:G29"/>
    <mergeCell ref="H29:L29"/>
    <mergeCell ref="M29:Q29"/>
    <mergeCell ref="R29:U29"/>
    <mergeCell ref="V29:Y29"/>
    <mergeCell ref="Z29:AD29"/>
    <mergeCell ref="AE29:AH29"/>
    <mergeCell ref="AI29:AM29"/>
    <mergeCell ref="B30:G30"/>
    <mergeCell ref="H30:L30"/>
    <mergeCell ref="M30:Q30"/>
    <mergeCell ref="R30:U30"/>
    <mergeCell ref="V30:Y30"/>
    <mergeCell ref="Z30:AD30"/>
    <mergeCell ref="AE30:AH30"/>
    <mergeCell ref="AI30:AM30"/>
    <mergeCell ref="B31:G31"/>
    <mergeCell ref="H31:L31"/>
    <mergeCell ref="M31:Q31"/>
    <mergeCell ref="R31:U31"/>
    <mergeCell ref="V31:Y31"/>
    <mergeCell ref="Z31:AD31"/>
    <mergeCell ref="AE31:AH31"/>
    <mergeCell ref="AI31:AM31"/>
    <mergeCell ref="B32:G32"/>
    <mergeCell ref="H32:L32"/>
    <mergeCell ref="M32:Q32"/>
    <mergeCell ref="R32:U32"/>
    <mergeCell ref="V32:Y32"/>
    <mergeCell ref="Z32:AD32"/>
    <mergeCell ref="AE32:AH32"/>
    <mergeCell ref="AI32:AM32"/>
    <mergeCell ref="B33:G33"/>
    <mergeCell ref="H33:L33"/>
    <mergeCell ref="M33:Q33"/>
    <mergeCell ref="R33:U33"/>
    <mergeCell ref="V33:Y33"/>
    <mergeCell ref="Z33:AD33"/>
    <mergeCell ref="AE33:AH33"/>
    <mergeCell ref="AI33:AM33"/>
    <mergeCell ref="B34:G34"/>
    <mergeCell ref="H34:L34"/>
    <mergeCell ref="M34:Q34"/>
    <mergeCell ref="R34:U34"/>
    <mergeCell ref="V34:Y34"/>
    <mergeCell ref="Z34:AD34"/>
    <mergeCell ref="AE34:AH34"/>
    <mergeCell ref="AI34:AM34"/>
    <mergeCell ref="B35:G35"/>
    <mergeCell ref="H35:L35"/>
    <mergeCell ref="M35:Q35"/>
    <mergeCell ref="R35:U35"/>
    <mergeCell ref="V35:Y35"/>
    <mergeCell ref="Z35:AD35"/>
    <mergeCell ref="AE35:AH35"/>
    <mergeCell ref="AI35:AM35"/>
    <mergeCell ref="B36:G36"/>
    <mergeCell ref="H36:L36"/>
    <mergeCell ref="M36:Q36"/>
    <mergeCell ref="R36:U36"/>
    <mergeCell ref="V36:Y36"/>
    <mergeCell ref="Z36:AD36"/>
    <mergeCell ref="AE36:AH36"/>
    <mergeCell ref="AI36:AM36"/>
    <mergeCell ref="B37:G37"/>
    <mergeCell ref="H37:L37"/>
    <mergeCell ref="M37:Q37"/>
    <mergeCell ref="R37:U37"/>
    <mergeCell ref="V37:Y37"/>
    <mergeCell ref="Z37:AD37"/>
    <mergeCell ref="AE37:AH37"/>
    <mergeCell ref="AI37:AM37"/>
    <mergeCell ref="B38:G38"/>
    <mergeCell ref="H38:L38"/>
    <mergeCell ref="M38:Q38"/>
    <mergeCell ref="R38:U38"/>
    <mergeCell ref="V38:Y38"/>
    <mergeCell ref="Z38:AD38"/>
    <mergeCell ref="AE38:AH38"/>
    <mergeCell ref="AI38:AM38"/>
    <mergeCell ref="B39:AM39"/>
    <mergeCell ref="C42:K42"/>
    <mergeCell ref="L42:S42"/>
    <mergeCell ref="U42:AM42"/>
    <mergeCell ref="B45:K45"/>
    <mergeCell ref="M45:V45"/>
    <mergeCell ref="X45:AE45"/>
    <mergeCell ref="AG45:AM45"/>
    <mergeCell ref="B46:K46"/>
    <mergeCell ref="M46:V46"/>
    <mergeCell ref="X46:AE46"/>
    <mergeCell ref="AG46:AM46"/>
    <mergeCell ref="C48:AM48"/>
    <mergeCell ref="D49:J49"/>
    <mergeCell ref="N49:T49"/>
    <mergeCell ref="X49:AD49"/>
    <mergeCell ref="AH49:AM49"/>
    <mergeCell ref="C50:I50"/>
    <mergeCell ref="M50:S50"/>
    <mergeCell ref="W50:AC50"/>
    <mergeCell ref="AG50:AL50"/>
    <mergeCell ref="D53:X53"/>
    <mergeCell ref="Y53:AD53"/>
    <mergeCell ref="C54:I54"/>
    <mergeCell ref="K54:Q54"/>
    <mergeCell ref="S54:X54"/>
    <mergeCell ref="Z54:AE54"/>
    <mergeCell ref="AG54:AM54"/>
    <mergeCell ref="C55:F55"/>
    <mergeCell ref="G55:X55"/>
    <mergeCell ref="C57:S57"/>
    <mergeCell ref="T57:AM57"/>
    <mergeCell ref="B58:E58"/>
    <mergeCell ref="F58:I58"/>
    <mergeCell ref="J58:M58"/>
    <mergeCell ref="N58:Q58"/>
    <mergeCell ref="R58:U58"/>
    <mergeCell ref="V58:Y58"/>
    <mergeCell ref="Z58:AC58"/>
    <mergeCell ref="AD58:AG58"/>
    <mergeCell ref="AH58:AJ58"/>
    <mergeCell ref="AK58:AM58"/>
    <mergeCell ref="B59:E59"/>
    <mergeCell ref="F59:I59"/>
    <mergeCell ref="J59:M59"/>
    <mergeCell ref="N59:Q59"/>
    <mergeCell ref="R59:U59"/>
    <mergeCell ref="V59:Y59"/>
    <mergeCell ref="Z59:AC59"/>
    <mergeCell ref="AD59:AG59"/>
    <mergeCell ref="AH59:AJ59"/>
    <mergeCell ref="AK59:AM59"/>
    <mergeCell ref="B61:M61"/>
    <mergeCell ref="N61:R61"/>
    <mergeCell ref="S61:AC61"/>
    <mergeCell ref="AD61:AM61"/>
    <mergeCell ref="C62:M62"/>
    <mergeCell ref="N62:P62"/>
    <mergeCell ref="Q62:R62"/>
    <mergeCell ref="S62:AC62"/>
    <mergeCell ref="AD62:AM62"/>
    <mergeCell ref="C63:M63"/>
    <mergeCell ref="N63:P63"/>
    <mergeCell ref="Q63:R63"/>
    <mergeCell ref="S63:AC63"/>
    <mergeCell ref="AD63:AM63"/>
    <mergeCell ref="C64:M64"/>
    <mergeCell ref="N64:P64"/>
    <mergeCell ref="Q64:R64"/>
    <mergeCell ref="S64:AC64"/>
    <mergeCell ref="AD64:AM64"/>
    <mergeCell ref="C65:M65"/>
    <mergeCell ref="N65:P65"/>
    <mergeCell ref="Q65:R65"/>
    <mergeCell ref="S65:AC65"/>
    <mergeCell ref="AD65:AM65"/>
    <mergeCell ref="C66:M66"/>
    <mergeCell ref="N66:P66"/>
    <mergeCell ref="Q66:R66"/>
    <mergeCell ref="S66:AC66"/>
    <mergeCell ref="AD66:AM66"/>
    <mergeCell ref="C67:M67"/>
    <mergeCell ref="N67:P67"/>
    <mergeCell ref="Q67:R67"/>
    <mergeCell ref="S67:AC67"/>
    <mergeCell ref="AD67:AM67"/>
    <mergeCell ref="C68:M68"/>
    <mergeCell ref="N68:P68"/>
    <mergeCell ref="Q68:R68"/>
    <mergeCell ref="S68:AM68"/>
    <mergeCell ref="C70:AM70"/>
    <mergeCell ref="D71:S71"/>
    <mergeCell ref="X71:AL71"/>
    <mergeCell ref="C72:S74"/>
    <mergeCell ref="W72:AL74"/>
    <mergeCell ref="B78:K78"/>
    <mergeCell ref="L78:S78"/>
    <mergeCell ref="U78:AE78"/>
    <mergeCell ref="AF78:AM78"/>
    <mergeCell ref="B119:AM119"/>
    <mergeCell ref="C120:AM120"/>
    <mergeCell ref="B121:F121"/>
    <mergeCell ref="G121:K121"/>
    <mergeCell ref="L121:Q121"/>
    <mergeCell ref="R121:V121"/>
    <mergeCell ref="W121:Z121"/>
    <mergeCell ref="AA121:AF121"/>
    <mergeCell ref="AG121:AM121"/>
    <mergeCell ref="B122:F122"/>
    <mergeCell ref="G122:K122"/>
    <mergeCell ref="L122:Q122"/>
    <mergeCell ref="R122:V122"/>
    <mergeCell ref="W122:Z122"/>
    <mergeCell ref="AA122:AF122"/>
    <mergeCell ref="AG122:AM122"/>
    <mergeCell ref="B123:F123"/>
    <mergeCell ref="G123:K123"/>
    <mergeCell ref="L123:Q123"/>
    <mergeCell ref="R123:V123"/>
    <mergeCell ref="W123:Z123"/>
    <mergeCell ref="AA123:AF123"/>
    <mergeCell ref="AG123:AM123"/>
    <mergeCell ref="B124:F124"/>
    <mergeCell ref="G124:K124"/>
    <mergeCell ref="L124:Q124"/>
    <mergeCell ref="R124:V124"/>
    <mergeCell ref="W124:Z124"/>
    <mergeCell ref="AA124:AF124"/>
    <mergeCell ref="AG124:AM124"/>
    <mergeCell ref="B125:F125"/>
    <mergeCell ref="G125:K125"/>
    <mergeCell ref="L125:Q125"/>
    <mergeCell ref="R125:V125"/>
    <mergeCell ref="W125:Z125"/>
    <mergeCell ref="AA125:AF125"/>
    <mergeCell ref="AG125:AM125"/>
    <mergeCell ref="B126:F126"/>
    <mergeCell ref="G126:K126"/>
    <mergeCell ref="L126:Q126"/>
    <mergeCell ref="R126:V126"/>
    <mergeCell ref="W126:Z126"/>
    <mergeCell ref="AA126:AF126"/>
    <mergeCell ref="AG126:AM126"/>
    <mergeCell ref="B127:F127"/>
    <mergeCell ref="G127:K127"/>
    <mergeCell ref="L127:Q127"/>
    <mergeCell ref="R127:V127"/>
    <mergeCell ref="W127:Z127"/>
    <mergeCell ref="AA127:AF127"/>
    <mergeCell ref="AG127:AM127"/>
    <mergeCell ref="B128:F128"/>
    <mergeCell ref="G128:K128"/>
    <mergeCell ref="L128:Q128"/>
    <mergeCell ref="R128:V128"/>
    <mergeCell ref="W128:Z128"/>
    <mergeCell ref="AA128:AF128"/>
    <mergeCell ref="AG128:AM128"/>
    <mergeCell ref="B129:F129"/>
    <mergeCell ref="G129:K129"/>
    <mergeCell ref="L129:Q129"/>
    <mergeCell ref="R129:V129"/>
    <mergeCell ref="W129:Z129"/>
    <mergeCell ref="AA129:AF129"/>
    <mergeCell ref="AG129:AM129"/>
    <mergeCell ref="C131:AM131"/>
    <mergeCell ref="B133:F133"/>
    <mergeCell ref="G133:M133"/>
    <mergeCell ref="N133:P133"/>
    <mergeCell ref="Q133:AA133"/>
    <mergeCell ref="AB133:AM133"/>
    <mergeCell ref="B134:F134"/>
    <mergeCell ref="G134:M134"/>
    <mergeCell ref="N134:P134"/>
    <mergeCell ref="Q134:AA134"/>
    <mergeCell ref="AB134:AM134"/>
    <mergeCell ref="B135:F135"/>
    <mergeCell ref="G135:M135"/>
    <mergeCell ref="N135:P135"/>
    <mergeCell ref="Q135:AA135"/>
    <mergeCell ref="AB135:AM135"/>
    <mergeCell ref="B136:F136"/>
    <mergeCell ref="G136:M136"/>
    <mergeCell ref="N136:P136"/>
    <mergeCell ref="Q136:AA136"/>
    <mergeCell ref="AB136:AM136"/>
    <mergeCell ref="B137:F137"/>
    <mergeCell ref="G137:M137"/>
    <mergeCell ref="N137:P137"/>
    <mergeCell ref="Q137:AA137"/>
    <mergeCell ref="AB137:AM137"/>
    <mergeCell ref="B138:F138"/>
    <mergeCell ref="G138:M138"/>
    <mergeCell ref="N138:P138"/>
    <mergeCell ref="Q138:AA138"/>
    <mergeCell ref="AB138:AM138"/>
    <mergeCell ref="B139:F139"/>
    <mergeCell ref="G139:M139"/>
    <mergeCell ref="N139:P139"/>
    <mergeCell ref="Q139:AA139"/>
    <mergeCell ref="AB139:AM139"/>
    <mergeCell ref="B140:F140"/>
    <mergeCell ref="G140:M140"/>
    <mergeCell ref="N140:P140"/>
    <mergeCell ref="Q140:AA140"/>
    <mergeCell ref="AB140:AM140"/>
    <mergeCell ref="B141:F141"/>
    <mergeCell ref="G141:M141"/>
    <mergeCell ref="N141:P141"/>
    <mergeCell ref="Q141:AA141"/>
    <mergeCell ref="AB141:AM141"/>
    <mergeCell ref="B142:F142"/>
    <mergeCell ref="G142:M142"/>
    <mergeCell ref="N142:P142"/>
    <mergeCell ref="Q142:AA142"/>
    <mergeCell ref="AB142:AM142"/>
    <mergeCell ref="B143:F143"/>
    <mergeCell ref="G143:M143"/>
    <mergeCell ref="N143:P143"/>
    <mergeCell ref="Q143:AA143"/>
    <mergeCell ref="AB143:AM143"/>
    <mergeCell ref="B144:F144"/>
    <mergeCell ref="G144:M144"/>
    <mergeCell ref="N144:P144"/>
    <mergeCell ref="Q144:AA144"/>
    <mergeCell ref="AB144:AM144"/>
    <mergeCell ref="B145:F145"/>
    <mergeCell ref="G145:M145"/>
    <mergeCell ref="N145:P145"/>
    <mergeCell ref="Q145:AA145"/>
    <mergeCell ref="AB145:AM145"/>
    <mergeCell ref="B146:F146"/>
    <mergeCell ref="G146:M146"/>
    <mergeCell ref="N146:P146"/>
    <mergeCell ref="Q146:AA146"/>
    <mergeCell ref="AB146:AM146"/>
    <mergeCell ref="B147:F147"/>
    <mergeCell ref="G147:M147"/>
    <mergeCell ref="N147:P147"/>
    <mergeCell ref="Q147:AA147"/>
    <mergeCell ref="AB147:AM147"/>
    <mergeCell ref="B148:F148"/>
    <mergeCell ref="G148:M148"/>
    <mergeCell ref="N148:P148"/>
    <mergeCell ref="Q148:AA148"/>
    <mergeCell ref="AB148:AM148"/>
    <mergeCell ref="B149:F149"/>
    <mergeCell ref="G149:M149"/>
    <mergeCell ref="N149:P149"/>
    <mergeCell ref="Q149:AA149"/>
    <mergeCell ref="AB149:AM149"/>
    <mergeCell ref="B150:F150"/>
    <mergeCell ref="G150:M150"/>
    <mergeCell ref="N150:P150"/>
    <mergeCell ref="Q150:AA150"/>
    <mergeCell ref="AB150:AM150"/>
    <mergeCell ref="B151:F151"/>
    <mergeCell ref="G151:M151"/>
    <mergeCell ref="N151:P151"/>
    <mergeCell ref="Q151:AA151"/>
    <mergeCell ref="AB151:AM151"/>
    <mergeCell ref="B152:F152"/>
    <mergeCell ref="G152:M152"/>
    <mergeCell ref="N152:P152"/>
    <mergeCell ref="Q152:AA152"/>
    <mergeCell ref="AB152:AM152"/>
    <mergeCell ref="B153:F153"/>
    <mergeCell ref="G153:M153"/>
    <mergeCell ref="N153:P153"/>
    <mergeCell ref="Q153:AA153"/>
    <mergeCell ref="AB153:AM153"/>
    <mergeCell ref="B154:F154"/>
    <mergeCell ref="G154:M154"/>
    <mergeCell ref="N154:P154"/>
    <mergeCell ref="Q154:AA154"/>
    <mergeCell ref="AB154:AM154"/>
    <mergeCell ref="B155:F155"/>
    <mergeCell ref="G155:M155"/>
    <mergeCell ref="N155:P155"/>
    <mergeCell ref="Q155:AA155"/>
    <mergeCell ref="AB155:AM155"/>
    <mergeCell ref="B156:F156"/>
    <mergeCell ref="G156:M156"/>
    <mergeCell ref="N156:P156"/>
    <mergeCell ref="Q156:AA156"/>
    <mergeCell ref="AB156:AM156"/>
    <mergeCell ref="B157:F157"/>
    <mergeCell ref="G157:M157"/>
    <mergeCell ref="N157:P157"/>
    <mergeCell ref="Q157:AA157"/>
    <mergeCell ref="AB157:AM157"/>
    <mergeCell ref="B158:F158"/>
    <mergeCell ref="G158:M158"/>
    <mergeCell ref="N158:P158"/>
    <mergeCell ref="Q158:AA158"/>
    <mergeCell ref="AB158:AM158"/>
    <mergeCell ref="B159:F159"/>
    <mergeCell ref="G159:M159"/>
    <mergeCell ref="N159:P159"/>
    <mergeCell ref="Q159:AA159"/>
    <mergeCell ref="AB159:AM159"/>
    <mergeCell ref="B160:F160"/>
    <mergeCell ref="G160:M160"/>
    <mergeCell ref="N160:P160"/>
    <mergeCell ref="Q160:AA160"/>
    <mergeCell ref="AB160:AM160"/>
    <mergeCell ref="B161:F161"/>
    <mergeCell ref="G161:M161"/>
    <mergeCell ref="N161:P161"/>
    <mergeCell ref="Q161:AA161"/>
    <mergeCell ref="AB161:AM161"/>
    <mergeCell ref="B162:F162"/>
    <mergeCell ref="G162:M162"/>
    <mergeCell ref="N162:P162"/>
    <mergeCell ref="Q162:AA162"/>
    <mergeCell ref="AB162:AM162"/>
    <mergeCell ref="B163:F163"/>
    <mergeCell ref="G163:M163"/>
    <mergeCell ref="N163:P163"/>
    <mergeCell ref="Q163:AA163"/>
    <mergeCell ref="AB163:AM163"/>
    <mergeCell ref="B164:F164"/>
    <mergeCell ref="G164:M164"/>
    <mergeCell ref="N164:P164"/>
    <mergeCell ref="Q164:AA164"/>
    <mergeCell ref="AB164:AM164"/>
    <mergeCell ref="B165:F165"/>
    <mergeCell ref="G165:M165"/>
    <mergeCell ref="N165:P165"/>
    <mergeCell ref="Q165:AA165"/>
    <mergeCell ref="AB165:AM165"/>
    <mergeCell ref="B166:F166"/>
    <mergeCell ref="G166:M166"/>
    <mergeCell ref="N166:P166"/>
    <mergeCell ref="Q166:AA166"/>
    <mergeCell ref="AB166:AM166"/>
    <mergeCell ref="B167:F167"/>
    <mergeCell ref="G167:M167"/>
    <mergeCell ref="N167:P167"/>
    <mergeCell ref="Q167:AA167"/>
    <mergeCell ref="AB167:AM167"/>
    <mergeCell ref="B168:F168"/>
    <mergeCell ref="G168:M168"/>
    <mergeCell ref="N168:P168"/>
    <mergeCell ref="Q168:AA168"/>
    <mergeCell ref="AB168:AM168"/>
    <mergeCell ref="B169:F169"/>
    <mergeCell ref="G169:M169"/>
    <mergeCell ref="N169:P169"/>
    <mergeCell ref="Q169:AA169"/>
    <mergeCell ref="AB169:AM169"/>
    <mergeCell ref="B170:F170"/>
    <mergeCell ref="G170:M170"/>
    <mergeCell ref="N170:P170"/>
    <mergeCell ref="Q170:AA170"/>
    <mergeCell ref="AB170:AM170"/>
    <mergeCell ref="B171:F171"/>
    <mergeCell ref="G171:M171"/>
    <mergeCell ref="N171:P171"/>
    <mergeCell ref="Q171:AA171"/>
    <mergeCell ref="AB171:AM171"/>
    <mergeCell ref="B172:F172"/>
    <mergeCell ref="G172:M172"/>
    <mergeCell ref="N172:P172"/>
    <mergeCell ref="Q172:AA172"/>
    <mergeCell ref="AB172:AM172"/>
    <mergeCell ref="B173:F173"/>
    <mergeCell ref="G173:M173"/>
    <mergeCell ref="N173:P173"/>
    <mergeCell ref="Q173:AA173"/>
    <mergeCell ref="AB173:AM173"/>
    <mergeCell ref="B174:F174"/>
    <mergeCell ref="G174:M174"/>
    <mergeCell ref="N174:P174"/>
    <mergeCell ref="Q174:AA174"/>
    <mergeCell ref="AB174:AM174"/>
    <mergeCell ref="B175:F175"/>
    <mergeCell ref="G175:M175"/>
    <mergeCell ref="N175:P175"/>
    <mergeCell ref="Q175:AA175"/>
    <mergeCell ref="AB175:AM175"/>
    <mergeCell ref="B176:F176"/>
    <mergeCell ref="G176:M176"/>
    <mergeCell ref="N176:P176"/>
    <mergeCell ref="Q176:AA176"/>
    <mergeCell ref="AB176:AM176"/>
    <mergeCell ref="B177:F177"/>
    <mergeCell ref="G177:M177"/>
    <mergeCell ref="N177:P177"/>
    <mergeCell ref="Q177:AA177"/>
    <mergeCell ref="AB177:AM177"/>
    <mergeCell ref="B178:F178"/>
    <mergeCell ref="G178:M178"/>
    <mergeCell ref="N178:P178"/>
    <mergeCell ref="Q178:AA178"/>
    <mergeCell ref="AB178:AM178"/>
    <mergeCell ref="B179:F179"/>
    <mergeCell ref="G179:M179"/>
    <mergeCell ref="N179:P179"/>
    <mergeCell ref="Q179:AA179"/>
    <mergeCell ref="AB179:AM179"/>
    <mergeCell ref="B180:F180"/>
    <mergeCell ref="G180:M180"/>
    <mergeCell ref="N180:P180"/>
    <mergeCell ref="Q180:AA180"/>
    <mergeCell ref="AB180:AM180"/>
    <mergeCell ref="B181:F181"/>
    <mergeCell ref="G181:M181"/>
    <mergeCell ref="N181:P181"/>
    <mergeCell ref="Q181:AA181"/>
    <mergeCell ref="AB181:AM181"/>
  </mergeCells>
  <conditionalFormatting sqref="AE30:AE37">
    <cfRule type="cellIs" priority="2" operator="equal" aboveAverage="0" equalAverage="0" bottom="0" percent="0" rank="0" text="" dxfId="0">
      <formula>"GREEN"</formula>
    </cfRule>
    <cfRule type="cellIs" priority="3" operator="equal" aboveAverage="0" equalAverage="0" bottom="0" percent="0" rank="0" text="" dxfId="1">
      <formula>"YELLOW"</formula>
    </cfRule>
    <cfRule type="cellIs" priority="4" operator="equal" aboveAverage="0" equalAverage="0" bottom="0" percent="0" rank="0" text="" dxfId="2">
      <formula>"RED"</formula>
    </cfRule>
  </conditionalFormatting>
  <dataValidations count="3">
    <dataValidation allowBlank="true" errorStyle="stop" operator="between" showDropDown="false" showErrorMessage="false" showInputMessage="false" sqref="L42" type="list">
      <formula1>$B$30:$B$37</formula1>
      <formula2>0</formula2>
    </dataValidation>
    <dataValidation allowBlank="true" errorStyle="stop" operator="between" showDropDown="false" showErrorMessage="false" showInputMessage="false" sqref="L122:L129" type="list">
      <formula1>"Low lead volume,Low conversion,Low activity,Quality issues,Absence / leave,Other"</formula1>
      <formula2>0</formula2>
    </dataValidation>
    <dataValidation allowBlank="true" error="Enter a whole number from 1 to 10" errorStyle="stop" errorTitle="Score" operator="between" showDropDown="false" showErrorMessage="true" showInputMessage="false" sqref="N134:N181" type="whole">
      <formula1>1</formula1>
      <formula2>10</formula2>
    </dataValidation>
  </dataValidations>
  <printOptions headings="false" gridLines="false" gridLinesSet="true" horizontalCentered="true" verticalCentered="false"/>
  <pageMargins left="0.3" right="0.3" top="0.3" bottom="0.3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2026-10-03T09:40:25Z</dcterms:created>
  <dc:creator>openpyxl</dc:creator>
  <dc:description/>
  <dc:language>en-US</dc:language>
  <cp:lastModifiedBy/>
  <dcterms:modified xsi:type="dcterms:W3CDTF">2026-10-03T09:40:35Z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