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Setup" sheetId="2" state="visible" r:id="rId2"/>
    <sheet name="Daily" sheetId="3" state="visible" r:id="rId3"/>
    <sheet name="Sales" sheetId="4" state="visible" r:id="rId4"/>
    <sheet name="Weekly" sheetId="5" state="visible" r:id="rId5"/>
    <sheet name="Monthly" sheetId="6" state="visible" r:id="rId6"/>
    <sheet name="SkillCard" sheetId="7" state="visible" r:id="rId7"/>
    <sheet name="Log1_OneToOne" sheetId="8" state="visible" r:id="rId8"/>
    <sheet name="Log2_LostDeals" sheetId="9" state="visible" r:id="rId9"/>
    <sheet name="Log3_Refunds" sheetId="10" state="visible" r:id="rId10"/>
    <sheet name="Log4_Complaints" sheetId="11" state="visible" r:id="rId11"/>
    <sheet name="Log5_Discounts" sheetId="12" state="visible" r:id="rId12"/>
    <sheet name="Log6_SystemIssues" sheetId="13" state="visible" r:id="rId13"/>
    <sheet name="Log7_WhitePhone" sheetId="14" state="visible" r:id="rId14"/>
    <sheet name="Log8_Pending" sheetId="15" state="visible" r:id="rId15"/>
    <sheet name="Log9_AgentsBehind" sheetId="16" state="visible" r:id="rId16"/>
    <sheet name="Log10_Training" sheetId="17" state="visible" r:id="rId17"/>
    <sheet name="ChatIssues" sheetId="18" state="visible" r:id="rId18"/>
    <sheet name="Calendar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"/>
    <numFmt numFmtId="166" formatCode="#,##0.00;(#,##0.00);-"/>
    <numFmt numFmtId="167" formatCode="&quot;Week &quot;0"/>
    <numFmt numFmtId="168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1F3A5D"/>
      <sz val="14"/>
    </font>
    <font>
      <name val="Arial"/>
      <i val="1"/>
      <color rgb="005A6672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FFFFFF"/>
      <sz val="9"/>
    </font>
    <font>
      <name val="Arial"/>
      <b val="1"/>
      <color rgb="001F3A5D"/>
      <sz val="10"/>
    </font>
    <font>
      <name val="Arial"/>
      <i val="1"/>
      <color rgb="00C00000"/>
      <sz val="9"/>
    </font>
    <font>
      <name val="Arial"/>
      <b val="1"/>
      <sz val="9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A5D"/>
      </patternFill>
    </fill>
    <fill>
      <patternFill patternType="solid">
        <fgColor rgb="00FFFF00"/>
      </patternFill>
    </fill>
    <fill>
      <patternFill patternType="solid">
        <fgColor rgb="00E8EEF4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1" applyAlignment="1" pivotButton="0" quotePrefix="0" xfId="0">
      <alignment vertical="top"/>
    </xf>
    <xf numFmtId="165" fontId="7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166" fontId="7" fillId="3" borderId="1" applyAlignment="1" pivotButton="0" quotePrefix="0" xfId="0">
      <alignment vertical="top"/>
    </xf>
    <xf numFmtId="166" fontId="8" fillId="0" borderId="1" applyAlignment="1" pivotButton="0" quotePrefix="0" xfId="0">
      <alignment vertical="top"/>
    </xf>
    <xf numFmtId="0" fontId="9" fillId="2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vertical="top"/>
    </xf>
    <xf numFmtId="166" fontId="4" fillId="0" borderId="1" applyAlignment="1" pivotButton="0" quotePrefix="0" xfId="0">
      <alignment vertical="top"/>
    </xf>
    <xf numFmtId="165" fontId="8" fillId="0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167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5" fillId="0" borderId="0" pivotButton="0" quotePrefix="0" xfId="0"/>
    <xf numFmtId="0" fontId="10" fillId="4" borderId="0" pivotButton="0" quotePrefix="0" xfId="0"/>
    <xf numFmtId="0" fontId="0" fillId="4" borderId="0" pivotButton="0" quotePrefix="0" xfId="0"/>
    <xf numFmtId="168" fontId="8" fillId="0" borderId="1" applyAlignment="1" pivotButton="0" quotePrefix="0" xfId="0">
      <alignment vertical="top"/>
    </xf>
    <xf numFmtId="0" fontId="12" fillId="0" borderId="0" pivotButton="0" quotePrefix="0" xfId="0"/>
    <xf numFmtId="0" fontId="13" fillId="0" borderId="0" pivotButton="0" quotePrefix="0" xfId="0"/>
    <xf numFmtId="0" fontId="13" fillId="0" borderId="1" applyAlignment="1" pivotButton="0" quotePrefix="0" xfId="0">
      <alignment vertical="top"/>
    </xf>
    <xf numFmtId="0" fontId="10" fillId="0" borderId="0" pivotButton="0" quotePrefix="0" xfId="0"/>
    <xf numFmtId="165" fontId="7" fillId="0" borderId="1" applyAlignment="1" pivotButton="0" quotePrefix="0" xfId="0">
      <alignment vertical="top" wrapText="1"/>
    </xf>
    <xf numFmtId="0" fontId="11" fillId="0" borderId="0" pivotButton="0" quotePrefix="0" xfId="0"/>
    <xf numFmtId="166" fontId="7" fillId="0" borderId="1" applyAlignment="1" pivotButton="0" quotePrefix="0" xfId="0">
      <alignment vertical="top" wrapText="1"/>
    </xf>
    <xf numFmtId="165" fontId="8" fillId="2" borderId="1" applyAlignment="1" pivotButton="0" quotePrefix="0" xfId="0">
      <alignment vertical="top"/>
    </xf>
    <xf numFmtId="0" fontId="8" fillId="2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Claude</author>
  </authors>
  <commentList>
    <comment ref="D2" authorId="0" shapeId="0">
      <text>
        <t>Count not given on Day 1 (only the description). Enter the number of chats with issues.</t>
      </text>
    </comment>
    <comment ref="P2" authorId="0" shapeId="0">
      <text>
        <t>You said "yes". I entered 1 as the minimum count. Change if more than one issue.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1" t="inlineStr">
        <is>
          <t>Travnook Team Leader Tracker – One workbook for Forms 1, 2, 3 and 4</t>
        </is>
      </c>
    </row>
    <row r="2">
      <c r="A2" s="2" t="inlineStr">
        <is>
          <t>Type once in the daily sheets. Weekly (Form 3) and Monthly (Form 4) fill themselves.</t>
        </is>
      </c>
    </row>
    <row r="4">
      <c r="A4" s="3" t="inlineStr">
        <is>
          <t>HOW TO USE (daily, about 5 minutes)</t>
        </is>
      </c>
      <c r="B4" s="4" t="n"/>
    </row>
    <row r="5">
      <c r="A5" s="5" t="inlineStr">
        <is>
          <t>1</t>
        </is>
      </c>
      <c r="B5" s="6" t="inlineStr">
        <is>
          <t>Setup: enter the month start, the team target and each agent target (yellow cells). Do this once per month.</t>
        </is>
      </c>
    </row>
    <row r="6">
      <c r="A6" s="5" t="inlineStr">
        <is>
          <t>2</t>
        </is>
      </c>
      <c r="B6" s="6" t="inlineStr">
        <is>
          <t>Daily: one row per day = Form 1. Type the numbers in the blue cells.</t>
        </is>
      </c>
    </row>
    <row r="7">
      <c r="A7" s="5" t="inlineStr">
        <is>
          <t>3</t>
        </is>
      </c>
      <c r="B7" s="6" t="inlineStr">
        <is>
          <t>Sales: type each agent’s profit for the day. Weekly and Monthly achievement come from here.</t>
        </is>
      </c>
    </row>
    <row r="8">
      <c r="A8" s="5" t="inlineStr">
        <is>
          <t>4</t>
        </is>
      </c>
      <c r="B8" s="6" t="inlineStr">
        <is>
          <t>Log sheets (Log1 to Log10 and ChatIssues) = Form 2. Add one row per item on the day it happens.</t>
        </is>
      </c>
    </row>
    <row r="9">
      <c r="A9" s="5" t="inlineStr">
        <is>
          <t>5</t>
        </is>
      </c>
      <c r="B9" s="6" t="inlineStr">
        <is>
          <t>Weekly (Form 3) and Monthly (Form 4) calculate automatically. Only the yellow/blue input cells there (grey leads, top 3 actions, skill scores, summaries) are typed by you.</t>
        </is>
      </c>
    </row>
    <row r="10">
      <c r="A10" s="5" t="inlineStr">
        <is>
          <t>6</t>
        </is>
      </c>
      <c r="B10" s="6" t="inlineStr">
        <is>
          <t>Weekly has "Log check" rows. If Daily says 12 lost deals but Log2 has 11 rows it shows CHECK, so the forms never disagree.</t>
        </is>
      </c>
    </row>
    <row r="11">
      <c r="A11" s="3" t="inlineStr">
        <is>
          <t>COLOUR LEGEND</t>
        </is>
      </c>
      <c r="B11" s="4" t="n"/>
    </row>
    <row r="12">
      <c r="A12" s="7" t="inlineStr">
        <is>
          <t>Blue text</t>
        </is>
      </c>
      <c r="B12" s="6" t="inlineStr">
        <is>
          <t>Cells you type in (inputs).</t>
        </is>
      </c>
    </row>
    <row r="13">
      <c r="A13" s="5" t="inlineStr">
        <is>
          <t>Black text</t>
        </is>
      </c>
      <c r="B13" s="6" t="inlineStr">
        <is>
          <t>Formulas. Do not overwrite.</t>
        </is>
      </c>
    </row>
    <row r="14">
      <c r="A14" s="8" t="inlineStr">
        <is>
          <t>Yellow fill</t>
        </is>
      </c>
      <c r="B14" s="6" t="inlineStr">
        <is>
          <t>Needs your confirmation or an assumption I made (see the list below).</t>
        </is>
      </c>
    </row>
    <row r="15">
      <c r="A15" s="5" t="inlineStr">
        <is>
          <t>EXAMPLE ROW</t>
        </is>
      </c>
      <c r="B15" s="6" t="inlineStr">
        <is>
          <t>Daily row for 1-Oct-2026 and the Log1/Log2/Log6 rows are real Day 1 data and show the expected format.</t>
        </is>
      </c>
    </row>
    <row r="16">
      <c r="A16" s="3" t="inlineStr">
        <is>
          <t>ASSUMPTIONS / TO CONFIRM</t>
        </is>
      </c>
      <c r="B16" s="4" t="n"/>
    </row>
    <row r="17">
      <c r="A17" s="5" t="inlineStr">
        <is>
          <t>A</t>
        </is>
      </c>
      <c r="B17" s="6" t="inlineStr">
        <is>
          <t>October team target and agent targets are blank. I do not have confirmed figures. Enter them in Setup.</t>
        </is>
      </c>
    </row>
    <row r="18">
      <c r="A18" s="5" t="inlineStr">
        <is>
          <t>B</t>
        </is>
      </c>
      <c r="B18" s="6" t="inlineStr">
        <is>
          <t>Weeks run Monday to Saturday; Sunday is off (your Saturday weekly submission). Add public holidays in Setup. Week 1 (1 to 3 Oct) is a short week and its target is pro-rated by working days.</t>
        </is>
      </c>
    </row>
    <row r="19">
      <c r="A19" s="5" t="inlineStr">
        <is>
          <t>C</t>
        </is>
      </c>
      <c r="B19" s="6" t="inlineStr">
        <is>
          <t>Weekly target = monthly target ÷ working days in the month × working days in that week (your rule).</t>
        </is>
      </c>
    </row>
    <row r="20">
      <c r="A20" s="5" t="inlineStr">
        <is>
          <t>D</t>
        </is>
      </c>
      <c r="B20" s="6" t="inlineStr">
        <is>
          <t>Day 1: "Chats with issues" count was not given (you gave a description), so it is blank. "System issues" = 1 is my assumption for "yes".</t>
        </is>
      </c>
    </row>
    <row r="21">
      <c r="A21" s="5" t="inlineStr">
        <is>
          <t>E</t>
        </is>
      </c>
      <c r="B21" s="6" t="inlineStr">
        <is>
          <t>GREEN / YELLOW / RED on Monthly: GREEN = 100% or more, YELLOW = 70% to 99%, RED = below 70%. The 70% line is my suggestion, change it if you like.</t>
        </is>
      </c>
    </row>
    <row r="22">
      <c r="A22" s="5" t="inlineStr">
        <is>
          <t>F</t>
        </is>
      </c>
      <c r="B22" s="6" t="inlineStr">
        <is>
          <t>September achieved per agent is from your message of 1-Oct-2026. The agent figures add up to 170,337.37 against your stated team total of 170,339.88 (difference 2.51).</t>
        </is>
      </c>
    </row>
    <row r="23">
      <c r="A23" s="3" t="inlineStr">
        <is>
          <t>CODE KEYS (from the forms)</t>
        </is>
      </c>
      <c r="B23" s="4" t="n"/>
    </row>
    <row r="24">
      <c r="A24" s="5" t="inlineStr">
        <is>
          <t>Chat issue</t>
        </is>
      </c>
      <c r="B24" s="6" t="inlineStr">
        <is>
          <t>GT Greeting/tone · QL Qualification · PI Product info wrong · PQ Price/quotation error · OH Objection handling · NC No closing attempt · SR Slow response · NF No follow-up set · GC Grammar/clarity · PB Policy breach · OT Other</t>
        </is>
      </c>
    </row>
    <row r="25">
      <c r="A25" s="5" t="inlineStr">
        <is>
          <t>1:1 topic</t>
        </is>
      </c>
      <c r="B25" s="6" t="inlineStr">
        <is>
          <t>SK Sales skill · TP Target/performance · BH Behaviour · WB Wellbeing · OT Other</t>
        </is>
      </c>
    </row>
    <row r="26">
      <c r="A26" s="5" t="inlineStr">
        <is>
          <t>Lost reason</t>
        </is>
      </c>
      <c r="B26" s="6" t="inlineStr">
        <is>
          <t>PR Price too high · CM Chose competitor · NR No reply · TM Timing · BG Budget · NF Not a fit · PY Payment issue · OT Other</t>
        </is>
      </c>
    </row>
    <row r="27">
      <c r="A27" s="5" t="inlineStr">
        <is>
          <t>Refund reason</t>
        </is>
      </c>
      <c r="B27" s="6" t="inlineStr">
        <is>
          <t>CC Client changed mind · ND Service not delivered · WQ Wrong quotation · DP Duplicate payment · CO Complaint outcome · OT Other</t>
        </is>
      </c>
    </row>
    <row r="28">
      <c r="A28" s="5" t="inlineStr">
        <is>
          <t>Complaint cause</t>
        </is>
      </c>
      <c r="B28" s="6" t="inlineStr">
        <is>
          <t>AM Agent mistake · PG Process gap · SB System/bot · PO Product/operations · CU Client misunderstanding · OT Other</t>
        </is>
      </c>
    </row>
    <row r="29">
      <c r="A29" s="5" t="inlineStr">
        <is>
          <t>Discount reason</t>
        </is>
      </c>
      <c r="B29" s="6" t="inlineStr">
        <is>
          <t>CP Competitor price · BV Bulk/volume · LC Loyal client · CL Closing push · OT Other</t>
        </is>
      </c>
    </row>
    <row r="30">
      <c r="A30" s="5" t="inlineStr">
        <is>
          <t>System</t>
        </is>
      </c>
      <c r="B30" s="6" t="inlineStr">
        <is>
          <t>BOT Chat App Bot · CRM · DB Dashboard · LD Leads</t>
        </is>
      </c>
    </row>
    <row r="31">
      <c r="A31" s="5" t="inlineStr">
        <is>
          <t>Skill scale</t>
        </is>
      </c>
      <c r="B31" s="6" t="inlineStr">
        <is>
          <t>1 Unacceptable · 2 Very poor · 3 Poor · 4 Below average · 5 Average · 6 Above average · 7 Good · 8 Very good · 9 Excellent · 10 Outstanding</t>
        </is>
      </c>
    </row>
    <row r="32">
      <c r="A32" s="5" t="inlineStr">
        <is>
          <t>NEW MONTH</t>
        </is>
      </c>
      <c r="B32" s="6" t="inlineStr">
        <is>
          <t>Save a copy of this file, change the month start in Setup, clear the blue input cells and keep the Setup agent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  <col width="28" customWidth="1" min="4" max="4"/>
    <col width="3" customWidth="1" min="5" max="5"/>
    <col width="36" customWidth="1" min="6" max="6"/>
  </cols>
  <sheetData>
    <row r="1">
      <c r="A1" s="1" t="inlineStr">
        <is>
          <t>Setup – change once per month</t>
        </is>
      </c>
    </row>
    <row r="2">
      <c r="A2" s="2" t="inlineStr">
        <is>
          <t>Blue = type. Yellow = please confirm.</t>
        </is>
      </c>
    </row>
    <row r="3">
      <c r="A3" s="9" t="inlineStr">
        <is>
          <t>Team Leader</t>
        </is>
      </c>
      <c r="B3" s="10" t="inlineStr">
        <is>
          <t>Bindhya TB</t>
        </is>
      </c>
    </row>
    <row r="4">
      <c r="A4" s="9" t="inlineStr">
        <is>
          <t>Team</t>
        </is>
      </c>
      <c r="B4" s="10" t="inlineStr">
        <is>
          <t>Tourism &amp; Business</t>
        </is>
      </c>
    </row>
    <row r="5">
      <c r="A5" s="9" t="inlineStr">
        <is>
          <t>Month start (1st day)</t>
        </is>
      </c>
      <c r="B5" s="11" t="n">
        <v>46296</v>
      </c>
    </row>
    <row r="6">
      <c r="A6" s="9" t="inlineStr">
        <is>
          <t>Month</t>
        </is>
      </c>
      <c r="B6" s="12">
        <f>TEXT(B5,"mmmm yyyy")</f>
        <v/>
      </c>
    </row>
    <row r="7">
      <c r="A7" s="9" t="inlineStr">
        <is>
          <t>Team target this month (AED)</t>
        </is>
      </c>
      <c r="B7" s="13" t="n"/>
      <c r="C7" s="2" t="inlineStr">
        <is>
          <t>Team target is a business goal. It does not have to equal the sum of agent targets.</t>
        </is>
      </c>
    </row>
    <row r="8">
      <c r="A8" s="9" t="inlineStr">
        <is>
          <t>Working days in month</t>
        </is>
      </c>
      <c r="B8" s="12">
        <f>SUM(Calendar!D2:D32)</f>
        <v/>
      </c>
    </row>
    <row r="9">
      <c r="A9" s="9" t="inlineStr">
        <is>
          <t>Sum of agent targets (AED)</t>
        </is>
      </c>
      <c r="B9" s="14">
        <f>SUM(C13:C20)</f>
        <v/>
      </c>
    </row>
    <row r="12">
      <c r="A12" s="15" t="inlineStr">
        <is>
          <t>#</t>
        </is>
      </c>
      <c r="B12" s="15" t="inlineStr">
        <is>
          <t>Agent</t>
        </is>
      </c>
      <c r="C12" s="15" t="inlineStr">
        <is>
          <t>Target this month (AED)</t>
        </is>
      </c>
      <c r="D12" s="15" t="inlineStr">
        <is>
          <t>Previous month achieved (AED)</t>
        </is>
      </c>
      <c r="F12" s="15" t="inlineStr">
        <is>
          <t>Holidays / non-working days (type dates)</t>
        </is>
      </c>
    </row>
    <row r="13">
      <c r="A13" s="12" t="n">
        <v>1</v>
      </c>
      <c r="B13" s="10" t="inlineStr">
        <is>
          <t>Alshima</t>
        </is>
      </c>
      <c r="C13" s="13" t="n"/>
      <c r="D13" s="16" t="n">
        <v>5850</v>
      </c>
      <c r="F13" s="11" t="n"/>
    </row>
    <row r="14">
      <c r="A14" s="12" t="n">
        <v>2</v>
      </c>
      <c r="B14" s="10" t="inlineStr">
        <is>
          <t>Chaima</t>
        </is>
      </c>
      <c r="C14" s="13" t="n"/>
      <c r="D14" s="16" t="n">
        <v>21530</v>
      </c>
      <c r="F14" s="11" t="n"/>
    </row>
    <row r="15">
      <c r="A15" s="12" t="n">
        <v>3</v>
      </c>
      <c r="B15" s="10" t="inlineStr">
        <is>
          <t>Harinder</t>
        </is>
      </c>
      <c r="C15" s="13" t="n"/>
      <c r="D15" s="16" t="n">
        <v>19654.78</v>
      </c>
      <c r="F15" s="11" t="n"/>
    </row>
    <row r="16">
      <c r="A16" s="12" t="n">
        <v>4</v>
      </c>
      <c r="B16" s="10" t="inlineStr">
        <is>
          <t>Ibrahim</t>
        </is>
      </c>
      <c r="C16" s="13" t="n"/>
      <c r="D16" s="16" t="n">
        <v>23238.59</v>
      </c>
      <c r="F16" s="11" t="n"/>
    </row>
    <row r="17">
      <c r="A17" s="12" t="n">
        <v>5</v>
      </c>
      <c r="B17" s="10" t="inlineStr">
        <is>
          <t>Khozema</t>
        </is>
      </c>
      <c r="C17" s="13" t="n"/>
      <c r="D17" s="16" t="n">
        <v>17421</v>
      </c>
      <c r="F17" s="11" t="n"/>
    </row>
    <row r="18">
      <c r="A18" s="12" t="n">
        <v>6</v>
      </c>
      <c r="B18" s="10" t="inlineStr">
        <is>
          <t>Layan</t>
        </is>
      </c>
      <c r="C18" s="13" t="n"/>
      <c r="D18" s="16" t="n">
        <v>38161</v>
      </c>
      <c r="F18" s="11" t="n"/>
    </row>
    <row r="19">
      <c r="A19" s="12" t="n">
        <v>7</v>
      </c>
      <c r="B19" s="10" t="inlineStr">
        <is>
          <t>Rihab</t>
        </is>
      </c>
      <c r="C19" s="13" t="n"/>
      <c r="D19" s="16" t="n">
        <v>25140</v>
      </c>
      <c r="F19" s="11" t="n"/>
    </row>
    <row r="20">
      <c r="A20" s="12" t="n">
        <v>8</v>
      </c>
      <c r="B20" s="10" t="inlineStr">
        <is>
          <t>Saha</t>
        </is>
      </c>
      <c r="C20" s="13" t="n"/>
      <c r="D20" s="16" t="n">
        <v>19342</v>
      </c>
      <c r="F20" s="11" t="n"/>
    </row>
    <row r="21">
      <c r="B21" s="9" t="inlineStr">
        <is>
          <t>Total</t>
        </is>
      </c>
      <c r="C21" s="17">
        <f>SUM(C13:C20)</f>
        <v/>
      </c>
      <c r="D21" s="17">
        <f>SUM(D13:D20)</f>
        <v/>
      </c>
      <c r="F21" s="11" t="n"/>
    </row>
    <row r="22">
      <c r="D22" s="2" t="inlineStr">
        <is>
          <t>Previous month = September 2026, from your message of 1-Oct-2026. Agent sum 170,337.37 vs team total stated 170,339.88.</t>
        </is>
      </c>
      <c r="F22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9" customWidth="1" min="4" max="4"/>
    <col width="38" customWidth="1" min="5" max="5"/>
    <col width="9" customWidth="1" min="6" max="6"/>
    <col width="20" customWidth="1" min="7" max="7"/>
    <col width="9" customWidth="1" min="8" max="8"/>
    <col width="16" customWidth="1" min="9" max="9"/>
    <col width="16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26" customWidth="1" min="17" max="17"/>
    <col width="28" customWidth="1" min="18" max="18"/>
  </cols>
  <sheetData>
    <row r="1" ht="42" customHeight="1">
      <c r="A1" s="15" t="inlineStr">
        <is>
          <t>Date</t>
        </is>
      </c>
      <c r="B1" s="15" t="inlineStr">
        <is>
          <t>Day</t>
        </is>
      </c>
      <c r="C1" s="15" t="inlineStr">
        <is>
          <t>Chats reviewed</t>
        </is>
      </c>
      <c r="D1" s="15" t="inlineStr">
        <is>
          <t>Chats with issues</t>
        </is>
      </c>
      <c r="E1" s="15" t="inlineStr">
        <is>
          <t>Chat issue summary</t>
        </is>
      </c>
      <c r="F1" s="15" t="inlineStr">
        <is>
          <t>1:1 meetings held</t>
        </is>
      </c>
      <c r="G1" s="15" t="inlineStr">
        <is>
          <t>1:1 with</t>
        </is>
      </c>
      <c r="H1" s="15" t="inlineStr">
        <is>
          <t>Agents absent</t>
        </is>
      </c>
      <c r="I1" s="15" t="inlineStr">
        <is>
          <t>Absent names</t>
        </is>
      </c>
      <c r="J1" s="15" t="inlineStr">
        <is>
          <t>White phone holder</t>
        </is>
      </c>
      <c r="K1" s="15" t="inlineStr">
        <is>
          <t>Calls on white phone</t>
        </is>
      </c>
      <c r="L1" s="15" t="inlineStr">
        <is>
          <t>Lost deals</t>
        </is>
      </c>
      <c r="M1" s="15" t="inlineStr">
        <is>
          <t>Refunds</t>
        </is>
      </c>
      <c r="N1" s="15" t="inlineStr">
        <is>
          <t>Complaints / errors</t>
        </is>
      </c>
      <c r="O1" s="15" t="inlineStr">
        <is>
          <t>Discount requests</t>
        </is>
      </c>
      <c r="P1" s="15" t="inlineStr">
        <is>
          <t>System issues</t>
        </is>
      </c>
      <c r="Q1" s="15" t="inlineStr">
        <is>
          <t>System issue note</t>
        </is>
      </c>
      <c r="R1" s="15" t="inlineStr">
        <is>
          <t>Urgent for manager</t>
        </is>
      </c>
    </row>
    <row r="2">
      <c r="A2" s="18">
        <f>Calendar!A2</f>
        <v/>
      </c>
      <c r="B2" s="12">
        <f>Calendar!B2</f>
        <v/>
      </c>
      <c r="C2" s="10" t="n">
        <v>4</v>
      </c>
      <c r="D2" s="19" t="n"/>
      <c r="E2" s="20" t="inlineStr">
        <is>
          <t>Technical issue: Instagram and TikTok leads not counted as contact numbers; advertising leads - no potential leads</t>
        </is>
      </c>
      <c r="F2" s="10" t="n">
        <v>2</v>
      </c>
      <c r="G2" s="20" t="inlineStr">
        <is>
          <t>Khozema, Harinder</t>
        </is>
      </c>
      <c r="H2" s="10" t="n">
        <v>1</v>
      </c>
      <c r="I2" s="20" t="inlineStr">
        <is>
          <t>Chaima</t>
        </is>
      </c>
      <c r="J2" s="20" t="inlineStr">
        <is>
          <t>Not with us today</t>
        </is>
      </c>
      <c r="K2" s="10" t="n">
        <v>0</v>
      </c>
      <c r="L2" s="10" t="n">
        <v>12</v>
      </c>
      <c r="M2" s="10" t="n">
        <v>0</v>
      </c>
      <c r="N2" s="10" t="n">
        <v>0</v>
      </c>
      <c r="O2" s="10" t="n">
        <v>0</v>
      </c>
      <c r="P2" s="19" t="n">
        <v>1</v>
      </c>
      <c r="Q2" s="20" t="inlineStr">
        <is>
          <t>Technical and network issues</t>
        </is>
      </c>
      <c r="R2" s="20" t="n"/>
    </row>
    <row r="3">
      <c r="A3" s="18">
        <f>Calendar!A3</f>
        <v/>
      </c>
      <c r="B3" s="12">
        <f>Calendar!B3</f>
        <v/>
      </c>
      <c r="C3" s="10" t="n"/>
      <c r="D3" s="10" t="n"/>
      <c r="E3" s="20" t="n"/>
      <c r="F3" s="10" t="n"/>
      <c r="G3" s="20" t="n"/>
      <c r="H3" s="10" t="n"/>
      <c r="I3" s="20" t="n"/>
      <c r="J3" s="20" t="n"/>
      <c r="K3" s="10" t="n"/>
      <c r="L3" s="10" t="n"/>
      <c r="M3" s="10" t="n"/>
      <c r="N3" s="10" t="n"/>
      <c r="O3" s="10" t="n"/>
      <c r="P3" s="10" t="n"/>
      <c r="Q3" s="20" t="n"/>
      <c r="R3" s="20" t="n"/>
    </row>
    <row r="4">
      <c r="A4" s="18">
        <f>Calendar!A4</f>
        <v/>
      </c>
      <c r="B4" s="12">
        <f>Calendar!B4</f>
        <v/>
      </c>
      <c r="C4" s="10" t="n"/>
      <c r="D4" s="10" t="n"/>
      <c r="E4" s="20" t="n"/>
      <c r="F4" s="10" t="n"/>
      <c r="G4" s="20" t="n"/>
      <c r="H4" s="10" t="n"/>
      <c r="I4" s="20" t="n"/>
      <c r="J4" s="20" t="n"/>
      <c r="K4" s="10" t="n"/>
      <c r="L4" s="10" t="n"/>
      <c r="M4" s="10" t="n"/>
      <c r="N4" s="10" t="n"/>
      <c r="O4" s="10" t="n"/>
      <c r="P4" s="10" t="n"/>
      <c r="Q4" s="20" t="n"/>
      <c r="R4" s="20" t="n"/>
    </row>
    <row r="5">
      <c r="A5" s="18">
        <f>Calendar!A5</f>
        <v/>
      </c>
      <c r="B5" s="12">
        <f>Calendar!B5</f>
        <v/>
      </c>
      <c r="C5" s="10" t="n"/>
      <c r="D5" s="10" t="n"/>
      <c r="E5" s="20" t="n"/>
      <c r="F5" s="10" t="n"/>
      <c r="G5" s="20" t="n"/>
      <c r="H5" s="10" t="n"/>
      <c r="I5" s="20" t="n"/>
      <c r="J5" s="20" t="n"/>
      <c r="K5" s="10" t="n"/>
      <c r="L5" s="10" t="n"/>
      <c r="M5" s="10" t="n"/>
      <c r="N5" s="10" t="n"/>
      <c r="O5" s="10" t="n"/>
      <c r="P5" s="10" t="n"/>
      <c r="Q5" s="20" t="n"/>
      <c r="R5" s="20" t="n"/>
    </row>
    <row r="6">
      <c r="A6" s="18">
        <f>Calendar!A6</f>
        <v/>
      </c>
      <c r="B6" s="12">
        <f>Calendar!B6</f>
        <v/>
      </c>
      <c r="C6" s="10" t="n"/>
      <c r="D6" s="10" t="n"/>
      <c r="E6" s="20" t="n"/>
      <c r="F6" s="10" t="n"/>
      <c r="G6" s="20" t="n"/>
      <c r="H6" s="10" t="n"/>
      <c r="I6" s="20" t="n"/>
      <c r="J6" s="20" t="n"/>
      <c r="K6" s="10" t="n"/>
      <c r="L6" s="10" t="n"/>
      <c r="M6" s="10" t="n"/>
      <c r="N6" s="10" t="n"/>
      <c r="O6" s="10" t="n"/>
      <c r="P6" s="10" t="n"/>
      <c r="Q6" s="20" t="n"/>
      <c r="R6" s="20" t="n"/>
    </row>
    <row r="7">
      <c r="A7" s="18">
        <f>Calendar!A7</f>
        <v/>
      </c>
      <c r="B7" s="12">
        <f>Calendar!B7</f>
        <v/>
      </c>
      <c r="C7" s="10" t="n"/>
      <c r="D7" s="10" t="n"/>
      <c r="E7" s="20" t="n"/>
      <c r="F7" s="10" t="n"/>
      <c r="G7" s="20" t="n"/>
      <c r="H7" s="10" t="n"/>
      <c r="I7" s="20" t="n"/>
      <c r="J7" s="20" t="n"/>
      <c r="K7" s="10" t="n"/>
      <c r="L7" s="10" t="n"/>
      <c r="M7" s="10" t="n"/>
      <c r="N7" s="10" t="n"/>
      <c r="O7" s="10" t="n"/>
      <c r="P7" s="10" t="n"/>
      <c r="Q7" s="20" t="n"/>
      <c r="R7" s="20" t="n"/>
    </row>
    <row r="8">
      <c r="A8" s="18">
        <f>Calendar!A8</f>
        <v/>
      </c>
      <c r="B8" s="12">
        <f>Calendar!B8</f>
        <v/>
      </c>
      <c r="C8" s="10" t="n"/>
      <c r="D8" s="10" t="n"/>
      <c r="E8" s="20" t="n"/>
      <c r="F8" s="10" t="n"/>
      <c r="G8" s="20" t="n"/>
      <c r="H8" s="10" t="n"/>
      <c r="I8" s="20" t="n"/>
      <c r="J8" s="20" t="n"/>
      <c r="K8" s="10" t="n"/>
      <c r="L8" s="10" t="n"/>
      <c r="M8" s="10" t="n"/>
      <c r="N8" s="10" t="n"/>
      <c r="O8" s="10" t="n"/>
      <c r="P8" s="10" t="n"/>
      <c r="Q8" s="20" t="n"/>
      <c r="R8" s="20" t="n"/>
    </row>
    <row r="9">
      <c r="A9" s="18">
        <f>Calendar!A9</f>
        <v/>
      </c>
      <c r="B9" s="12">
        <f>Calendar!B9</f>
        <v/>
      </c>
      <c r="C9" s="10" t="n"/>
      <c r="D9" s="10" t="n"/>
      <c r="E9" s="20" t="n"/>
      <c r="F9" s="10" t="n"/>
      <c r="G9" s="20" t="n"/>
      <c r="H9" s="10" t="n"/>
      <c r="I9" s="20" t="n"/>
      <c r="J9" s="20" t="n"/>
      <c r="K9" s="10" t="n"/>
      <c r="L9" s="10" t="n"/>
      <c r="M9" s="10" t="n"/>
      <c r="N9" s="10" t="n"/>
      <c r="O9" s="10" t="n"/>
      <c r="P9" s="10" t="n"/>
      <c r="Q9" s="20" t="n"/>
      <c r="R9" s="20" t="n"/>
    </row>
    <row r="10">
      <c r="A10" s="18">
        <f>Calendar!A10</f>
        <v/>
      </c>
      <c r="B10" s="12">
        <f>Calendar!B10</f>
        <v/>
      </c>
      <c r="C10" s="10" t="n"/>
      <c r="D10" s="10" t="n"/>
      <c r="E10" s="20" t="n"/>
      <c r="F10" s="10" t="n"/>
      <c r="G10" s="20" t="n"/>
      <c r="H10" s="10" t="n"/>
      <c r="I10" s="20" t="n"/>
      <c r="J10" s="20" t="n"/>
      <c r="K10" s="10" t="n"/>
      <c r="L10" s="10" t="n"/>
      <c r="M10" s="10" t="n"/>
      <c r="N10" s="10" t="n"/>
      <c r="O10" s="10" t="n"/>
      <c r="P10" s="10" t="n"/>
      <c r="Q10" s="20" t="n"/>
      <c r="R10" s="20" t="n"/>
    </row>
    <row r="11">
      <c r="A11" s="18">
        <f>Calendar!A11</f>
        <v/>
      </c>
      <c r="B11" s="12">
        <f>Calendar!B11</f>
        <v/>
      </c>
      <c r="C11" s="10" t="n"/>
      <c r="D11" s="10" t="n"/>
      <c r="E11" s="20" t="n"/>
      <c r="F11" s="10" t="n"/>
      <c r="G11" s="20" t="n"/>
      <c r="H11" s="10" t="n"/>
      <c r="I11" s="20" t="n"/>
      <c r="J11" s="20" t="n"/>
      <c r="K11" s="10" t="n"/>
      <c r="L11" s="10" t="n"/>
      <c r="M11" s="10" t="n"/>
      <c r="N11" s="10" t="n"/>
      <c r="O11" s="10" t="n"/>
      <c r="P11" s="10" t="n"/>
      <c r="Q11" s="20" t="n"/>
      <c r="R11" s="20" t="n"/>
    </row>
    <row r="12">
      <c r="A12" s="18">
        <f>Calendar!A12</f>
        <v/>
      </c>
      <c r="B12" s="12">
        <f>Calendar!B12</f>
        <v/>
      </c>
      <c r="C12" s="10" t="n"/>
      <c r="D12" s="10" t="n"/>
      <c r="E12" s="20" t="n"/>
      <c r="F12" s="10" t="n"/>
      <c r="G12" s="20" t="n"/>
      <c r="H12" s="10" t="n"/>
      <c r="I12" s="20" t="n"/>
      <c r="J12" s="20" t="n"/>
      <c r="K12" s="10" t="n"/>
      <c r="L12" s="10" t="n"/>
      <c r="M12" s="10" t="n"/>
      <c r="N12" s="10" t="n"/>
      <c r="O12" s="10" t="n"/>
      <c r="P12" s="10" t="n"/>
      <c r="Q12" s="20" t="n"/>
      <c r="R12" s="20" t="n"/>
    </row>
    <row r="13">
      <c r="A13" s="18">
        <f>Calendar!A13</f>
        <v/>
      </c>
      <c r="B13" s="12">
        <f>Calendar!B13</f>
        <v/>
      </c>
      <c r="C13" s="10" t="n"/>
      <c r="D13" s="10" t="n"/>
      <c r="E13" s="20" t="n"/>
      <c r="F13" s="10" t="n"/>
      <c r="G13" s="20" t="n"/>
      <c r="H13" s="10" t="n"/>
      <c r="I13" s="20" t="n"/>
      <c r="J13" s="20" t="n"/>
      <c r="K13" s="10" t="n"/>
      <c r="L13" s="10" t="n"/>
      <c r="M13" s="10" t="n"/>
      <c r="N13" s="10" t="n"/>
      <c r="O13" s="10" t="n"/>
      <c r="P13" s="10" t="n"/>
      <c r="Q13" s="20" t="n"/>
      <c r="R13" s="20" t="n"/>
    </row>
    <row r="14">
      <c r="A14" s="18">
        <f>Calendar!A14</f>
        <v/>
      </c>
      <c r="B14" s="12">
        <f>Calendar!B14</f>
        <v/>
      </c>
      <c r="C14" s="10" t="n"/>
      <c r="D14" s="10" t="n"/>
      <c r="E14" s="20" t="n"/>
      <c r="F14" s="10" t="n"/>
      <c r="G14" s="20" t="n"/>
      <c r="H14" s="10" t="n"/>
      <c r="I14" s="20" t="n"/>
      <c r="J14" s="20" t="n"/>
      <c r="K14" s="10" t="n"/>
      <c r="L14" s="10" t="n"/>
      <c r="M14" s="10" t="n"/>
      <c r="N14" s="10" t="n"/>
      <c r="O14" s="10" t="n"/>
      <c r="P14" s="10" t="n"/>
      <c r="Q14" s="20" t="n"/>
      <c r="R14" s="20" t="n"/>
    </row>
    <row r="15">
      <c r="A15" s="18">
        <f>Calendar!A15</f>
        <v/>
      </c>
      <c r="B15" s="12">
        <f>Calendar!B15</f>
        <v/>
      </c>
      <c r="C15" s="10" t="n"/>
      <c r="D15" s="10" t="n"/>
      <c r="E15" s="20" t="n"/>
      <c r="F15" s="10" t="n"/>
      <c r="G15" s="20" t="n"/>
      <c r="H15" s="10" t="n"/>
      <c r="I15" s="20" t="n"/>
      <c r="J15" s="20" t="n"/>
      <c r="K15" s="10" t="n"/>
      <c r="L15" s="10" t="n"/>
      <c r="M15" s="10" t="n"/>
      <c r="N15" s="10" t="n"/>
      <c r="O15" s="10" t="n"/>
      <c r="P15" s="10" t="n"/>
      <c r="Q15" s="20" t="n"/>
      <c r="R15" s="20" t="n"/>
    </row>
    <row r="16">
      <c r="A16" s="18">
        <f>Calendar!A16</f>
        <v/>
      </c>
      <c r="B16" s="12">
        <f>Calendar!B16</f>
        <v/>
      </c>
      <c r="C16" s="10" t="n"/>
      <c r="D16" s="10" t="n"/>
      <c r="E16" s="20" t="n"/>
      <c r="F16" s="10" t="n"/>
      <c r="G16" s="20" t="n"/>
      <c r="H16" s="10" t="n"/>
      <c r="I16" s="20" t="n"/>
      <c r="J16" s="20" t="n"/>
      <c r="K16" s="10" t="n"/>
      <c r="L16" s="10" t="n"/>
      <c r="M16" s="10" t="n"/>
      <c r="N16" s="10" t="n"/>
      <c r="O16" s="10" t="n"/>
      <c r="P16" s="10" t="n"/>
      <c r="Q16" s="20" t="n"/>
      <c r="R16" s="20" t="n"/>
    </row>
    <row r="17">
      <c r="A17" s="18">
        <f>Calendar!A17</f>
        <v/>
      </c>
      <c r="B17" s="12">
        <f>Calendar!B17</f>
        <v/>
      </c>
      <c r="C17" s="10" t="n"/>
      <c r="D17" s="10" t="n"/>
      <c r="E17" s="20" t="n"/>
      <c r="F17" s="10" t="n"/>
      <c r="G17" s="20" t="n"/>
      <c r="H17" s="10" t="n"/>
      <c r="I17" s="20" t="n"/>
      <c r="J17" s="20" t="n"/>
      <c r="K17" s="10" t="n"/>
      <c r="L17" s="10" t="n"/>
      <c r="M17" s="10" t="n"/>
      <c r="N17" s="10" t="n"/>
      <c r="O17" s="10" t="n"/>
      <c r="P17" s="10" t="n"/>
      <c r="Q17" s="20" t="n"/>
      <c r="R17" s="20" t="n"/>
    </row>
    <row r="18">
      <c r="A18" s="18">
        <f>Calendar!A18</f>
        <v/>
      </c>
      <c r="B18" s="12">
        <f>Calendar!B18</f>
        <v/>
      </c>
      <c r="C18" s="10" t="n"/>
      <c r="D18" s="10" t="n"/>
      <c r="E18" s="20" t="n"/>
      <c r="F18" s="10" t="n"/>
      <c r="G18" s="20" t="n"/>
      <c r="H18" s="10" t="n"/>
      <c r="I18" s="20" t="n"/>
      <c r="J18" s="20" t="n"/>
      <c r="K18" s="10" t="n"/>
      <c r="L18" s="10" t="n"/>
      <c r="M18" s="10" t="n"/>
      <c r="N18" s="10" t="n"/>
      <c r="O18" s="10" t="n"/>
      <c r="P18" s="10" t="n"/>
      <c r="Q18" s="20" t="n"/>
      <c r="R18" s="20" t="n"/>
    </row>
    <row r="19">
      <c r="A19" s="18">
        <f>Calendar!A19</f>
        <v/>
      </c>
      <c r="B19" s="12">
        <f>Calendar!B19</f>
        <v/>
      </c>
      <c r="C19" s="10" t="n"/>
      <c r="D19" s="10" t="n"/>
      <c r="E19" s="20" t="n"/>
      <c r="F19" s="10" t="n"/>
      <c r="G19" s="20" t="n"/>
      <c r="H19" s="10" t="n"/>
      <c r="I19" s="20" t="n"/>
      <c r="J19" s="20" t="n"/>
      <c r="K19" s="10" t="n"/>
      <c r="L19" s="10" t="n"/>
      <c r="M19" s="10" t="n"/>
      <c r="N19" s="10" t="n"/>
      <c r="O19" s="10" t="n"/>
      <c r="P19" s="10" t="n"/>
      <c r="Q19" s="20" t="n"/>
      <c r="R19" s="20" t="n"/>
    </row>
    <row r="20">
      <c r="A20" s="18">
        <f>Calendar!A20</f>
        <v/>
      </c>
      <c r="B20" s="12">
        <f>Calendar!B20</f>
        <v/>
      </c>
      <c r="C20" s="10" t="n"/>
      <c r="D20" s="10" t="n"/>
      <c r="E20" s="20" t="n"/>
      <c r="F20" s="10" t="n"/>
      <c r="G20" s="20" t="n"/>
      <c r="H20" s="10" t="n"/>
      <c r="I20" s="20" t="n"/>
      <c r="J20" s="20" t="n"/>
      <c r="K20" s="10" t="n"/>
      <c r="L20" s="10" t="n"/>
      <c r="M20" s="10" t="n"/>
      <c r="N20" s="10" t="n"/>
      <c r="O20" s="10" t="n"/>
      <c r="P20" s="10" t="n"/>
      <c r="Q20" s="20" t="n"/>
      <c r="R20" s="20" t="n"/>
    </row>
    <row r="21">
      <c r="A21" s="18">
        <f>Calendar!A21</f>
        <v/>
      </c>
      <c r="B21" s="12">
        <f>Calendar!B21</f>
        <v/>
      </c>
      <c r="C21" s="10" t="n"/>
      <c r="D21" s="10" t="n"/>
      <c r="E21" s="20" t="n"/>
      <c r="F21" s="10" t="n"/>
      <c r="G21" s="20" t="n"/>
      <c r="H21" s="10" t="n"/>
      <c r="I21" s="20" t="n"/>
      <c r="J21" s="20" t="n"/>
      <c r="K21" s="10" t="n"/>
      <c r="L21" s="10" t="n"/>
      <c r="M21" s="10" t="n"/>
      <c r="N21" s="10" t="n"/>
      <c r="O21" s="10" t="n"/>
      <c r="P21" s="10" t="n"/>
      <c r="Q21" s="20" t="n"/>
      <c r="R21" s="20" t="n"/>
    </row>
    <row r="22">
      <c r="A22" s="18">
        <f>Calendar!A22</f>
        <v/>
      </c>
      <c r="B22" s="12">
        <f>Calendar!B22</f>
        <v/>
      </c>
      <c r="C22" s="10" t="n"/>
      <c r="D22" s="10" t="n"/>
      <c r="E22" s="20" t="n"/>
      <c r="F22" s="10" t="n"/>
      <c r="G22" s="20" t="n"/>
      <c r="H22" s="10" t="n"/>
      <c r="I22" s="20" t="n"/>
      <c r="J22" s="20" t="n"/>
      <c r="K22" s="10" t="n"/>
      <c r="L22" s="10" t="n"/>
      <c r="M22" s="10" t="n"/>
      <c r="N22" s="10" t="n"/>
      <c r="O22" s="10" t="n"/>
      <c r="P22" s="10" t="n"/>
      <c r="Q22" s="20" t="n"/>
      <c r="R22" s="20" t="n"/>
    </row>
    <row r="23">
      <c r="A23" s="18">
        <f>Calendar!A23</f>
        <v/>
      </c>
      <c r="B23" s="12">
        <f>Calendar!B23</f>
        <v/>
      </c>
      <c r="C23" s="10" t="n"/>
      <c r="D23" s="10" t="n"/>
      <c r="E23" s="20" t="n"/>
      <c r="F23" s="10" t="n"/>
      <c r="G23" s="20" t="n"/>
      <c r="H23" s="10" t="n"/>
      <c r="I23" s="20" t="n"/>
      <c r="J23" s="20" t="n"/>
      <c r="K23" s="10" t="n"/>
      <c r="L23" s="10" t="n"/>
      <c r="M23" s="10" t="n"/>
      <c r="N23" s="10" t="n"/>
      <c r="O23" s="10" t="n"/>
      <c r="P23" s="10" t="n"/>
      <c r="Q23" s="20" t="n"/>
      <c r="R23" s="20" t="n"/>
    </row>
    <row r="24">
      <c r="A24" s="18">
        <f>Calendar!A24</f>
        <v/>
      </c>
      <c r="B24" s="12">
        <f>Calendar!B24</f>
        <v/>
      </c>
      <c r="C24" s="10" t="n"/>
      <c r="D24" s="10" t="n"/>
      <c r="E24" s="20" t="n"/>
      <c r="F24" s="10" t="n"/>
      <c r="G24" s="20" t="n"/>
      <c r="H24" s="10" t="n"/>
      <c r="I24" s="20" t="n"/>
      <c r="J24" s="20" t="n"/>
      <c r="K24" s="10" t="n"/>
      <c r="L24" s="10" t="n"/>
      <c r="M24" s="10" t="n"/>
      <c r="N24" s="10" t="n"/>
      <c r="O24" s="10" t="n"/>
      <c r="P24" s="10" t="n"/>
      <c r="Q24" s="20" t="n"/>
      <c r="R24" s="20" t="n"/>
    </row>
    <row r="25">
      <c r="A25" s="18">
        <f>Calendar!A25</f>
        <v/>
      </c>
      <c r="B25" s="12">
        <f>Calendar!B25</f>
        <v/>
      </c>
      <c r="C25" s="10" t="n"/>
      <c r="D25" s="10" t="n"/>
      <c r="E25" s="20" t="n"/>
      <c r="F25" s="10" t="n"/>
      <c r="G25" s="20" t="n"/>
      <c r="H25" s="10" t="n"/>
      <c r="I25" s="20" t="n"/>
      <c r="J25" s="20" t="n"/>
      <c r="K25" s="10" t="n"/>
      <c r="L25" s="10" t="n"/>
      <c r="M25" s="10" t="n"/>
      <c r="N25" s="10" t="n"/>
      <c r="O25" s="10" t="n"/>
      <c r="P25" s="10" t="n"/>
      <c r="Q25" s="20" t="n"/>
      <c r="R25" s="20" t="n"/>
    </row>
    <row r="26">
      <c r="A26" s="18">
        <f>Calendar!A26</f>
        <v/>
      </c>
      <c r="B26" s="12">
        <f>Calendar!B26</f>
        <v/>
      </c>
      <c r="C26" s="10" t="n"/>
      <c r="D26" s="10" t="n"/>
      <c r="E26" s="20" t="n"/>
      <c r="F26" s="10" t="n"/>
      <c r="G26" s="20" t="n"/>
      <c r="H26" s="10" t="n"/>
      <c r="I26" s="20" t="n"/>
      <c r="J26" s="20" t="n"/>
      <c r="K26" s="10" t="n"/>
      <c r="L26" s="10" t="n"/>
      <c r="M26" s="10" t="n"/>
      <c r="N26" s="10" t="n"/>
      <c r="O26" s="10" t="n"/>
      <c r="P26" s="10" t="n"/>
      <c r="Q26" s="20" t="n"/>
      <c r="R26" s="20" t="n"/>
    </row>
    <row r="27">
      <c r="A27" s="18">
        <f>Calendar!A27</f>
        <v/>
      </c>
      <c r="B27" s="12">
        <f>Calendar!B27</f>
        <v/>
      </c>
      <c r="C27" s="10" t="n"/>
      <c r="D27" s="10" t="n"/>
      <c r="E27" s="20" t="n"/>
      <c r="F27" s="10" t="n"/>
      <c r="G27" s="20" t="n"/>
      <c r="H27" s="10" t="n"/>
      <c r="I27" s="20" t="n"/>
      <c r="J27" s="20" t="n"/>
      <c r="K27" s="10" t="n"/>
      <c r="L27" s="10" t="n"/>
      <c r="M27" s="10" t="n"/>
      <c r="N27" s="10" t="n"/>
      <c r="O27" s="10" t="n"/>
      <c r="P27" s="10" t="n"/>
      <c r="Q27" s="20" t="n"/>
      <c r="R27" s="20" t="n"/>
    </row>
    <row r="28">
      <c r="A28" s="18">
        <f>Calendar!A28</f>
        <v/>
      </c>
      <c r="B28" s="12">
        <f>Calendar!B28</f>
        <v/>
      </c>
      <c r="C28" s="10" t="n"/>
      <c r="D28" s="10" t="n"/>
      <c r="E28" s="20" t="n"/>
      <c r="F28" s="10" t="n"/>
      <c r="G28" s="20" t="n"/>
      <c r="H28" s="10" t="n"/>
      <c r="I28" s="20" t="n"/>
      <c r="J28" s="20" t="n"/>
      <c r="K28" s="10" t="n"/>
      <c r="L28" s="10" t="n"/>
      <c r="M28" s="10" t="n"/>
      <c r="N28" s="10" t="n"/>
      <c r="O28" s="10" t="n"/>
      <c r="P28" s="10" t="n"/>
      <c r="Q28" s="20" t="n"/>
      <c r="R28" s="20" t="n"/>
    </row>
    <row r="29">
      <c r="A29" s="18">
        <f>Calendar!A29</f>
        <v/>
      </c>
      <c r="B29" s="12">
        <f>Calendar!B29</f>
        <v/>
      </c>
      <c r="C29" s="10" t="n"/>
      <c r="D29" s="10" t="n"/>
      <c r="E29" s="20" t="n"/>
      <c r="F29" s="10" t="n"/>
      <c r="G29" s="20" t="n"/>
      <c r="H29" s="10" t="n"/>
      <c r="I29" s="20" t="n"/>
      <c r="J29" s="20" t="n"/>
      <c r="K29" s="10" t="n"/>
      <c r="L29" s="10" t="n"/>
      <c r="M29" s="10" t="n"/>
      <c r="N29" s="10" t="n"/>
      <c r="O29" s="10" t="n"/>
      <c r="P29" s="10" t="n"/>
      <c r="Q29" s="20" t="n"/>
      <c r="R29" s="20" t="n"/>
    </row>
    <row r="30">
      <c r="A30" s="18">
        <f>Calendar!A30</f>
        <v/>
      </c>
      <c r="B30" s="12">
        <f>Calendar!B30</f>
        <v/>
      </c>
      <c r="C30" s="10" t="n"/>
      <c r="D30" s="10" t="n"/>
      <c r="E30" s="20" t="n"/>
      <c r="F30" s="10" t="n"/>
      <c r="G30" s="20" t="n"/>
      <c r="H30" s="10" t="n"/>
      <c r="I30" s="20" t="n"/>
      <c r="J30" s="20" t="n"/>
      <c r="K30" s="10" t="n"/>
      <c r="L30" s="10" t="n"/>
      <c r="M30" s="10" t="n"/>
      <c r="N30" s="10" t="n"/>
      <c r="O30" s="10" t="n"/>
      <c r="P30" s="10" t="n"/>
      <c r="Q30" s="20" t="n"/>
      <c r="R30" s="20" t="n"/>
    </row>
    <row r="31">
      <c r="A31" s="18">
        <f>Calendar!A31</f>
        <v/>
      </c>
      <c r="B31" s="12">
        <f>Calendar!B31</f>
        <v/>
      </c>
      <c r="C31" s="10" t="n"/>
      <c r="D31" s="10" t="n"/>
      <c r="E31" s="20" t="n"/>
      <c r="F31" s="10" t="n"/>
      <c r="G31" s="20" t="n"/>
      <c r="H31" s="10" t="n"/>
      <c r="I31" s="20" t="n"/>
      <c r="J31" s="20" t="n"/>
      <c r="K31" s="10" t="n"/>
      <c r="L31" s="10" t="n"/>
      <c r="M31" s="10" t="n"/>
      <c r="N31" s="10" t="n"/>
      <c r="O31" s="10" t="n"/>
      <c r="P31" s="10" t="n"/>
      <c r="Q31" s="20" t="n"/>
      <c r="R31" s="20" t="n"/>
    </row>
    <row r="32">
      <c r="A32" s="18">
        <f>Calendar!A32</f>
        <v/>
      </c>
      <c r="B32" s="12">
        <f>Calendar!B32</f>
        <v/>
      </c>
      <c r="C32" s="10" t="n"/>
      <c r="D32" s="10" t="n"/>
      <c r="E32" s="20" t="n"/>
      <c r="F32" s="10" t="n"/>
      <c r="G32" s="20" t="n"/>
      <c r="H32" s="10" t="n"/>
      <c r="I32" s="20" t="n"/>
      <c r="J32" s="20" t="n"/>
      <c r="K32" s="10" t="n"/>
      <c r="L32" s="10" t="n"/>
      <c r="M32" s="10" t="n"/>
      <c r="N32" s="10" t="n"/>
      <c r="O32" s="10" t="n"/>
      <c r="P32" s="10" t="n"/>
      <c r="Q32" s="20" t="n"/>
      <c r="R32" s="20" t="n"/>
    </row>
    <row r="34">
      <c r="A34" s="9" t="inlineStr">
        <is>
          <t>TOTAL</t>
        </is>
      </c>
      <c r="C34" s="21">
        <f>SUM(C2:C32)</f>
        <v/>
      </c>
      <c r="D34" s="21">
        <f>SUM(D2:D32)</f>
        <v/>
      </c>
      <c r="F34" s="21">
        <f>SUM(F2:F32)</f>
        <v/>
      </c>
      <c r="H34" s="21">
        <f>SUM(H2:H32)</f>
        <v/>
      </c>
      <c r="K34" s="21">
        <f>SUM(K2:K32)</f>
        <v/>
      </c>
      <c r="L34" s="21">
        <f>SUM(L2:L32)</f>
        <v/>
      </c>
      <c r="M34" s="21">
        <f>SUM(M2:M32)</f>
        <v/>
      </c>
      <c r="N34" s="21">
        <f>SUM(N2:N32)</f>
        <v/>
      </c>
      <c r="O34" s="21">
        <f>SUM(O2:O32)</f>
        <v/>
      </c>
      <c r="P34" s="21">
        <f>SUM(P2:P32)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  <col width="15" customWidth="1" min="12" max="12"/>
  </cols>
  <sheetData>
    <row r="1" ht="30" customHeight="1">
      <c r="A1" s="15" t="inlineStr">
        <is>
          <t>Date</t>
        </is>
      </c>
      <c r="B1" s="15" t="inlineStr">
        <is>
          <t>Day</t>
        </is>
      </c>
      <c r="C1" s="15">
        <f>Setup!B13</f>
        <v/>
      </c>
      <c r="D1" s="15">
        <f>Setup!B14</f>
        <v/>
      </c>
      <c r="E1" s="15">
        <f>Setup!B15</f>
        <v/>
      </c>
      <c r="F1" s="15">
        <f>Setup!B16</f>
        <v/>
      </c>
      <c r="G1" s="15">
        <f>Setup!B17</f>
        <v/>
      </c>
      <c r="H1" s="15">
        <f>Setup!B18</f>
        <v/>
      </c>
      <c r="I1" s="15">
        <f>Setup!B19</f>
        <v/>
      </c>
      <c r="J1" s="15">
        <f>Setup!B20</f>
        <v/>
      </c>
      <c r="K1" s="15" t="inlineStr">
        <is>
          <t>Team total</t>
        </is>
      </c>
      <c r="L1" s="15" t="inlineStr">
        <is>
          <t>Cumulative</t>
        </is>
      </c>
      <c r="N1" s="2" t="inlineStr">
        <is>
          <t>Type each agent’s profit (AED) for the day. Day 1 (1-Oct) sales were not given, so it is blank.</t>
        </is>
      </c>
    </row>
    <row r="2">
      <c r="A2" s="18">
        <f>Calendar!A2</f>
        <v/>
      </c>
      <c r="B2" s="12">
        <f>Calendar!B2</f>
        <v/>
      </c>
      <c r="C2" s="16" t="n"/>
      <c r="D2" s="16" t="n"/>
      <c r="E2" s="16" t="n"/>
      <c r="F2" s="16" t="n"/>
      <c r="G2" s="16" t="n"/>
      <c r="H2" s="16" t="n"/>
      <c r="I2" s="16" t="n"/>
      <c r="J2" s="16" t="n"/>
      <c r="K2" s="14">
        <f>IF(A2="","",SUM(C2:J2))</f>
        <v/>
      </c>
      <c r="L2" s="14">
        <f>IF(A2="","",SUM($K$2:K2))</f>
        <v/>
      </c>
    </row>
    <row r="3">
      <c r="A3" s="18">
        <f>Calendar!A3</f>
        <v/>
      </c>
      <c r="B3" s="12">
        <f>Calendar!B3</f>
        <v/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4">
        <f>IF(A3="","",SUM(C3:J3))</f>
        <v/>
      </c>
      <c r="L3" s="14">
        <f>IF(A3="","",SUM($K$2:K3))</f>
        <v/>
      </c>
    </row>
    <row r="4">
      <c r="A4" s="18">
        <f>Calendar!A4</f>
        <v/>
      </c>
      <c r="B4" s="12">
        <f>Calendar!B4</f>
        <v/>
      </c>
      <c r="C4" s="16" t="n"/>
      <c r="D4" s="16" t="n"/>
      <c r="E4" s="16" t="n"/>
      <c r="F4" s="16" t="n"/>
      <c r="G4" s="16" t="n"/>
      <c r="H4" s="16" t="n"/>
      <c r="I4" s="16" t="n"/>
      <c r="J4" s="16" t="n"/>
      <c r="K4" s="14">
        <f>IF(A4="","",SUM(C4:J4))</f>
        <v/>
      </c>
      <c r="L4" s="14">
        <f>IF(A4="","",SUM($K$2:K4))</f>
        <v/>
      </c>
    </row>
    <row r="5">
      <c r="A5" s="18">
        <f>Calendar!A5</f>
        <v/>
      </c>
      <c r="B5" s="12">
        <f>Calendar!B5</f>
        <v/>
      </c>
      <c r="C5" s="16" t="n"/>
      <c r="D5" s="16" t="n"/>
      <c r="E5" s="16" t="n"/>
      <c r="F5" s="16" t="n"/>
      <c r="G5" s="16" t="n"/>
      <c r="H5" s="16" t="n"/>
      <c r="I5" s="16" t="n"/>
      <c r="J5" s="16" t="n"/>
      <c r="K5" s="14">
        <f>IF(A5="","",SUM(C5:J5))</f>
        <v/>
      </c>
      <c r="L5" s="14">
        <f>IF(A5="","",SUM($K$2:K5))</f>
        <v/>
      </c>
    </row>
    <row r="6">
      <c r="A6" s="18">
        <f>Calendar!A6</f>
        <v/>
      </c>
      <c r="B6" s="12">
        <f>Calendar!B6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4">
        <f>IF(A6="","",SUM(C6:J6))</f>
        <v/>
      </c>
      <c r="L6" s="14">
        <f>IF(A6="","",SUM($K$2:K6))</f>
        <v/>
      </c>
    </row>
    <row r="7">
      <c r="A7" s="18">
        <f>Calendar!A7</f>
        <v/>
      </c>
      <c r="B7" s="12">
        <f>Calendar!B7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4">
        <f>IF(A7="","",SUM(C7:J7))</f>
        <v/>
      </c>
      <c r="L7" s="14">
        <f>IF(A7="","",SUM($K$2:K7))</f>
        <v/>
      </c>
    </row>
    <row r="8">
      <c r="A8" s="18">
        <f>Calendar!A8</f>
        <v/>
      </c>
      <c r="B8" s="12">
        <f>Calendar!B8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4">
        <f>IF(A8="","",SUM(C8:J8))</f>
        <v/>
      </c>
      <c r="L8" s="14">
        <f>IF(A8="","",SUM($K$2:K8))</f>
        <v/>
      </c>
    </row>
    <row r="9">
      <c r="A9" s="18">
        <f>Calendar!A9</f>
        <v/>
      </c>
      <c r="B9" s="12">
        <f>Calendar!B9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4">
        <f>IF(A9="","",SUM(C9:J9))</f>
        <v/>
      </c>
      <c r="L9" s="14">
        <f>IF(A9="","",SUM($K$2:K9))</f>
        <v/>
      </c>
    </row>
    <row r="10">
      <c r="A10" s="18">
        <f>Calendar!A10</f>
        <v/>
      </c>
      <c r="B10" s="12">
        <f>Calendar!B10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4">
        <f>IF(A10="","",SUM(C10:J10))</f>
        <v/>
      </c>
      <c r="L10" s="14">
        <f>IF(A10="","",SUM($K$2:K10))</f>
        <v/>
      </c>
    </row>
    <row r="11">
      <c r="A11" s="18">
        <f>Calendar!A11</f>
        <v/>
      </c>
      <c r="B11" s="12">
        <f>Calendar!B11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4">
        <f>IF(A11="","",SUM(C11:J11))</f>
        <v/>
      </c>
      <c r="L11" s="14">
        <f>IF(A11="","",SUM($K$2:K11))</f>
        <v/>
      </c>
    </row>
    <row r="12">
      <c r="A12" s="18">
        <f>Calendar!A12</f>
        <v/>
      </c>
      <c r="B12" s="12">
        <f>Calendar!B12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4">
        <f>IF(A12="","",SUM(C12:J12))</f>
        <v/>
      </c>
      <c r="L12" s="14">
        <f>IF(A12="","",SUM($K$2:K12))</f>
        <v/>
      </c>
    </row>
    <row r="13">
      <c r="A13" s="18">
        <f>Calendar!A13</f>
        <v/>
      </c>
      <c r="B13" s="12">
        <f>Calendar!B13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4">
        <f>IF(A13="","",SUM(C13:J13))</f>
        <v/>
      </c>
      <c r="L13" s="14">
        <f>IF(A13="","",SUM($K$2:K13))</f>
        <v/>
      </c>
    </row>
    <row r="14">
      <c r="A14" s="18">
        <f>Calendar!A14</f>
        <v/>
      </c>
      <c r="B14" s="12">
        <f>Calendar!B14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4">
        <f>IF(A14="","",SUM(C14:J14))</f>
        <v/>
      </c>
      <c r="L14" s="14">
        <f>IF(A14="","",SUM($K$2:K14))</f>
        <v/>
      </c>
    </row>
    <row r="15">
      <c r="A15" s="18">
        <f>Calendar!A15</f>
        <v/>
      </c>
      <c r="B15" s="12">
        <f>Calendar!B15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4">
        <f>IF(A15="","",SUM(C15:J15))</f>
        <v/>
      </c>
      <c r="L15" s="14">
        <f>IF(A15="","",SUM($K$2:K15))</f>
        <v/>
      </c>
    </row>
    <row r="16">
      <c r="A16" s="18">
        <f>Calendar!A16</f>
        <v/>
      </c>
      <c r="B16" s="12">
        <f>Calendar!B16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4">
        <f>IF(A16="","",SUM(C16:J16))</f>
        <v/>
      </c>
      <c r="L16" s="14">
        <f>IF(A16="","",SUM($K$2:K16))</f>
        <v/>
      </c>
    </row>
    <row r="17">
      <c r="A17" s="18">
        <f>Calendar!A17</f>
        <v/>
      </c>
      <c r="B17" s="12">
        <f>Calendar!B17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4">
        <f>IF(A17="","",SUM(C17:J17))</f>
        <v/>
      </c>
      <c r="L17" s="14">
        <f>IF(A17="","",SUM($K$2:K17))</f>
        <v/>
      </c>
    </row>
    <row r="18">
      <c r="A18" s="18">
        <f>Calendar!A18</f>
        <v/>
      </c>
      <c r="B18" s="12">
        <f>Calendar!B18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4">
        <f>IF(A18="","",SUM(C18:J18))</f>
        <v/>
      </c>
      <c r="L18" s="14">
        <f>IF(A18="","",SUM($K$2:K18))</f>
        <v/>
      </c>
    </row>
    <row r="19">
      <c r="A19" s="18">
        <f>Calendar!A19</f>
        <v/>
      </c>
      <c r="B19" s="12">
        <f>Calendar!B19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4">
        <f>IF(A19="","",SUM(C19:J19))</f>
        <v/>
      </c>
      <c r="L19" s="14">
        <f>IF(A19="","",SUM($K$2:K19))</f>
        <v/>
      </c>
    </row>
    <row r="20">
      <c r="A20" s="18">
        <f>Calendar!A20</f>
        <v/>
      </c>
      <c r="B20" s="12">
        <f>Calendar!B20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4">
        <f>IF(A20="","",SUM(C20:J20))</f>
        <v/>
      </c>
      <c r="L20" s="14">
        <f>IF(A20="","",SUM($K$2:K20))</f>
        <v/>
      </c>
    </row>
    <row r="21">
      <c r="A21" s="18">
        <f>Calendar!A21</f>
        <v/>
      </c>
      <c r="B21" s="12">
        <f>Calendar!B21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4">
        <f>IF(A21="","",SUM(C21:J21))</f>
        <v/>
      </c>
      <c r="L21" s="14">
        <f>IF(A21="","",SUM($K$2:K21))</f>
        <v/>
      </c>
    </row>
    <row r="22">
      <c r="A22" s="18">
        <f>Calendar!A22</f>
        <v/>
      </c>
      <c r="B22" s="12">
        <f>Calendar!B22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4">
        <f>IF(A22="","",SUM(C22:J22))</f>
        <v/>
      </c>
      <c r="L22" s="14">
        <f>IF(A22="","",SUM($K$2:K22))</f>
        <v/>
      </c>
    </row>
    <row r="23">
      <c r="A23" s="18">
        <f>Calendar!A23</f>
        <v/>
      </c>
      <c r="B23" s="12">
        <f>Calendar!B23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4">
        <f>IF(A23="","",SUM(C23:J23))</f>
        <v/>
      </c>
      <c r="L23" s="14">
        <f>IF(A23="","",SUM($K$2:K23))</f>
        <v/>
      </c>
    </row>
    <row r="24">
      <c r="A24" s="18">
        <f>Calendar!A24</f>
        <v/>
      </c>
      <c r="B24" s="12">
        <f>Calendar!B24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4">
        <f>IF(A24="","",SUM(C24:J24))</f>
        <v/>
      </c>
      <c r="L24" s="14">
        <f>IF(A24="","",SUM($K$2:K24))</f>
        <v/>
      </c>
    </row>
    <row r="25">
      <c r="A25" s="18">
        <f>Calendar!A25</f>
        <v/>
      </c>
      <c r="B25" s="12">
        <f>Calendar!B25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4">
        <f>IF(A25="","",SUM(C25:J25))</f>
        <v/>
      </c>
      <c r="L25" s="14">
        <f>IF(A25="","",SUM($K$2:K25))</f>
        <v/>
      </c>
    </row>
    <row r="26">
      <c r="A26" s="18">
        <f>Calendar!A26</f>
        <v/>
      </c>
      <c r="B26" s="12">
        <f>Calendar!B26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4">
        <f>IF(A26="","",SUM(C26:J26))</f>
        <v/>
      </c>
      <c r="L26" s="14">
        <f>IF(A26="","",SUM($K$2:K26))</f>
        <v/>
      </c>
    </row>
    <row r="27">
      <c r="A27" s="18">
        <f>Calendar!A27</f>
        <v/>
      </c>
      <c r="B27" s="12">
        <f>Calendar!B27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4">
        <f>IF(A27="","",SUM(C27:J27))</f>
        <v/>
      </c>
      <c r="L27" s="14">
        <f>IF(A27="","",SUM($K$2:K27))</f>
        <v/>
      </c>
    </row>
    <row r="28">
      <c r="A28" s="18">
        <f>Calendar!A28</f>
        <v/>
      </c>
      <c r="B28" s="12">
        <f>Calendar!B28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4">
        <f>IF(A28="","",SUM(C28:J28))</f>
        <v/>
      </c>
      <c r="L28" s="14">
        <f>IF(A28="","",SUM($K$2:K28))</f>
        <v/>
      </c>
    </row>
    <row r="29">
      <c r="A29" s="18">
        <f>Calendar!A29</f>
        <v/>
      </c>
      <c r="B29" s="12">
        <f>Calendar!B29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4">
        <f>IF(A29="","",SUM(C29:J29))</f>
        <v/>
      </c>
      <c r="L29" s="14">
        <f>IF(A29="","",SUM($K$2:K29))</f>
        <v/>
      </c>
    </row>
    <row r="30">
      <c r="A30" s="18">
        <f>Calendar!A30</f>
        <v/>
      </c>
      <c r="B30" s="12">
        <f>Calendar!B30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4">
        <f>IF(A30="","",SUM(C30:J30))</f>
        <v/>
      </c>
      <c r="L30" s="14">
        <f>IF(A30="","",SUM($K$2:K30))</f>
        <v/>
      </c>
    </row>
    <row r="31">
      <c r="A31" s="18">
        <f>Calendar!A31</f>
        <v/>
      </c>
      <c r="B31" s="12">
        <f>Calendar!B31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4">
        <f>IF(A31="","",SUM(C31:J31))</f>
        <v/>
      </c>
      <c r="L31" s="14">
        <f>IF(A31="","",SUM($K$2:K31))</f>
        <v/>
      </c>
    </row>
    <row r="32">
      <c r="A32" s="18">
        <f>Calendar!A32</f>
        <v/>
      </c>
      <c r="B32" s="12">
        <f>Calendar!B32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4">
        <f>IF(A32="","",SUM(C32:J32))</f>
        <v/>
      </c>
      <c r="L32" s="14">
        <f>IF(A32="","",SUM($K$2:K32))</f>
        <v/>
      </c>
    </row>
    <row r="34">
      <c r="A34" s="9" t="inlineStr">
        <is>
          <t>TOTAL</t>
        </is>
      </c>
      <c r="C34" s="17">
        <f>SUM(C2:C32)</f>
        <v/>
      </c>
      <c r="D34" s="17">
        <f>SUM(D2:D32)</f>
        <v/>
      </c>
      <c r="E34" s="17">
        <f>SUM(E2:E32)</f>
        <v/>
      </c>
      <c r="F34" s="17">
        <f>SUM(F2:F32)</f>
        <v/>
      </c>
      <c r="G34" s="17">
        <f>SUM(G2:G32)</f>
        <v/>
      </c>
      <c r="H34" s="17">
        <f>SUM(H2:H32)</f>
        <v/>
      </c>
      <c r="I34" s="17">
        <f>SUM(I2:I32)</f>
        <v/>
      </c>
      <c r="J34" s="17">
        <f>SUM(J2:J32)</f>
        <v/>
      </c>
      <c r="K34" s="17">
        <f>SUM(K2:K32)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Weekly Report – Form 3 (fills itself from Daily, Sales and the Logs)</t>
        </is>
      </c>
    </row>
    <row r="2">
      <c r="A2" s="2" t="inlineStr">
        <is>
          <t>Weeks run Mon–Sat. Blue cells are typed by you (grey leads and top 3 actions).</t>
        </is>
      </c>
    </row>
    <row r="3">
      <c r="A3" s="3" t="inlineStr">
        <is>
          <t>Week</t>
        </is>
      </c>
      <c r="B3" s="22" t="n">
        <v>1</v>
      </c>
      <c r="C3" s="22" t="n">
        <v>2</v>
      </c>
      <c r="D3" s="22" t="n">
        <v>3</v>
      </c>
      <c r="E3" s="22" t="n">
        <v>4</v>
      </c>
      <c r="F3" s="22" t="n">
        <v>5</v>
      </c>
      <c r="G3" s="23" t="inlineStr">
        <is>
          <t>Month</t>
        </is>
      </c>
    </row>
    <row r="4">
      <c r="A4" s="24" t="inlineStr">
        <is>
          <t>Week from</t>
        </is>
      </c>
      <c r="B4" s="18">
        <f>IF(COUNTIF(Calendar!$C$2:$C$32,B$3)=0,"",_xlfn.MINIFS(Calendar!$A$2:$A$32,Calendar!$C$2:$C$32,B$3))</f>
        <v/>
      </c>
      <c r="C4" s="18">
        <f>IF(COUNTIF(Calendar!$C$2:$C$32,C$3)=0,"",_xlfn.MINIFS(Calendar!$A$2:$A$32,Calendar!$C$2:$C$32,C$3))</f>
        <v/>
      </c>
      <c r="D4" s="18">
        <f>IF(COUNTIF(Calendar!$C$2:$C$32,D$3)=0,"",_xlfn.MINIFS(Calendar!$A$2:$A$32,Calendar!$C$2:$C$32,D$3))</f>
        <v/>
      </c>
      <c r="E4" s="18">
        <f>IF(COUNTIF(Calendar!$C$2:$C$32,E$3)=0,"",_xlfn.MINIFS(Calendar!$A$2:$A$32,Calendar!$C$2:$C$32,E$3))</f>
        <v/>
      </c>
      <c r="F4" s="18">
        <f>IF(COUNTIF(Calendar!$C$2:$C$32,F$3)=0,"",_xlfn.MINIFS(Calendar!$A$2:$A$32,Calendar!$C$2:$C$32,F$3))</f>
        <v/>
      </c>
      <c r="G4" s="18">
        <f>Setup!B5</f>
        <v/>
      </c>
    </row>
    <row r="5">
      <c r="A5" s="24" t="inlineStr">
        <is>
          <t>Week to</t>
        </is>
      </c>
      <c r="B5" s="18">
        <f>IF(COUNTIF(Calendar!$C$2:$C$32,B$3)=0,"",_xlfn.MAXIFS(Calendar!$A$2:$A$32,Calendar!$C$2:$C$32,B$3))</f>
        <v/>
      </c>
      <c r="C5" s="18">
        <f>IF(COUNTIF(Calendar!$C$2:$C$32,C$3)=0,"",_xlfn.MAXIFS(Calendar!$A$2:$A$32,Calendar!$C$2:$C$32,C$3))</f>
        <v/>
      </c>
      <c r="D5" s="18">
        <f>IF(COUNTIF(Calendar!$C$2:$C$32,D$3)=0,"",_xlfn.MAXIFS(Calendar!$A$2:$A$32,Calendar!$C$2:$C$32,D$3))</f>
        <v/>
      </c>
      <c r="E5" s="18">
        <f>IF(COUNTIF(Calendar!$C$2:$C$32,E$3)=0,"",_xlfn.MAXIFS(Calendar!$A$2:$A$32,Calendar!$C$2:$C$32,E$3))</f>
        <v/>
      </c>
      <c r="F5" s="18">
        <f>IF(COUNTIF(Calendar!$C$2:$C$32,F$3)=0,"",_xlfn.MAXIFS(Calendar!$A$2:$A$32,Calendar!$C$2:$C$32,F$3))</f>
        <v/>
      </c>
      <c r="G5" s="18">
        <f>EOMONTH(Setup!B5,0)</f>
        <v/>
      </c>
    </row>
    <row r="6">
      <c r="A6" s="24" t="inlineStr">
        <is>
          <t>Working days</t>
        </is>
      </c>
      <c r="B6" s="12">
        <f>SUMIFS(Calendar!$D$2:$D$32,Calendar!$C$2:$C$32,B$3)</f>
        <v/>
      </c>
      <c r="C6" s="12">
        <f>SUMIFS(Calendar!$D$2:$D$32,Calendar!$C$2:$C$32,C$3)</f>
        <v/>
      </c>
      <c r="D6" s="12">
        <f>SUMIFS(Calendar!$D$2:$D$32,Calendar!$C$2:$C$32,D$3)</f>
        <v/>
      </c>
      <c r="E6" s="12">
        <f>SUMIFS(Calendar!$D$2:$D$32,Calendar!$C$2:$C$32,E$3)</f>
        <v/>
      </c>
      <c r="F6" s="12">
        <f>SUMIFS(Calendar!$D$2:$D$32,Calendar!$C$2:$C$32,F$3)</f>
        <v/>
      </c>
      <c r="G6" s="12">
        <f>SUM(B6:F6)</f>
        <v/>
      </c>
    </row>
    <row r="8">
      <c r="A8" s="25" t="inlineStr">
        <is>
          <t>A · TEAM TARGET</t>
        </is>
      </c>
      <c r="B8" s="26" t="n"/>
      <c r="C8" s="26" t="n"/>
      <c r="D8" s="26" t="n"/>
      <c r="E8" s="26" t="n"/>
      <c r="F8" s="26" t="n"/>
      <c r="G8" s="26" t="n"/>
    </row>
    <row r="9">
      <c r="A9" s="24" t="inlineStr">
        <is>
          <t>1  Weekly target (AED)</t>
        </is>
      </c>
      <c r="B9" s="14">
        <f>IF(OR(Setup!$B$7="",Setup!$B$8=0),"",Setup!$B$7/Setup!$B$8*B$6)</f>
        <v/>
      </c>
      <c r="C9" s="14">
        <f>IF(OR(Setup!$B$7="",Setup!$B$8=0),"",Setup!$B$7/Setup!$B$8*C$6)</f>
        <v/>
      </c>
      <c r="D9" s="14">
        <f>IF(OR(Setup!$B$7="",Setup!$B$8=0),"",Setup!$B$7/Setup!$B$8*D$6)</f>
        <v/>
      </c>
      <c r="E9" s="14">
        <f>IF(OR(Setup!$B$7="",Setup!$B$8=0),"",Setup!$B$7/Setup!$B$8*E$6)</f>
        <v/>
      </c>
      <c r="F9" s="14">
        <f>IF(OR(Setup!$B$7="",Setup!$B$8=0),"",Setup!$B$7/Setup!$B$8*F$6)</f>
        <v/>
      </c>
      <c r="G9" s="14">
        <f>IF(Setup!B7="","",Setup!B7)</f>
        <v/>
      </c>
    </row>
    <row r="10">
      <c r="A10" s="24" t="inlineStr">
        <is>
          <t>2  Achieved this week (AED)</t>
        </is>
      </c>
      <c r="B10" s="14">
        <f>IF(B$4="","",SUMIFS(Sales!$K$2:$K$32,Sales!$A$2:$A$32,"&gt;="&amp;B$4,Sales!$A$2:$A$32,"&lt;="&amp;B$5))</f>
        <v/>
      </c>
      <c r="C10" s="14">
        <f>IF(C$4="","",SUMIFS(Sales!$K$2:$K$32,Sales!$A$2:$A$32,"&gt;="&amp;C$4,Sales!$A$2:$A$32,"&lt;="&amp;C$5))</f>
        <v/>
      </c>
      <c r="D10" s="14">
        <f>IF(D$4="","",SUMIFS(Sales!$K$2:$K$32,Sales!$A$2:$A$32,"&gt;="&amp;D$4,Sales!$A$2:$A$32,"&lt;="&amp;D$5))</f>
        <v/>
      </c>
      <c r="E10" s="14">
        <f>IF(E$4="","",SUMIFS(Sales!$K$2:$K$32,Sales!$A$2:$A$32,"&gt;="&amp;E$4,Sales!$A$2:$A$32,"&lt;="&amp;E$5))</f>
        <v/>
      </c>
      <c r="F10" s="14">
        <f>IF(F$4="","",SUMIFS(Sales!$K$2:$K$32,Sales!$A$2:$A$32,"&gt;="&amp;F$4,Sales!$A$2:$A$32,"&lt;="&amp;F$5))</f>
        <v/>
      </c>
      <c r="G10" s="14">
        <f>SUM(B10:F10)</f>
        <v/>
      </c>
    </row>
    <row r="11">
      <c r="A11" s="24" t="inlineStr">
        <is>
          <t>3  Achievement %</t>
        </is>
      </c>
      <c r="B11" s="27">
        <f>IF(OR(B9="",B10=""),"",B10/B9)</f>
        <v/>
      </c>
      <c r="C11" s="27">
        <f>IF(OR(C9="",C10=""),"",C10/C9)</f>
        <v/>
      </c>
      <c r="D11" s="27">
        <f>IF(OR(D9="",D10=""),"",D10/D9)</f>
        <v/>
      </c>
      <c r="E11" s="27">
        <f>IF(OR(E9="",E10=""),"",E10/E9)</f>
        <v/>
      </c>
      <c r="F11" s="27">
        <f>IF(OR(F9="",F10=""),"",F10/F9)</f>
        <v/>
      </c>
      <c r="G11" s="27">
        <f>IF(OR(G9="",G10=""),"",G10/G9)</f>
        <v/>
      </c>
    </row>
    <row r="12">
      <c r="A12" s="24" t="inlineStr">
        <is>
          <t>Cumulative achieved (AED)</t>
        </is>
      </c>
      <c r="B12" s="14">
        <f>IF(B$4="","",SUM($B10:B10))</f>
        <v/>
      </c>
      <c r="C12" s="14">
        <f>IF(C$4="","",SUM($B10:C10))</f>
        <v/>
      </c>
      <c r="D12" s="14">
        <f>IF(D$4="","",SUM($B10:D10))</f>
        <v/>
      </c>
      <c r="E12" s="14">
        <f>IF(E$4="","",SUM($B10:E10))</f>
        <v/>
      </c>
      <c r="F12" s="14">
        <f>IF(F$4="","",SUM($B10:F10))</f>
        <v/>
      </c>
      <c r="G12" s="14" t="n"/>
    </row>
    <row r="14">
      <c r="A14" s="25" t="inlineStr">
        <is>
          <t>B · AGENT TARGETS</t>
        </is>
      </c>
      <c r="B14" s="26" t="n"/>
      <c r="C14" s="26" t="n"/>
      <c r="D14" s="26" t="n"/>
      <c r="E14" s="26" t="n"/>
      <c r="F14" s="26" t="n"/>
      <c r="G14" s="26" t="n"/>
    </row>
    <row r="15">
      <c r="A15" s="28" t="inlineStr">
        <is>
          <t>Weekly target (AED)</t>
        </is>
      </c>
    </row>
    <row r="16">
      <c r="A16" s="29">
        <f>Setup!B13</f>
        <v/>
      </c>
      <c r="B16" s="14">
        <f>IF(OR(Setup!$C13="",Setup!$B$8=0),"",Setup!$C13/Setup!$B$8*B$6)</f>
        <v/>
      </c>
      <c r="C16" s="14">
        <f>IF(OR(Setup!$C13="",Setup!$B$8=0),"",Setup!$C13/Setup!$B$8*C$6)</f>
        <v/>
      </c>
      <c r="D16" s="14">
        <f>IF(OR(Setup!$C13="",Setup!$B$8=0),"",Setup!$C13/Setup!$B$8*D$6)</f>
        <v/>
      </c>
      <c r="E16" s="14">
        <f>IF(OR(Setup!$C13="",Setup!$B$8=0),"",Setup!$C13/Setup!$B$8*E$6)</f>
        <v/>
      </c>
      <c r="F16" s="14">
        <f>IF(OR(Setup!$C13="",Setup!$B$8=0),"",Setup!$C13/Setup!$B$8*F$6)</f>
        <v/>
      </c>
      <c r="G16" s="14">
        <f>IF(Setup!C13="","",Setup!C13)</f>
        <v/>
      </c>
    </row>
    <row r="17">
      <c r="A17" s="29">
        <f>Setup!B14</f>
        <v/>
      </c>
      <c r="B17" s="14">
        <f>IF(OR(Setup!$C14="",Setup!$B$8=0),"",Setup!$C14/Setup!$B$8*B$6)</f>
        <v/>
      </c>
      <c r="C17" s="14">
        <f>IF(OR(Setup!$C14="",Setup!$B$8=0),"",Setup!$C14/Setup!$B$8*C$6)</f>
        <v/>
      </c>
      <c r="D17" s="14">
        <f>IF(OR(Setup!$C14="",Setup!$B$8=0),"",Setup!$C14/Setup!$B$8*D$6)</f>
        <v/>
      </c>
      <c r="E17" s="14">
        <f>IF(OR(Setup!$C14="",Setup!$B$8=0),"",Setup!$C14/Setup!$B$8*E$6)</f>
        <v/>
      </c>
      <c r="F17" s="14">
        <f>IF(OR(Setup!$C14="",Setup!$B$8=0),"",Setup!$C14/Setup!$B$8*F$6)</f>
        <v/>
      </c>
      <c r="G17" s="14">
        <f>IF(Setup!C14="","",Setup!C14)</f>
        <v/>
      </c>
    </row>
    <row r="18">
      <c r="A18" s="29">
        <f>Setup!B15</f>
        <v/>
      </c>
      <c r="B18" s="14">
        <f>IF(OR(Setup!$C15="",Setup!$B$8=0),"",Setup!$C15/Setup!$B$8*B$6)</f>
        <v/>
      </c>
      <c r="C18" s="14">
        <f>IF(OR(Setup!$C15="",Setup!$B$8=0),"",Setup!$C15/Setup!$B$8*C$6)</f>
        <v/>
      </c>
      <c r="D18" s="14">
        <f>IF(OR(Setup!$C15="",Setup!$B$8=0),"",Setup!$C15/Setup!$B$8*D$6)</f>
        <v/>
      </c>
      <c r="E18" s="14">
        <f>IF(OR(Setup!$C15="",Setup!$B$8=0),"",Setup!$C15/Setup!$B$8*E$6)</f>
        <v/>
      </c>
      <c r="F18" s="14">
        <f>IF(OR(Setup!$C15="",Setup!$B$8=0),"",Setup!$C15/Setup!$B$8*F$6)</f>
        <v/>
      </c>
      <c r="G18" s="14">
        <f>IF(Setup!C15="","",Setup!C15)</f>
        <v/>
      </c>
    </row>
    <row r="19">
      <c r="A19" s="29">
        <f>Setup!B16</f>
        <v/>
      </c>
      <c r="B19" s="14">
        <f>IF(OR(Setup!$C16="",Setup!$B$8=0),"",Setup!$C16/Setup!$B$8*B$6)</f>
        <v/>
      </c>
      <c r="C19" s="14">
        <f>IF(OR(Setup!$C16="",Setup!$B$8=0),"",Setup!$C16/Setup!$B$8*C$6)</f>
        <v/>
      </c>
      <c r="D19" s="14">
        <f>IF(OR(Setup!$C16="",Setup!$B$8=0),"",Setup!$C16/Setup!$B$8*D$6)</f>
        <v/>
      </c>
      <c r="E19" s="14">
        <f>IF(OR(Setup!$C16="",Setup!$B$8=0),"",Setup!$C16/Setup!$B$8*E$6)</f>
        <v/>
      </c>
      <c r="F19" s="14">
        <f>IF(OR(Setup!$C16="",Setup!$B$8=0),"",Setup!$C16/Setup!$B$8*F$6)</f>
        <v/>
      </c>
      <c r="G19" s="14">
        <f>IF(Setup!C16="","",Setup!C16)</f>
        <v/>
      </c>
    </row>
    <row r="20">
      <c r="A20" s="29">
        <f>Setup!B17</f>
        <v/>
      </c>
      <c r="B20" s="14">
        <f>IF(OR(Setup!$C17="",Setup!$B$8=0),"",Setup!$C17/Setup!$B$8*B$6)</f>
        <v/>
      </c>
      <c r="C20" s="14">
        <f>IF(OR(Setup!$C17="",Setup!$B$8=0),"",Setup!$C17/Setup!$B$8*C$6)</f>
        <v/>
      </c>
      <c r="D20" s="14">
        <f>IF(OR(Setup!$C17="",Setup!$B$8=0),"",Setup!$C17/Setup!$B$8*D$6)</f>
        <v/>
      </c>
      <c r="E20" s="14">
        <f>IF(OR(Setup!$C17="",Setup!$B$8=0),"",Setup!$C17/Setup!$B$8*E$6)</f>
        <v/>
      </c>
      <c r="F20" s="14">
        <f>IF(OR(Setup!$C17="",Setup!$B$8=0),"",Setup!$C17/Setup!$B$8*F$6)</f>
        <v/>
      </c>
      <c r="G20" s="14">
        <f>IF(Setup!C17="","",Setup!C17)</f>
        <v/>
      </c>
    </row>
    <row r="21">
      <c r="A21" s="29">
        <f>Setup!B18</f>
        <v/>
      </c>
      <c r="B21" s="14">
        <f>IF(OR(Setup!$C18="",Setup!$B$8=0),"",Setup!$C18/Setup!$B$8*B$6)</f>
        <v/>
      </c>
      <c r="C21" s="14">
        <f>IF(OR(Setup!$C18="",Setup!$B$8=0),"",Setup!$C18/Setup!$B$8*C$6)</f>
        <v/>
      </c>
      <c r="D21" s="14">
        <f>IF(OR(Setup!$C18="",Setup!$B$8=0),"",Setup!$C18/Setup!$B$8*D$6)</f>
        <v/>
      </c>
      <c r="E21" s="14">
        <f>IF(OR(Setup!$C18="",Setup!$B$8=0),"",Setup!$C18/Setup!$B$8*E$6)</f>
        <v/>
      </c>
      <c r="F21" s="14">
        <f>IF(OR(Setup!$C18="",Setup!$B$8=0),"",Setup!$C18/Setup!$B$8*F$6)</f>
        <v/>
      </c>
      <c r="G21" s="14">
        <f>IF(Setup!C18="","",Setup!C18)</f>
        <v/>
      </c>
    </row>
    <row r="22">
      <c r="A22" s="29">
        <f>Setup!B19</f>
        <v/>
      </c>
      <c r="B22" s="14">
        <f>IF(OR(Setup!$C19="",Setup!$B$8=0),"",Setup!$C19/Setup!$B$8*B$6)</f>
        <v/>
      </c>
      <c r="C22" s="14">
        <f>IF(OR(Setup!$C19="",Setup!$B$8=0),"",Setup!$C19/Setup!$B$8*C$6)</f>
        <v/>
      </c>
      <c r="D22" s="14">
        <f>IF(OR(Setup!$C19="",Setup!$B$8=0),"",Setup!$C19/Setup!$B$8*D$6)</f>
        <v/>
      </c>
      <c r="E22" s="14">
        <f>IF(OR(Setup!$C19="",Setup!$B$8=0),"",Setup!$C19/Setup!$B$8*E$6)</f>
        <v/>
      </c>
      <c r="F22" s="14">
        <f>IF(OR(Setup!$C19="",Setup!$B$8=0),"",Setup!$C19/Setup!$B$8*F$6)</f>
        <v/>
      </c>
      <c r="G22" s="14">
        <f>IF(Setup!C19="","",Setup!C19)</f>
        <v/>
      </c>
    </row>
    <row r="23">
      <c r="A23" s="29">
        <f>Setup!B20</f>
        <v/>
      </c>
      <c r="B23" s="14">
        <f>IF(OR(Setup!$C20="",Setup!$B$8=0),"",Setup!$C20/Setup!$B$8*B$6)</f>
        <v/>
      </c>
      <c r="C23" s="14">
        <f>IF(OR(Setup!$C20="",Setup!$B$8=0),"",Setup!$C20/Setup!$B$8*C$6)</f>
        <v/>
      </c>
      <c r="D23" s="14">
        <f>IF(OR(Setup!$C20="",Setup!$B$8=0),"",Setup!$C20/Setup!$B$8*D$6)</f>
        <v/>
      </c>
      <c r="E23" s="14">
        <f>IF(OR(Setup!$C20="",Setup!$B$8=0),"",Setup!$C20/Setup!$B$8*E$6)</f>
        <v/>
      </c>
      <c r="F23" s="14">
        <f>IF(OR(Setup!$C20="",Setup!$B$8=0),"",Setup!$C20/Setup!$B$8*F$6)</f>
        <v/>
      </c>
      <c r="G23" s="14">
        <f>IF(Setup!C20="","",Setup!C20)</f>
        <v/>
      </c>
    </row>
    <row r="25">
      <c r="A25" s="28" t="inlineStr">
        <is>
          <t>Achieved (AED)</t>
        </is>
      </c>
    </row>
    <row r="26">
      <c r="A26" s="29">
        <f>Setup!B13</f>
        <v/>
      </c>
      <c r="B26" s="14">
        <f>IF(B$4="","",SUMPRODUCT((Sales!$C$1:$J$1=$A26)*(Sales!$A$2:$A$32&gt;=B$4)*(Sales!$A$2:$A$32&lt;=B$5)*Sales!$C$2:$J$32))</f>
        <v/>
      </c>
      <c r="C26" s="14">
        <f>IF(C$4="","",SUMPRODUCT((Sales!$C$1:$J$1=$A26)*(Sales!$A$2:$A$32&gt;=C$4)*(Sales!$A$2:$A$32&lt;=C$5)*Sales!$C$2:$J$32))</f>
        <v/>
      </c>
      <c r="D26" s="14">
        <f>IF(D$4="","",SUMPRODUCT((Sales!$C$1:$J$1=$A26)*(Sales!$A$2:$A$32&gt;=D$4)*(Sales!$A$2:$A$32&lt;=D$5)*Sales!$C$2:$J$32))</f>
        <v/>
      </c>
      <c r="E26" s="14">
        <f>IF(E$4="","",SUMPRODUCT((Sales!$C$1:$J$1=$A26)*(Sales!$A$2:$A$32&gt;=E$4)*(Sales!$A$2:$A$32&lt;=E$5)*Sales!$C$2:$J$32))</f>
        <v/>
      </c>
      <c r="F26" s="14">
        <f>IF(F$4="","",SUMPRODUCT((Sales!$C$1:$J$1=$A26)*(Sales!$A$2:$A$32&gt;=F$4)*(Sales!$A$2:$A$32&lt;=F$5)*Sales!$C$2:$J$32))</f>
        <v/>
      </c>
      <c r="G26" s="14">
        <f>SUM(B26:F26)</f>
        <v/>
      </c>
    </row>
    <row r="27">
      <c r="A27" s="29">
        <f>Setup!B14</f>
        <v/>
      </c>
      <c r="B27" s="14">
        <f>IF(B$4="","",SUMPRODUCT((Sales!$C$1:$J$1=$A27)*(Sales!$A$2:$A$32&gt;=B$4)*(Sales!$A$2:$A$32&lt;=B$5)*Sales!$C$2:$J$32))</f>
        <v/>
      </c>
      <c r="C27" s="14">
        <f>IF(C$4="","",SUMPRODUCT((Sales!$C$1:$J$1=$A27)*(Sales!$A$2:$A$32&gt;=C$4)*(Sales!$A$2:$A$32&lt;=C$5)*Sales!$C$2:$J$32))</f>
        <v/>
      </c>
      <c r="D27" s="14">
        <f>IF(D$4="","",SUMPRODUCT((Sales!$C$1:$J$1=$A27)*(Sales!$A$2:$A$32&gt;=D$4)*(Sales!$A$2:$A$32&lt;=D$5)*Sales!$C$2:$J$32))</f>
        <v/>
      </c>
      <c r="E27" s="14">
        <f>IF(E$4="","",SUMPRODUCT((Sales!$C$1:$J$1=$A27)*(Sales!$A$2:$A$32&gt;=E$4)*(Sales!$A$2:$A$32&lt;=E$5)*Sales!$C$2:$J$32))</f>
        <v/>
      </c>
      <c r="F27" s="14">
        <f>IF(F$4="","",SUMPRODUCT((Sales!$C$1:$J$1=$A27)*(Sales!$A$2:$A$32&gt;=F$4)*(Sales!$A$2:$A$32&lt;=F$5)*Sales!$C$2:$J$32))</f>
        <v/>
      </c>
      <c r="G27" s="14">
        <f>SUM(B27:F27)</f>
        <v/>
      </c>
    </row>
    <row r="28">
      <c r="A28" s="29">
        <f>Setup!B15</f>
        <v/>
      </c>
      <c r="B28" s="14">
        <f>IF(B$4="","",SUMPRODUCT((Sales!$C$1:$J$1=$A28)*(Sales!$A$2:$A$32&gt;=B$4)*(Sales!$A$2:$A$32&lt;=B$5)*Sales!$C$2:$J$32))</f>
        <v/>
      </c>
      <c r="C28" s="14">
        <f>IF(C$4="","",SUMPRODUCT((Sales!$C$1:$J$1=$A28)*(Sales!$A$2:$A$32&gt;=C$4)*(Sales!$A$2:$A$32&lt;=C$5)*Sales!$C$2:$J$32))</f>
        <v/>
      </c>
      <c r="D28" s="14">
        <f>IF(D$4="","",SUMPRODUCT((Sales!$C$1:$J$1=$A28)*(Sales!$A$2:$A$32&gt;=D$4)*(Sales!$A$2:$A$32&lt;=D$5)*Sales!$C$2:$J$32))</f>
        <v/>
      </c>
      <c r="E28" s="14">
        <f>IF(E$4="","",SUMPRODUCT((Sales!$C$1:$J$1=$A28)*(Sales!$A$2:$A$32&gt;=E$4)*(Sales!$A$2:$A$32&lt;=E$5)*Sales!$C$2:$J$32))</f>
        <v/>
      </c>
      <c r="F28" s="14">
        <f>IF(F$4="","",SUMPRODUCT((Sales!$C$1:$J$1=$A28)*(Sales!$A$2:$A$32&gt;=F$4)*(Sales!$A$2:$A$32&lt;=F$5)*Sales!$C$2:$J$32))</f>
        <v/>
      </c>
      <c r="G28" s="14">
        <f>SUM(B28:F28)</f>
        <v/>
      </c>
    </row>
    <row r="29">
      <c r="A29" s="29">
        <f>Setup!B16</f>
        <v/>
      </c>
      <c r="B29" s="14">
        <f>IF(B$4="","",SUMPRODUCT((Sales!$C$1:$J$1=$A29)*(Sales!$A$2:$A$32&gt;=B$4)*(Sales!$A$2:$A$32&lt;=B$5)*Sales!$C$2:$J$32))</f>
        <v/>
      </c>
      <c r="C29" s="14">
        <f>IF(C$4="","",SUMPRODUCT((Sales!$C$1:$J$1=$A29)*(Sales!$A$2:$A$32&gt;=C$4)*(Sales!$A$2:$A$32&lt;=C$5)*Sales!$C$2:$J$32))</f>
        <v/>
      </c>
      <c r="D29" s="14">
        <f>IF(D$4="","",SUMPRODUCT((Sales!$C$1:$J$1=$A29)*(Sales!$A$2:$A$32&gt;=D$4)*(Sales!$A$2:$A$32&lt;=D$5)*Sales!$C$2:$J$32))</f>
        <v/>
      </c>
      <c r="E29" s="14">
        <f>IF(E$4="","",SUMPRODUCT((Sales!$C$1:$J$1=$A29)*(Sales!$A$2:$A$32&gt;=E$4)*(Sales!$A$2:$A$32&lt;=E$5)*Sales!$C$2:$J$32))</f>
        <v/>
      </c>
      <c r="F29" s="14">
        <f>IF(F$4="","",SUMPRODUCT((Sales!$C$1:$J$1=$A29)*(Sales!$A$2:$A$32&gt;=F$4)*(Sales!$A$2:$A$32&lt;=F$5)*Sales!$C$2:$J$32))</f>
        <v/>
      </c>
      <c r="G29" s="14">
        <f>SUM(B29:F29)</f>
        <v/>
      </c>
    </row>
    <row r="30">
      <c r="A30" s="29">
        <f>Setup!B17</f>
        <v/>
      </c>
      <c r="B30" s="14">
        <f>IF(B$4="","",SUMPRODUCT((Sales!$C$1:$J$1=$A30)*(Sales!$A$2:$A$32&gt;=B$4)*(Sales!$A$2:$A$32&lt;=B$5)*Sales!$C$2:$J$32))</f>
        <v/>
      </c>
      <c r="C30" s="14">
        <f>IF(C$4="","",SUMPRODUCT((Sales!$C$1:$J$1=$A30)*(Sales!$A$2:$A$32&gt;=C$4)*(Sales!$A$2:$A$32&lt;=C$5)*Sales!$C$2:$J$32))</f>
        <v/>
      </c>
      <c r="D30" s="14">
        <f>IF(D$4="","",SUMPRODUCT((Sales!$C$1:$J$1=$A30)*(Sales!$A$2:$A$32&gt;=D$4)*(Sales!$A$2:$A$32&lt;=D$5)*Sales!$C$2:$J$32))</f>
        <v/>
      </c>
      <c r="E30" s="14">
        <f>IF(E$4="","",SUMPRODUCT((Sales!$C$1:$J$1=$A30)*(Sales!$A$2:$A$32&gt;=E$4)*(Sales!$A$2:$A$32&lt;=E$5)*Sales!$C$2:$J$32))</f>
        <v/>
      </c>
      <c r="F30" s="14">
        <f>IF(F$4="","",SUMPRODUCT((Sales!$C$1:$J$1=$A30)*(Sales!$A$2:$A$32&gt;=F$4)*(Sales!$A$2:$A$32&lt;=F$5)*Sales!$C$2:$J$32))</f>
        <v/>
      </c>
      <c r="G30" s="14">
        <f>SUM(B30:F30)</f>
        <v/>
      </c>
    </row>
    <row r="31">
      <c r="A31" s="29">
        <f>Setup!B18</f>
        <v/>
      </c>
      <c r="B31" s="14">
        <f>IF(B$4="","",SUMPRODUCT((Sales!$C$1:$J$1=$A31)*(Sales!$A$2:$A$32&gt;=B$4)*(Sales!$A$2:$A$32&lt;=B$5)*Sales!$C$2:$J$32))</f>
        <v/>
      </c>
      <c r="C31" s="14">
        <f>IF(C$4="","",SUMPRODUCT((Sales!$C$1:$J$1=$A31)*(Sales!$A$2:$A$32&gt;=C$4)*(Sales!$A$2:$A$32&lt;=C$5)*Sales!$C$2:$J$32))</f>
        <v/>
      </c>
      <c r="D31" s="14">
        <f>IF(D$4="","",SUMPRODUCT((Sales!$C$1:$J$1=$A31)*(Sales!$A$2:$A$32&gt;=D$4)*(Sales!$A$2:$A$32&lt;=D$5)*Sales!$C$2:$J$32))</f>
        <v/>
      </c>
      <c r="E31" s="14">
        <f>IF(E$4="","",SUMPRODUCT((Sales!$C$1:$J$1=$A31)*(Sales!$A$2:$A$32&gt;=E$4)*(Sales!$A$2:$A$32&lt;=E$5)*Sales!$C$2:$J$32))</f>
        <v/>
      </c>
      <c r="F31" s="14">
        <f>IF(F$4="","",SUMPRODUCT((Sales!$C$1:$J$1=$A31)*(Sales!$A$2:$A$32&gt;=F$4)*(Sales!$A$2:$A$32&lt;=F$5)*Sales!$C$2:$J$32))</f>
        <v/>
      </c>
      <c r="G31" s="14">
        <f>SUM(B31:F31)</f>
        <v/>
      </c>
    </row>
    <row r="32">
      <c r="A32" s="29">
        <f>Setup!B19</f>
        <v/>
      </c>
      <c r="B32" s="14">
        <f>IF(B$4="","",SUMPRODUCT((Sales!$C$1:$J$1=$A32)*(Sales!$A$2:$A$32&gt;=B$4)*(Sales!$A$2:$A$32&lt;=B$5)*Sales!$C$2:$J$32))</f>
        <v/>
      </c>
      <c r="C32" s="14">
        <f>IF(C$4="","",SUMPRODUCT((Sales!$C$1:$J$1=$A32)*(Sales!$A$2:$A$32&gt;=C$4)*(Sales!$A$2:$A$32&lt;=C$5)*Sales!$C$2:$J$32))</f>
        <v/>
      </c>
      <c r="D32" s="14">
        <f>IF(D$4="","",SUMPRODUCT((Sales!$C$1:$J$1=$A32)*(Sales!$A$2:$A$32&gt;=D$4)*(Sales!$A$2:$A$32&lt;=D$5)*Sales!$C$2:$J$32))</f>
        <v/>
      </c>
      <c r="E32" s="14">
        <f>IF(E$4="","",SUMPRODUCT((Sales!$C$1:$J$1=$A32)*(Sales!$A$2:$A$32&gt;=E$4)*(Sales!$A$2:$A$32&lt;=E$5)*Sales!$C$2:$J$32))</f>
        <v/>
      </c>
      <c r="F32" s="14">
        <f>IF(F$4="","",SUMPRODUCT((Sales!$C$1:$J$1=$A32)*(Sales!$A$2:$A$32&gt;=F$4)*(Sales!$A$2:$A$32&lt;=F$5)*Sales!$C$2:$J$32))</f>
        <v/>
      </c>
      <c r="G32" s="14">
        <f>SUM(B32:F32)</f>
        <v/>
      </c>
    </row>
    <row r="33">
      <c r="A33" s="29">
        <f>Setup!B20</f>
        <v/>
      </c>
      <c r="B33" s="14">
        <f>IF(B$4="","",SUMPRODUCT((Sales!$C$1:$J$1=$A33)*(Sales!$A$2:$A$32&gt;=B$4)*(Sales!$A$2:$A$32&lt;=B$5)*Sales!$C$2:$J$32))</f>
        <v/>
      </c>
      <c r="C33" s="14">
        <f>IF(C$4="","",SUMPRODUCT((Sales!$C$1:$J$1=$A33)*(Sales!$A$2:$A$32&gt;=C$4)*(Sales!$A$2:$A$32&lt;=C$5)*Sales!$C$2:$J$32))</f>
        <v/>
      </c>
      <c r="D33" s="14">
        <f>IF(D$4="","",SUMPRODUCT((Sales!$C$1:$J$1=$A33)*(Sales!$A$2:$A$32&gt;=D$4)*(Sales!$A$2:$A$32&lt;=D$5)*Sales!$C$2:$J$32))</f>
        <v/>
      </c>
      <c r="E33" s="14">
        <f>IF(E$4="","",SUMPRODUCT((Sales!$C$1:$J$1=$A33)*(Sales!$A$2:$A$32&gt;=E$4)*(Sales!$A$2:$A$32&lt;=E$5)*Sales!$C$2:$J$32))</f>
        <v/>
      </c>
      <c r="F33" s="14">
        <f>IF(F$4="","",SUMPRODUCT((Sales!$C$1:$J$1=$A33)*(Sales!$A$2:$A$32&gt;=F$4)*(Sales!$A$2:$A$32&lt;=F$5)*Sales!$C$2:$J$32))</f>
        <v/>
      </c>
      <c r="G33" s="14">
        <f>SUM(B33:F33)</f>
        <v/>
      </c>
    </row>
    <row r="35">
      <c r="A35" s="28" t="inlineStr">
        <is>
          <t>Achievement %</t>
        </is>
      </c>
    </row>
    <row r="36">
      <c r="A36" s="29">
        <f>Setup!B13</f>
        <v/>
      </c>
      <c r="B36" s="27">
        <f>IF(OR(B16="",B26=""),"",B26/B16)</f>
        <v/>
      </c>
      <c r="C36" s="27">
        <f>IF(OR(C16="",C26=""),"",C26/C16)</f>
        <v/>
      </c>
      <c r="D36" s="27">
        <f>IF(OR(D16="",D26=""),"",D26/D16)</f>
        <v/>
      </c>
      <c r="E36" s="27">
        <f>IF(OR(E16="",E26=""),"",E26/E16)</f>
        <v/>
      </c>
      <c r="F36" s="27">
        <f>IF(OR(F16="",F26=""),"",F26/F16)</f>
        <v/>
      </c>
      <c r="G36" s="27">
        <f>IF(OR(G16="",G26=""),"",G26/G16)</f>
        <v/>
      </c>
    </row>
    <row r="37">
      <c r="A37" s="29">
        <f>Setup!B14</f>
        <v/>
      </c>
      <c r="B37" s="27">
        <f>IF(OR(B17="",B27=""),"",B27/B17)</f>
        <v/>
      </c>
      <c r="C37" s="27">
        <f>IF(OR(C17="",C27=""),"",C27/C17)</f>
        <v/>
      </c>
      <c r="D37" s="27">
        <f>IF(OR(D17="",D27=""),"",D27/D17)</f>
        <v/>
      </c>
      <c r="E37" s="27">
        <f>IF(OR(E17="",E27=""),"",E27/E17)</f>
        <v/>
      </c>
      <c r="F37" s="27">
        <f>IF(OR(F17="",F27=""),"",F27/F17)</f>
        <v/>
      </c>
      <c r="G37" s="27">
        <f>IF(OR(G17="",G27=""),"",G27/G17)</f>
        <v/>
      </c>
    </row>
    <row r="38">
      <c r="A38" s="29">
        <f>Setup!B15</f>
        <v/>
      </c>
      <c r="B38" s="27">
        <f>IF(OR(B18="",B28=""),"",B28/B18)</f>
        <v/>
      </c>
      <c r="C38" s="27">
        <f>IF(OR(C18="",C28=""),"",C28/C18)</f>
        <v/>
      </c>
      <c r="D38" s="27">
        <f>IF(OR(D18="",D28=""),"",D28/D18)</f>
        <v/>
      </c>
      <c r="E38" s="27">
        <f>IF(OR(E18="",E28=""),"",E28/E18)</f>
        <v/>
      </c>
      <c r="F38" s="27">
        <f>IF(OR(F18="",F28=""),"",F28/F18)</f>
        <v/>
      </c>
      <c r="G38" s="27">
        <f>IF(OR(G18="",G28=""),"",G28/G18)</f>
        <v/>
      </c>
    </row>
    <row r="39">
      <c r="A39" s="29">
        <f>Setup!B16</f>
        <v/>
      </c>
      <c r="B39" s="27">
        <f>IF(OR(B19="",B29=""),"",B29/B19)</f>
        <v/>
      </c>
      <c r="C39" s="27">
        <f>IF(OR(C19="",C29=""),"",C29/C19)</f>
        <v/>
      </c>
      <c r="D39" s="27">
        <f>IF(OR(D19="",D29=""),"",D29/D19)</f>
        <v/>
      </c>
      <c r="E39" s="27">
        <f>IF(OR(E19="",E29=""),"",E29/E19)</f>
        <v/>
      </c>
      <c r="F39" s="27">
        <f>IF(OR(F19="",F29=""),"",F29/F19)</f>
        <v/>
      </c>
      <c r="G39" s="27">
        <f>IF(OR(G19="",G29=""),"",G29/G19)</f>
        <v/>
      </c>
    </row>
    <row r="40">
      <c r="A40" s="29">
        <f>Setup!B17</f>
        <v/>
      </c>
      <c r="B40" s="27">
        <f>IF(OR(B20="",B30=""),"",B30/B20)</f>
        <v/>
      </c>
      <c r="C40" s="27">
        <f>IF(OR(C20="",C30=""),"",C30/C20)</f>
        <v/>
      </c>
      <c r="D40" s="27">
        <f>IF(OR(D20="",D30=""),"",D30/D20)</f>
        <v/>
      </c>
      <c r="E40" s="27">
        <f>IF(OR(E20="",E30=""),"",E30/E20)</f>
        <v/>
      </c>
      <c r="F40" s="27">
        <f>IF(OR(F20="",F30=""),"",F30/F20)</f>
        <v/>
      </c>
      <c r="G40" s="27">
        <f>IF(OR(G20="",G30=""),"",G30/G20)</f>
        <v/>
      </c>
    </row>
    <row r="41">
      <c r="A41" s="29">
        <f>Setup!B18</f>
        <v/>
      </c>
      <c r="B41" s="27">
        <f>IF(OR(B21="",B31=""),"",B31/B21)</f>
        <v/>
      </c>
      <c r="C41" s="27">
        <f>IF(OR(C21="",C31=""),"",C31/C21)</f>
        <v/>
      </c>
      <c r="D41" s="27">
        <f>IF(OR(D21="",D31=""),"",D31/D21)</f>
        <v/>
      </c>
      <c r="E41" s="27">
        <f>IF(OR(E21="",E31=""),"",E31/E21)</f>
        <v/>
      </c>
      <c r="F41" s="27">
        <f>IF(OR(F21="",F31=""),"",F31/F21)</f>
        <v/>
      </c>
      <c r="G41" s="27">
        <f>IF(OR(G21="",G31=""),"",G31/G21)</f>
        <v/>
      </c>
    </row>
    <row r="42">
      <c r="A42" s="29">
        <f>Setup!B19</f>
        <v/>
      </c>
      <c r="B42" s="27">
        <f>IF(OR(B22="",B32=""),"",B32/B22)</f>
        <v/>
      </c>
      <c r="C42" s="27">
        <f>IF(OR(C22="",C32=""),"",C32/C22)</f>
        <v/>
      </c>
      <c r="D42" s="27">
        <f>IF(OR(D22="",D32=""),"",D32/D22)</f>
        <v/>
      </c>
      <c r="E42" s="27">
        <f>IF(OR(E22="",E32=""),"",E32/E22)</f>
        <v/>
      </c>
      <c r="F42" s="27">
        <f>IF(OR(F22="",F32=""),"",F32/F22)</f>
        <v/>
      </c>
      <c r="G42" s="27">
        <f>IF(OR(G22="",G32=""),"",G32/G22)</f>
        <v/>
      </c>
    </row>
    <row r="43">
      <c r="A43" s="29">
        <f>Setup!B20</f>
        <v/>
      </c>
      <c r="B43" s="27">
        <f>IF(OR(B23="",B33=""),"",B33/B23)</f>
        <v/>
      </c>
      <c r="C43" s="27">
        <f>IF(OR(C23="",C33=""),"",C33/C23)</f>
        <v/>
      </c>
      <c r="D43" s="27">
        <f>IF(OR(D23="",D33=""),"",D33/D23)</f>
        <v/>
      </c>
      <c r="E43" s="27">
        <f>IF(OR(E23="",E33=""),"",E33/E23)</f>
        <v/>
      </c>
      <c r="F43" s="27">
        <f>IF(OR(F23="",F33=""),"",F33/F23)</f>
        <v/>
      </c>
      <c r="G43" s="27">
        <f>IF(OR(G23="",G33=""),"",G33/G23)</f>
        <v/>
      </c>
    </row>
    <row r="45">
      <c r="A45" s="25" t="inlineStr">
        <is>
          <t>C · PENDING CASES (Log 8)</t>
        </is>
      </c>
      <c r="B45" s="26" t="n"/>
      <c r="C45" s="26" t="n"/>
      <c r="D45" s="26" t="n"/>
      <c r="E45" s="26" t="n"/>
      <c r="F45" s="26" t="n"/>
      <c r="G45" s="26" t="n"/>
    </row>
    <row r="46">
      <c r="A46" s="24" t="inlineStr">
        <is>
          <t>4  Open now (as at week end)</t>
        </is>
      </c>
      <c r="B46" s="12">
        <f>IF(B$5="","",COUNTIFS(Log8_Pending!$A$3:$A$202,"&lt;="&amp;B$5,Log8_Pending!$F$3:$F$202,"Open"))</f>
        <v/>
      </c>
      <c r="C46" s="12">
        <f>IF(C$5="","",COUNTIFS(Log8_Pending!$A$3:$A$202,"&lt;="&amp;C$5,Log8_Pending!$F$3:$F$202,"Open"))</f>
        <v/>
      </c>
      <c r="D46" s="12">
        <f>IF(D$5="","",COUNTIFS(Log8_Pending!$A$3:$A$202,"&lt;="&amp;D$5,Log8_Pending!$F$3:$F$202,"Open"))</f>
        <v/>
      </c>
      <c r="E46" s="12">
        <f>IF(E$5="","",COUNTIFS(Log8_Pending!$A$3:$A$202,"&lt;="&amp;E$5,Log8_Pending!$F$3:$F$202,"Open"))</f>
        <v/>
      </c>
      <c r="F46" s="12">
        <f>IF(F$5="","",COUNTIFS(Log8_Pending!$A$3:$A$202,"&lt;="&amp;F$5,Log8_Pending!$F$3:$F$202,"Open"))</f>
        <v/>
      </c>
      <c r="G46" s="12" t="n"/>
    </row>
    <row r="47">
      <c r="A47" s="24" t="inlineStr">
        <is>
          <t>5  Expected to book next week</t>
        </is>
      </c>
      <c r="B47" s="12">
        <f>IF(B$5="","",COUNTIFS(Log8_Pending!$E$3:$E$202,"&gt;"&amp;B$5,Log8_Pending!$E$3:$E$202,"&lt;="&amp;B$5+7,Log8_Pending!$F$3:$F$202,"Open"))</f>
        <v/>
      </c>
      <c r="C47" s="12">
        <f>IF(C$5="","",COUNTIFS(Log8_Pending!$E$3:$E$202,"&gt;"&amp;C$5,Log8_Pending!$E$3:$E$202,"&lt;="&amp;C$5+7,Log8_Pending!$F$3:$F$202,"Open"))</f>
        <v/>
      </c>
      <c r="D47" s="12">
        <f>IF(D$5="","",COUNTIFS(Log8_Pending!$E$3:$E$202,"&gt;"&amp;D$5,Log8_Pending!$E$3:$E$202,"&lt;="&amp;D$5+7,Log8_Pending!$F$3:$F$202,"Open"))</f>
        <v/>
      </c>
      <c r="E47" s="12">
        <f>IF(E$5="","",COUNTIFS(Log8_Pending!$E$3:$E$202,"&gt;"&amp;E$5,Log8_Pending!$E$3:$E$202,"&lt;="&amp;E$5+7,Log8_Pending!$F$3:$F$202,"Open"))</f>
        <v/>
      </c>
      <c r="F47" s="12">
        <f>IF(F$5="","",COUNTIFS(Log8_Pending!$E$3:$E$202,"&gt;"&amp;F$5,Log8_Pending!$E$3:$E$202,"&lt;="&amp;F$5+7,Log8_Pending!$F$3:$F$202,"Open"))</f>
        <v/>
      </c>
      <c r="G47" s="12" t="n"/>
    </row>
    <row r="49">
      <c r="A49" s="25" t="inlineStr">
        <is>
          <t>D · GREY LEADS (leads from about 60–90 days ago) – type here</t>
        </is>
      </c>
      <c r="B49" s="26" t="n"/>
      <c r="C49" s="26" t="n"/>
      <c r="D49" s="26" t="n"/>
      <c r="E49" s="26" t="n"/>
      <c r="F49" s="26" t="n"/>
      <c r="G49" s="26" t="n"/>
    </row>
    <row r="50">
      <c r="A50" s="24" t="inlineStr">
        <is>
          <t>6  Contacted</t>
        </is>
      </c>
      <c r="B50" s="20" t="n"/>
      <c r="C50" s="20" t="n"/>
      <c r="D50" s="20" t="n"/>
      <c r="E50" s="20" t="n"/>
      <c r="F50" s="20" t="n"/>
      <c r="G50" s="12">
        <f>SUM(B50:F50)</f>
        <v/>
      </c>
    </row>
    <row r="51">
      <c r="A51" s="24" t="inlineStr">
        <is>
          <t>7  Replied</t>
        </is>
      </c>
      <c r="B51" s="20" t="n"/>
      <c r="C51" s="20" t="n"/>
      <c r="D51" s="20" t="n"/>
      <c r="E51" s="20" t="n"/>
      <c r="F51" s="20" t="n"/>
      <c r="G51" s="12">
        <f>SUM(B51:F51)</f>
        <v/>
      </c>
    </row>
    <row r="52">
      <c r="A52" s="24" t="inlineStr">
        <is>
          <t>8  Converted to sale</t>
        </is>
      </c>
      <c r="B52" s="20" t="n"/>
      <c r="C52" s="20" t="n"/>
      <c r="D52" s="20" t="n"/>
      <c r="E52" s="20" t="n"/>
      <c r="F52" s="20" t="n"/>
      <c r="G52" s="12">
        <f>SUM(B52:F52)</f>
        <v/>
      </c>
    </row>
    <row r="54">
      <c r="A54" s="25" t="inlineStr">
        <is>
          <t>E · TOP 3 ACTIONS FOR NEXT WEEK – type here</t>
        </is>
      </c>
      <c r="B54" s="26" t="n"/>
      <c r="C54" s="26" t="n"/>
      <c r="D54" s="26" t="n"/>
      <c r="E54" s="26" t="n"/>
      <c r="F54" s="26" t="n"/>
      <c r="G54" s="26" t="n"/>
    </row>
    <row r="55" ht="48" customHeight="1">
      <c r="A55" s="24" t="inlineStr">
        <is>
          <t>1</t>
        </is>
      </c>
      <c r="B55" s="20" t="n"/>
      <c r="C55" s="20" t="n"/>
      <c r="D55" s="20" t="n"/>
      <c r="E55" s="20" t="n"/>
      <c r="F55" s="20" t="n"/>
      <c r="G55" s="12" t="n"/>
    </row>
    <row r="56" ht="48" customHeight="1">
      <c r="A56" s="24" t="inlineStr">
        <is>
          <t>2</t>
        </is>
      </c>
      <c r="B56" s="20" t="n"/>
      <c r="C56" s="20" t="n"/>
      <c r="D56" s="20" t="n"/>
      <c r="E56" s="20" t="n"/>
      <c r="F56" s="20" t="n"/>
      <c r="G56" s="12" t="n"/>
    </row>
    <row r="57" ht="48" customHeight="1">
      <c r="A57" s="24" t="inlineStr">
        <is>
          <t>3</t>
        </is>
      </c>
      <c r="B57" s="20" t="n"/>
      <c r="C57" s="20" t="n"/>
      <c r="D57" s="20" t="n"/>
      <c r="E57" s="20" t="n"/>
      <c r="F57" s="20" t="n"/>
      <c r="G57" s="12" t="n"/>
    </row>
    <row r="59">
      <c r="A59" s="25" t="inlineStr">
        <is>
          <t>FORM 2 WEEKLY SUMMARY (from Daily and Logs)</t>
        </is>
      </c>
      <c r="B59" s="26" t="n"/>
      <c r="C59" s="26" t="n"/>
      <c r="D59" s="26" t="n"/>
      <c r="E59" s="26" t="n"/>
      <c r="F59" s="26" t="n"/>
      <c r="G59" s="26" t="n"/>
    </row>
    <row r="60">
      <c r="A60" s="24" t="inlineStr">
        <is>
          <t>Chats reviewed</t>
        </is>
      </c>
      <c r="B60" s="12">
        <f>IF(B$4="","",SUMIFS(Daily!$C$2:$C$32,Daily!$A$2:$A$32,"&gt;="&amp;B$4,Daily!$A$2:$A$32,"&lt;="&amp;B$5))</f>
        <v/>
      </c>
      <c r="C60" s="12">
        <f>IF(C$4="","",SUMIFS(Daily!$C$2:$C$32,Daily!$A$2:$A$32,"&gt;="&amp;C$4,Daily!$A$2:$A$32,"&lt;="&amp;C$5))</f>
        <v/>
      </c>
      <c r="D60" s="12">
        <f>IF(D$4="","",SUMIFS(Daily!$C$2:$C$32,Daily!$A$2:$A$32,"&gt;="&amp;D$4,Daily!$A$2:$A$32,"&lt;="&amp;D$5))</f>
        <v/>
      </c>
      <c r="E60" s="12">
        <f>IF(E$4="","",SUMIFS(Daily!$C$2:$C$32,Daily!$A$2:$A$32,"&gt;="&amp;E$4,Daily!$A$2:$A$32,"&lt;="&amp;E$5))</f>
        <v/>
      </c>
      <c r="F60" s="12">
        <f>IF(F$4="","",SUMIFS(Daily!$C$2:$C$32,Daily!$A$2:$A$32,"&gt;="&amp;F$4,Daily!$A$2:$A$32,"&lt;="&amp;F$5))</f>
        <v/>
      </c>
      <c r="G60" s="12">
        <f>SUM(B60:F60)</f>
        <v/>
      </c>
    </row>
    <row r="61">
      <c r="A61" s="24" t="inlineStr">
        <is>
          <t>Chats with issues</t>
        </is>
      </c>
      <c r="B61" s="12">
        <f>IF(B$4="","",SUMIFS(Daily!$D$2:$D$32,Daily!$A$2:$A$32,"&gt;="&amp;B$4,Daily!$A$2:$A$32,"&lt;="&amp;B$5))</f>
        <v/>
      </c>
      <c r="C61" s="12">
        <f>IF(C$4="","",SUMIFS(Daily!$D$2:$D$32,Daily!$A$2:$A$32,"&gt;="&amp;C$4,Daily!$A$2:$A$32,"&lt;="&amp;C$5))</f>
        <v/>
      </c>
      <c r="D61" s="12">
        <f>IF(D$4="","",SUMIFS(Daily!$D$2:$D$32,Daily!$A$2:$A$32,"&gt;="&amp;D$4,Daily!$A$2:$A$32,"&lt;="&amp;D$5))</f>
        <v/>
      </c>
      <c r="E61" s="12">
        <f>IF(E$4="","",SUMIFS(Daily!$D$2:$D$32,Daily!$A$2:$A$32,"&gt;="&amp;E$4,Daily!$A$2:$A$32,"&lt;="&amp;E$5))</f>
        <v/>
      </c>
      <c r="F61" s="12">
        <f>IF(F$4="","",SUMIFS(Daily!$D$2:$D$32,Daily!$A$2:$A$32,"&gt;="&amp;F$4,Daily!$A$2:$A$32,"&lt;="&amp;F$5))</f>
        <v/>
      </c>
      <c r="G61" s="12">
        <f>SUM(B61:F61)</f>
        <v/>
      </c>
    </row>
    <row r="62">
      <c r="A62" s="24" t="inlineStr">
        <is>
          <t>1:1 meetings</t>
        </is>
      </c>
      <c r="B62" s="12">
        <f>IF(B$4="","",SUMIFS(Daily!$F$2:$F$32,Daily!$A$2:$A$32,"&gt;="&amp;B$4,Daily!$A$2:$A$32,"&lt;="&amp;B$5))</f>
        <v/>
      </c>
      <c r="C62" s="12">
        <f>IF(C$4="","",SUMIFS(Daily!$F$2:$F$32,Daily!$A$2:$A$32,"&gt;="&amp;C$4,Daily!$A$2:$A$32,"&lt;="&amp;C$5))</f>
        <v/>
      </c>
      <c r="D62" s="12">
        <f>IF(D$4="","",SUMIFS(Daily!$F$2:$F$32,Daily!$A$2:$A$32,"&gt;="&amp;D$4,Daily!$A$2:$A$32,"&lt;="&amp;D$5))</f>
        <v/>
      </c>
      <c r="E62" s="12">
        <f>IF(E$4="","",SUMIFS(Daily!$F$2:$F$32,Daily!$A$2:$A$32,"&gt;="&amp;E$4,Daily!$A$2:$A$32,"&lt;="&amp;E$5))</f>
        <v/>
      </c>
      <c r="F62" s="12">
        <f>IF(F$4="","",SUMIFS(Daily!$F$2:$F$32,Daily!$A$2:$A$32,"&gt;="&amp;F$4,Daily!$A$2:$A$32,"&lt;="&amp;F$5))</f>
        <v/>
      </c>
      <c r="G62" s="12">
        <f>SUM(B62:F62)</f>
        <v/>
      </c>
    </row>
    <row r="63">
      <c r="A63" s="24" t="inlineStr">
        <is>
          <t>Lost deals</t>
        </is>
      </c>
      <c r="B63" s="12">
        <f>IF(B$4="","",SUMIFS(Daily!$L$2:$L$32,Daily!$A$2:$A$32,"&gt;="&amp;B$4,Daily!$A$2:$A$32,"&lt;="&amp;B$5))</f>
        <v/>
      </c>
      <c r="C63" s="12">
        <f>IF(C$4="","",SUMIFS(Daily!$L$2:$L$32,Daily!$A$2:$A$32,"&gt;="&amp;C$4,Daily!$A$2:$A$32,"&lt;="&amp;C$5))</f>
        <v/>
      </c>
      <c r="D63" s="12">
        <f>IF(D$4="","",SUMIFS(Daily!$L$2:$L$32,Daily!$A$2:$A$32,"&gt;="&amp;D$4,Daily!$A$2:$A$32,"&lt;="&amp;D$5))</f>
        <v/>
      </c>
      <c r="E63" s="12">
        <f>IF(E$4="","",SUMIFS(Daily!$L$2:$L$32,Daily!$A$2:$A$32,"&gt;="&amp;E$4,Daily!$A$2:$A$32,"&lt;="&amp;E$5))</f>
        <v/>
      </c>
      <c r="F63" s="12">
        <f>IF(F$4="","",SUMIFS(Daily!$L$2:$L$32,Daily!$A$2:$A$32,"&gt;="&amp;F$4,Daily!$A$2:$A$32,"&lt;="&amp;F$5))</f>
        <v/>
      </c>
      <c r="G63" s="12">
        <f>SUM(B63:F63)</f>
        <v/>
      </c>
    </row>
    <row r="64">
      <c r="A64" s="24" t="inlineStr">
        <is>
          <t>Refunds (number)</t>
        </is>
      </c>
      <c r="B64" s="12">
        <f>IF(B$4="","",SUMIFS(Daily!$M$2:$M$32,Daily!$A$2:$A$32,"&gt;="&amp;B$4,Daily!$A$2:$A$32,"&lt;="&amp;B$5))</f>
        <v/>
      </c>
      <c r="C64" s="12">
        <f>IF(C$4="","",SUMIFS(Daily!$M$2:$M$32,Daily!$A$2:$A$32,"&gt;="&amp;C$4,Daily!$A$2:$A$32,"&lt;="&amp;C$5))</f>
        <v/>
      </c>
      <c r="D64" s="12">
        <f>IF(D$4="","",SUMIFS(Daily!$M$2:$M$32,Daily!$A$2:$A$32,"&gt;="&amp;D$4,Daily!$A$2:$A$32,"&lt;="&amp;D$5))</f>
        <v/>
      </c>
      <c r="E64" s="12">
        <f>IF(E$4="","",SUMIFS(Daily!$M$2:$M$32,Daily!$A$2:$A$32,"&gt;="&amp;E$4,Daily!$A$2:$A$32,"&lt;="&amp;E$5))</f>
        <v/>
      </c>
      <c r="F64" s="12">
        <f>IF(F$4="","",SUMIFS(Daily!$M$2:$M$32,Daily!$A$2:$A$32,"&gt;="&amp;F$4,Daily!$A$2:$A$32,"&lt;="&amp;F$5))</f>
        <v/>
      </c>
      <c r="G64" s="12">
        <f>SUM(B64:F64)</f>
        <v/>
      </c>
    </row>
    <row r="65">
      <c r="A65" s="24" t="inlineStr">
        <is>
          <t>Refunds total (AED, Log 3)</t>
        </is>
      </c>
      <c r="B65" s="14">
        <f>IF(B$4="","",SUMIFS(Log3_Refunds!$D$3:$D$202,Log3_Refunds!$A$3:$A$202,"&gt;="&amp;B$4,Log3_Refunds!$A$3:$A$202,"&lt;="&amp;B$5))</f>
        <v/>
      </c>
      <c r="C65" s="14">
        <f>IF(C$4="","",SUMIFS(Log3_Refunds!$D$3:$D$202,Log3_Refunds!$A$3:$A$202,"&gt;="&amp;C$4,Log3_Refunds!$A$3:$A$202,"&lt;="&amp;C$5))</f>
        <v/>
      </c>
      <c r="D65" s="14">
        <f>IF(D$4="","",SUMIFS(Log3_Refunds!$D$3:$D$202,Log3_Refunds!$A$3:$A$202,"&gt;="&amp;D$4,Log3_Refunds!$A$3:$A$202,"&lt;="&amp;D$5))</f>
        <v/>
      </c>
      <c r="E65" s="14">
        <f>IF(E$4="","",SUMIFS(Log3_Refunds!$D$3:$D$202,Log3_Refunds!$A$3:$A$202,"&gt;="&amp;E$4,Log3_Refunds!$A$3:$A$202,"&lt;="&amp;E$5))</f>
        <v/>
      </c>
      <c r="F65" s="14">
        <f>IF(F$4="","",SUMIFS(Log3_Refunds!$D$3:$D$202,Log3_Refunds!$A$3:$A$202,"&gt;="&amp;F$4,Log3_Refunds!$A$3:$A$202,"&lt;="&amp;F$5))</f>
        <v/>
      </c>
      <c r="G65" s="14">
        <f>SUM(B65:F65)</f>
        <v/>
      </c>
    </row>
    <row r="66">
      <c r="A66" s="24" t="inlineStr">
        <is>
          <t>Complaints / errors</t>
        </is>
      </c>
      <c r="B66" s="12">
        <f>IF(B$4="","",SUMIFS(Daily!$N$2:$N$32,Daily!$A$2:$A$32,"&gt;="&amp;B$4,Daily!$A$2:$A$32,"&lt;="&amp;B$5))</f>
        <v/>
      </c>
      <c r="C66" s="12">
        <f>IF(C$4="","",SUMIFS(Daily!$N$2:$N$32,Daily!$A$2:$A$32,"&gt;="&amp;C$4,Daily!$A$2:$A$32,"&lt;="&amp;C$5))</f>
        <v/>
      </c>
      <c r="D66" s="12">
        <f>IF(D$4="","",SUMIFS(Daily!$N$2:$N$32,Daily!$A$2:$A$32,"&gt;="&amp;D$4,Daily!$A$2:$A$32,"&lt;="&amp;D$5))</f>
        <v/>
      </c>
      <c r="E66" s="12">
        <f>IF(E$4="","",SUMIFS(Daily!$N$2:$N$32,Daily!$A$2:$A$32,"&gt;="&amp;E$4,Daily!$A$2:$A$32,"&lt;="&amp;E$5))</f>
        <v/>
      </c>
      <c r="F66" s="12">
        <f>IF(F$4="","",SUMIFS(Daily!$N$2:$N$32,Daily!$A$2:$A$32,"&gt;="&amp;F$4,Daily!$A$2:$A$32,"&lt;="&amp;F$5))</f>
        <v/>
      </c>
      <c r="G66" s="12">
        <f>SUM(B66:F66)</f>
        <v/>
      </c>
    </row>
    <row r="67">
      <c r="A67" s="24" t="inlineStr">
        <is>
          <t>Discount requests</t>
        </is>
      </c>
      <c r="B67" s="12">
        <f>IF(B$4="","",SUMIFS(Daily!$O$2:$O$32,Daily!$A$2:$A$32,"&gt;="&amp;B$4,Daily!$A$2:$A$32,"&lt;="&amp;B$5))</f>
        <v/>
      </c>
      <c r="C67" s="12">
        <f>IF(C$4="","",SUMIFS(Daily!$O$2:$O$32,Daily!$A$2:$A$32,"&gt;="&amp;C$4,Daily!$A$2:$A$32,"&lt;="&amp;C$5))</f>
        <v/>
      </c>
      <c r="D67" s="12">
        <f>IF(D$4="","",SUMIFS(Daily!$O$2:$O$32,Daily!$A$2:$A$32,"&gt;="&amp;D$4,Daily!$A$2:$A$32,"&lt;="&amp;D$5))</f>
        <v/>
      </c>
      <c r="E67" s="12">
        <f>IF(E$4="","",SUMIFS(Daily!$O$2:$O$32,Daily!$A$2:$A$32,"&gt;="&amp;E$4,Daily!$A$2:$A$32,"&lt;="&amp;E$5))</f>
        <v/>
      </c>
      <c r="F67" s="12">
        <f>IF(F$4="","",SUMIFS(Daily!$O$2:$O$32,Daily!$A$2:$A$32,"&gt;="&amp;F$4,Daily!$A$2:$A$32,"&lt;="&amp;F$5))</f>
        <v/>
      </c>
      <c r="G67" s="12">
        <f>SUM(B67:F67)</f>
        <v/>
      </c>
    </row>
    <row r="68">
      <c r="A68" s="24" t="inlineStr">
        <is>
          <t>System issues</t>
        </is>
      </c>
      <c r="B68" s="12">
        <f>IF(B$4="","",SUMIFS(Daily!$P$2:$P$32,Daily!$A$2:$A$32,"&gt;="&amp;B$4,Daily!$A$2:$A$32,"&lt;="&amp;B$5))</f>
        <v/>
      </c>
      <c r="C68" s="12">
        <f>IF(C$4="","",SUMIFS(Daily!$P$2:$P$32,Daily!$A$2:$A$32,"&gt;="&amp;C$4,Daily!$A$2:$A$32,"&lt;="&amp;C$5))</f>
        <v/>
      </c>
      <c r="D68" s="12">
        <f>IF(D$4="","",SUMIFS(Daily!$P$2:$P$32,Daily!$A$2:$A$32,"&gt;="&amp;D$4,Daily!$A$2:$A$32,"&lt;="&amp;D$5))</f>
        <v/>
      </c>
      <c r="E68" s="12">
        <f>IF(E$4="","",SUMIFS(Daily!$P$2:$P$32,Daily!$A$2:$A$32,"&gt;="&amp;E$4,Daily!$A$2:$A$32,"&lt;="&amp;E$5))</f>
        <v/>
      </c>
      <c r="F68" s="12">
        <f>IF(F$4="","",SUMIFS(Daily!$P$2:$P$32,Daily!$A$2:$A$32,"&gt;="&amp;F$4,Daily!$A$2:$A$32,"&lt;="&amp;F$5))</f>
        <v/>
      </c>
      <c r="G68" s="12">
        <f>SUM(B68:F68)</f>
        <v/>
      </c>
    </row>
    <row r="69">
      <c r="A69" s="24" t="inlineStr">
        <is>
          <t>White phone calls</t>
        </is>
      </c>
      <c r="B69" s="12">
        <f>IF(B$4="","",SUMIFS(Daily!$K$2:$K$32,Daily!$A$2:$A$32,"&gt;="&amp;B$4,Daily!$A$2:$A$32,"&lt;="&amp;B$5))</f>
        <v/>
      </c>
      <c r="C69" s="12">
        <f>IF(C$4="","",SUMIFS(Daily!$K$2:$K$32,Daily!$A$2:$A$32,"&gt;="&amp;C$4,Daily!$A$2:$A$32,"&lt;="&amp;C$5))</f>
        <v/>
      </c>
      <c r="D69" s="12">
        <f>IF(D$4="","",SUMIFS(Daily!$K$2:$K$32,Daily!$A$2:$A$32,"&gt;="&amp;D$4,Daily!$A$2:$A$32,"&lt;="&amp;D$5))</f>
        <v/>
      </c>
      <c r="E69" s="12">
        <f>IF(E$4="","",SUMIFS(Daily!$K$2:$K$32,Daily!$A$2:$A$32,"&gt;="&amp;E$4,Daily!$A$2:$A$32,"&lt;="&amp;E$5))</f>
        <v/>
      </c>
      <c r="F69" s="12">
        <f>IF(F$4="","",SUMIFS(Daily!$K$2:$K$32,Daily!$A$2:$A$32,"&gt;="&amp;F$4,Daily!$A$2:$A$32,"&lt;="&amp;F$5))</f>
        <v/>
      </c>
      <c r="G69" s="12">
        <f>SUM(B69:F69)</f>
        <v/>
      </c>
    </row>
    <row r="70">
      <c r="A70" s="24" t="inlineStr">
        <is>
          <t>Agent absence days</t>
        </is>
      </c>
      <c r="B70" s="12">
        <f>IF(B$4="","",SUMIFS(Daily!$H$2:$H$32,Daily!$A$2:$A$32,"&gt;="&amp;B$4,Daily!$A$2:$A$32,"&lt;="&amp;B$5))</f>
        <v/>
      </c>
      <c r="C70" s="12">
        <f>IF(C$4="","",SUMIFS(Daily!$H$2:$H$32,Daily!$A$2:$A$32,"&gt;="&amp;C$4,Daily!$A$2:$A$32,"&lt;="&amp;C$5))</f>
        <v/>
      </c>
      <c r="D70" s="12">
        <f>IF(D$4="","",SUMIFS(Daily!$H$2:$H$32,Daily!$A$2:$A$32,"&gt;="&amp;D$4,Daily!$A$2:$A$32,"&lt;="&amp;D$5))</f>
        <v/>
      </c>
      <c r="E70" s="12">
        <f>IF(E$4="","",SUMIFS(Daily!$H$2:$H$32,Daily!$A$2:$A$32,"&gt;="&amp;E$4,Daily!$A$2:$A$32,"&lt;="&amp;E$5))</f>
        <v/>
      </c>
      <c r="F70" s="12">
        <f>IF(F$4="","",SUMIFS(Daily!$H$2:$H$32,Daily!$A$2:$A$32,"&gt;="&amp;F$4,Daily!$A$2:$A$32,"&lt;="&amp;F$5))</f>
        <v/>
      </c>
      <c r="G70" s="12">
        <f>SUM(B70:F70)</f>
        <v/>
      </c>
    </row>
    <row r="72">
      <c r="A72" s="25" t="inlineStr">
        <is>
          <t>LOG CHECK (Daily count vs rows in the log sheet)</t>
        </is>
      </c>
      <c r="B72" s="26" t="n"/>
      <c r="C72" s="26" t="n"/>
      <c r="D72" s="26" t="n"/>
      <c r="E72" s="26" t="n"/>
      <c r="F72" s="26" t="n"/>
      <c r="G72" s="26" t="n"/>
    </row>
    <row r="73">
      <c r="A73" s="24" t="inlineStr">
        <is>
          <t>Chat issues</t>
        </is>
      </c>
      <c r="B73" s="12">
        <f>IF(B$4="","",IF(COUNTIFS(ChatIssues!$A$3:$A$202,"&gt;="&amp;B$4,ChatIssues!$A$3:$A$202,"&lt;="&amp;B$5)=B61,"OK","CHECK"))</f>
        <v/>
      </c>
      <c r="C73" s="12">
        <f>IF(C$4="","",IF(COUNTIFS(ChatIssues!$A$3:$A$202,"&gt;="&amp;C$4,ChatIssues!$A$3:$A$202,"&lt;="&amp;C$5)=C61,"OK","CHECK"))</f>
        <v/>
      </c>
      <c r="D73" s="12">
        <f>IF(D$4="","",IF(COUNTIFS(ChatIssues!$A$3:$A$202,"&gt;="&amp;D$4,ChatIssues!$A$3:$A$202,"&lt;="&amp;D$5)=D61,"OK","CHECK"))</f>
        <v/>
      </c>
      <c r="E73" s="12">
        <f>IF(E$4="","",IF(COUNTIFS(ChatIssues!$A$3:$A$202,"&gt;="&amp;E$4,ChatIssues!$A$3:$A$202,"&lt;="&amp;E$5)=E61,"OK","CHECK"))</f>
        <v/>
      </c>
      <c r="F73" s="12">
        <f>IF(F$4="","",IF(COUNTIFS(ChatIssues!$A$3:$A$202,"&gt;="&amp;F$4,ChatIssues!$A$3:$A$202,"&lt;="&amp;F$5)=F61,"OK","CHECK"))</f>
        <v/>
      </c>
      <c r="G73" s="12" t="n"/>
    </row>
    <row r="74">
      <c r="A74" s="24" t="inlineStr">
        <is>
          <t>1:1 meetings</t>
        </is>
      </c>
      <c r="B74" s="12">
        <f>IF(B$4="","",IF(COUNTIFS(Log1_OneToOne!$A$3:$A$202,"&gt;="&amp;B$4,Log1_OneToOne!$A$3:$A$202,"&lt;="&amp;B$5)=B62,"OK","CHECK"))</f>
        <v/>
      </c>
      <c r="C74" s="12">
        <f>IF(C$4="","",IF(COUNTIFS(Log1_OneToOne!$A$3:$A$202,"&gt;="&amp;C$4,Log1_OneToOne!$A$3:$A$202,"&lt;="&amp;C$5)=C62,"OK","CHECK"))</f>
        <v/>
      </c>
      <c r="D74" s="12">
        <f>IF(D$4="","",IF(COUNTIFS(Log1_OneToOne!$A$3:$A$202,"&gt;="&amp;D$4,Log1_OneToOne!$A$3:$A$202,"&lt;="&amp;D$5)=D62,"OK","CHECK"))</f>
        <v/>
      </c>
      <c r="E74" s="12">
        <f>IF(E$4="","",IF(COUNTIFS(Log1_OneToOne!$A$3:$A$202,"&gt;="&amp;E$4,Log1_OneToOne!$A$3:$A$202,"&lt;="&amp;E$5)=E62,"OK","CHECK"))</f>
        <v/>
      </c>
      <c r="F74" s="12">
        <f>IF(F$4="","",IF(COUNTIFS(Log1_OneToOne!$A$3:$A$202,"&gt;="&amp;F$4,Log1_OneToOne!$A$3:$A$202,"&lt;="&amp;F$5)=F62,"OK","CHECK"))</f>
        <v/>
      </c>
      <c r="G74" s="12" t="n"/>
    </row>
    <row r="75">
      <c r="A75" s="24" t="inlineStr">
        <is>
          <t>Lost deals</t>
        </is>
      </c>
      <c r="B75" s="12">
        <f>IF(B$4="","",IF(COUNTIFS(Log2_LostDeals!$A$3:$A$202,"&gt;="&amp;B$4,Log2_LostDeals!$A$3:$A$202,"&lt;="&amp;B$5)=B63,"OK","CHECK"))</f>
        <v/>
      </c>
      <c r="C75" s="12">
        <f>IF(C$4="","",IF(COUNTIFS(Log2_LostDeals!$A$3:$A$202,"&gt;="&amp;C$4,Log2_LostDeals!$A$3:$A$202,"&lt;="&amp;C$5)=C63,"OK","CHECK"))</f>
        <v/>
      </c>
      <c r="D75" s="12">
        <f>IF(D$4="","",IF(COUNTIFS(Log2_LostDeals!$A$3:$A$202,"&gt;="&amp;D$4,Log2_LostDeals!$A$3:$A$202,"&lt;="&amp;D$5)=D63,"OK","CHECK"))</f>
        <v/>
      </c>
      <c r="E75" s="12">
        <f>IF(E$4="","",IF(COUNTIFS(Log2_LostDeals!$A$3:$A$202,"&gt;="&amp;E$4,Log2_LostDeals!$A$3:$A$202,"&lt;="&amp;E$5)=E63,"OK","CHECK"))</f>
        <v/>
      </c>
      <c r="F75" s="12">
        <f>IF(F$4="","",IF(COUNTIFS(Log2_LostDeals!$A$3:$A$202,"&gt;="&amp;F$4,Log2_LostDeals!$A$3:$A$202,"&lt;="&amp;F$5)=F63,"OK","CHECK"))</f>
        <v/>
      </c>
      <c r="G75" s="12" t="n"/>
    </row>
    <row r="76">
      <c r="A76" s="24" t="inlineStr">
        <is>
          <t>Refunds</t>
        </is>
      </c>
      <c r="B76" s="12">
        <f>IF(B$4="","",IF(COUNTIFS(Log3_Refunds!$A$3:$A$202,"&gt;="&amp;B$4,Log3_Refunds!$A$3:$A$202,"&lt;="&amp;B$5)=B64,"OK","CHECK"))</f>
        <v/>
      </c>
      <c r="C76" s="12">
        <f>IF(C$4="","",IF(COUNTIFS(Log3_Refunds!$A$3:$A$202,"&gt;="&amp;C$4,Log3_Refunds!$A$3:$A$202,"&lt;="&amp;C$5)=C64,"OK","CHECK"))</f>
        <v/>
      </c>
      <c r="D76" s="12">
        <f>IF(D$4="","",IF(COUNTIFS(Log3_Refunds!$A$3:$A$202,"&gt;="&amp;D$4,Log3_Refunds!$A$3:$A$202,"&lt;="&amp;D$5)=D64,"OK","CHECK"))</f>
        <v/>
      </c>
      <c r="E76" s="12">
        <f>IF(E$4="","",IF(COUNTIFS(Log3_Refunds!$A$3:$A$202,"&gt;="&amp;E$4,Log3_Refunds!$A$3:$A$202,"&lt;="&amp;E$5)=E64,"OK","CHECK"))</f>
        <v/>
      </c>
      <c r="F76" s="12">
        <f>IF(F$4="","",IF(COUNTIFS(Log3_Refunds!$A$3:$A$202,"&gt;="&amp;F$4,Log3_Refunds!$A$3:$A$202,"&lt;="&amp;F$5)=F64,"OK","CHECK"))</f>
        <v/>
      </c>
      <c r="G76" s="12" t="n"/>
    </row>
    <row r="77">
      <c r="A77" s="24" t="inlineStr">
        <is>
          <t>Complaints / errors</t>
        </is>
      </c>
      <c r="B77" s="12">
        <f>IF(B$4="","",IF(COUNTIFS(Log4_Complaints!$A$3:$A$202,"&gt;="&amp;B$4,Log4_Complaints!$A$3:$A$202,"&lt;="&amp;B$5)=B66,"OK","CHECK"))</f>
        <v/>
      </c>
      <c r="C77" s="12">
        <f>IF(C$4="","",IF(COUNTIFS(Log4_Complaints!$A$3:$A$202,"&gt;="&amp;C$4,Log4_Complaints!$A$3:$A$202,"&lt;="&amp;C$5)=C66,"OK","CHECK"))</f>
        <v/>
      </c>
      <c r="D77" s="12">
        <f>IF(D$4="","",IF(COUNTIFS(Log4_Complaints!$A$3:$A$202,"&gt;="&amp;D$4,Log4_Complaints!$A$3:$A$202,"&lt;="&amp;D$5)=D66,"OK","CHECK"))</f>
        <v/>
      </c>
      <c r="E77" s="12">
        <f>IF(E$4="","",IF(COUNTIFS(Log4_Complaints!$A$3:$A$202,"&gt;="&amp;E$4,Log4_Complaints!$A$3:$A$202,"&lt;="&amp;E$5)=E66,"OK","CHECK"))</f>
        <v/>
      </c>
      <c r="F77" s="12">
        <f>IF(F$4="","",IF(COUNTIFS(Log4_Complaints!$A$3:$A$202,"&gt;="&amp;F$4,Log4_Complaints!$A$3:$A$202,"&lt;="&amp;F$5)=F66,"OK","CHECK"))</f>
        <v/>
      </c>
      <c r="G77" s="12" t="n"/>
    </row>
    <row r="78">
      <c r="A78" s="24" t="inlineStr">
        <is>
          <t>Discount requests</t>
        </is>
      </c>
      <c r="B78" s="12">
        <f>IF(B$4="","",IF(COUNTIFS(Log5_Discounts!$A$3:$A$202,"&gt;="&amp;B$4,Log5_Discounts!$A$3:$A$202,"&lt;="&amp;B$5)=B67,"OK","CHECK"))</f>
        <v/>
      </c>
      <c r="C78" s="12">
        <f>IF(C$4="","",IF(COUNTIFS(Log5_Discounts!$A$3:$A$202,"&gt;="&amp;C$4,Log5_Discounts!$A$3:$A$202,"&lt;="&amp;C$5)=C67,"OK","CHECK"))</f>
        <v/>
      </c>
      <c r="D78" s="12">
        <f>IF(D$4="","",IF(COUNTIFS(Log5_Discounts!$A$3:$A$202,"&gt;="&amp;D$4,Log5_Discounts!$A$3:$A$202,"&lt;="&amp;D$5)=D67,"OK","CHECK"))</f>
        <v/>
      </c>
      <c r="E78" s="12">
        <f>IF(E$4="","",IF(COUNTIFS(Log5_Discounts!$A$3:$A$202,"&gt;="&amp;E$4,Log5_Discounts!$A$3:$A$202,"&lt;="&amp;E$5)=E67,"OK","CHECK"))</f>
        <v/>
      </c>
      <c r="F78" s="12">
        <f>IF(F$4="","",IF(COUNTIFS(Log5_Discounts!$A$3:$A$202,"&gt;="&amp;F$4,Log5_Discounts!$A$3:$A$202,"&lt;="&amp;F$5)=F67,"OK","CHECK"))</f>
        <v/>
      </c>
      <c r="G78" s="12" t="n"/>
    </row>
    <row r="79">
      <c r="A79" s="24" t="inlineStr">
        <is>
          <t>System issues</t>
        </is>
      </c>
      <c r="B79" s="12">
        <f>IF(B$4="","",IF(COUNTIFS(Log6_SystemIssues!$A$3:$A$202,"&gt;="&amp;B$4,Log6_SystemIssues!$A$3:$A$202,"&lt;="&amp;B$5)=B68,"OK","CHECK"))</f>
        <v/>
      </c>
      <c r="C79" s="12">
        <f>IF(C$4="","",IF(COUNTIFS(Log6_SystemIssues!$A$3:$A$202,"&gt;="&amp;C$4,Log6_SystemIssues!$A$3:$A$202,"&lt;="&amp;C$5)=C68,"OK","CHECK"))</f>
        <v/>
      </c>
      <c r="D79" s="12">
        <f>IF(D$4="","",IF(COUNTIFS(Log6_SystemIssues!$A$3:$A$202,"&gt;="&amp;D$4,Log6_SystemIssues!$A$3:$A$202,"&lt;="&amp;D$5)=D68,"OK","CHECK"))</f>
        <v/>
      </c>
      <c r="E79" s="12">
        <f>IF(E$4="","",IF(COUNTIFS(Log6_SystemIssues!$A$3:$A$202,"&gt;="&amp;E$4,Log6_SystemIssues!$A$3:$A$202,"&lt;="&amp;E$5)=E68,"OK","CHECK"))</f>
        <v/>
      </c>
      <c r="F79" s="12">
        <f>IF(F$4="","",IF(COUNTIFS(Log6_SystemIssues!$A$3:$A$202,"&gt;="&amp;F$4,Log6_SystemIssues!$A$3:$A$202,"&lt;="&amp;F$5)=F68,"OK","CHECK"))</f>
        <v/>
      </c>
      <c r="G79" s="12" t="n"/>
    </row>
  </sheetData>
  <conditionalFormatting sqref="B73:F79">
    <cfRule type="cellIs" priority="1" operator="equal" dxfId="0">
      <formula>"CHECK"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2" customWidth="1" min="4" max="4"/>
    <col width="14" customWidth="1" min="5" max="5"/>
    <col width="10" customWidth="1" min="6" max="6"/>
    <col width="10" customWidth="1" min="7" max="7"/>
    <col width="16" customWidth="1" min="8" max="8"/>
    <col width="16" customWidth="1" min="9" max="9"/>
    <col width="16" customWidth="1" min="10" max="10"/>
    <col width="22" customWidth="1" min="11" max="11"/>
    <col width="12" customWidth="1" min="12" max="12"/>
    <col width="40" customWidth="1" min="13" max="13"/>
    <col width="40" customWidth="1" min="14" max="14"/>
  </cols>
  <sheetData>
    <row r="1">
      <c r="A1" s="1" t="inlineStr">
        <is>
          <t>Monthly Review – Form 4 (fills itself) + month dashboard</t>
        </is>
      </c>
    </row>
    <row r="2">
      <c r="A2" s="2" t="inlineStr">
        <is>
          <t>Targets come from Setup; achieved from Sales; skill totals from SkillCard.</t>
        </is>
      </c>
    </row>
    <row r="3">
      <c r="A3" s="25" t="inlineStr">
        <is>
          <t>TEAM DASHBOARD</t>
        </is>
      </c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</row>
    <row r="4">
      <c r="A4" s="9" t="inlineStr">
        <is>
          <t>Team target (AED)</t>
        </is>
      </c>
      <c r="B4" s="14">
        <f>IF(Setup!B7="","",Setup!B7)</f>
        <v/>
      </c>
    </row>
    <row r="5">
      <c r="A5" s="9" t="inlineStr">
        <is>
          <t>Achieved (AED)</t>
        </is>
      </c>
      <c r="B5" s="14">
        <f>SUM(Sales!K2:K32)</f>
        <v/>
      </c>
    </row>
    <row r="6">
      <c r="A6" s="9" t="inlineStr">
        <is>
          <t>Achievement %</t>
        </is>
      </c>
      <c r="B6" s="27">
        <f>IF(B4="","",B5/B4)</f>
        <v/>
      </c>
    </row>
    <row r="7">
      <c r="A7" s="9" t="inlineStr">
        <is>
          <t>Remaining (AED)</t>
        </is>
      </c>
      <c r="B7" s="14">
        <f>IF(B4="","",MAX(0,B4-B5))</f>
        <v/>
      </c>
    </row>
    <row r="8">
      <c r="A8" s="9" t="inlineStr">
        <is>
          <t>Working days in month</t>
        </is>
      </c>
      <c r="B8" s="12">
        <f>Setup!B8</f>
        <v/>
      </c>
    </row>
    <row r="9">
      <c r="A9" s="9" t="inlineStr">
        <is>
          <t>Working days elapsed (to today)</t>
        </is>
      </c>
      <c r="B9" s="12">
        <f>SUMIFS(Calendar!D2:D32,Calendar!A2:A32,"&lt;="&amp;TODAY())</f>
        <v/>
      </c>
    </row>
    <row r="10">
      <c r="A10" s="9" t="inlineStr">
        <is>
          <t>Working days remaining</t>
        </is>
      </c>
      <c r="B10" s="12">
        <f>B8-B9</f>
        <v/>
      </c>
    </row>
    <row r="11">
      <c r="A11" s="9" t="inlineStr">
        <is>
          <t>Required daily run rate (AED)</t>
        </is>
      </c>
      <c r="B11" s="14">
        <f>IF(OR(B7="",B10&lt;=0),"",B7/B10)</f>
        <v/>
      </c>
    </row>
    <row r="12">
      <c r="A12" s="9" t="inlineStr">
        <is>
          <t>Actual daily average so far (AED)</t>
        </is>
      </c>
      <c r="B12" s="14">
        <f>IF(B9=0,"",B5/B9)</f>
        <v/>
      </c>
    </row>
    <row r="13">
      <c r="A13" s="9" t="inlineStr">
        <is>
          <t>Forecast month-end at current pace (AED)</t>
        </is>
      </c>
      <c r="B13" s="14">
        <f>IF(B12="","",B12*B8)</f>
        <v/>
      </c>
    </row>
    <row r="15">
      <c r="A15" s="25" t="inlineStr">
        <is>
          <t>MONTH TOTALS (from Daily)</t>
        </is>
      </c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</row>
    <row r="16">
      <c r="A16" s="9" t="inlineStr">
        <is>
          <t>Chats reviewed</t>
        </is>
      </c>
      <c r="B16" s="12">
        <f>SUM(Daily!C2:C32)</f>
        <v/>
      </c>
    </row>
    <row r="17">
      <c r="A17" s="9" t="inlineStr">
        <is>
          <t>Chats with issues</t>
        </is>
      </c>
      <c r="B17" s="12">
        <f>SUM(Daily!D2:D32)</f>
        <v/>
      </c>
    </row>
    <row r="18">
      <c r="A18" s="9" t="inlineStr">
        <is>
          <t>1:1 meetings</t>
        </is>
      </c>
      <c r="B18" s="12">
        <f>SUM(Daily!F2:F32)</f>
        <v/>
      </c>
    </row>
    <row r="19">
      <c r="A19" s="9" t="inlineStr">
        <is>
          <t>Lost deals</t>
        </is>
      </c>
      <c r="B19" s="12">
        <f>SUM(Daily!L2:L32)</f>
        <v/>
      </c>
    </row>
    <row r="20">
      <c r="A20" s="9" t="inlineStr">
        <is>
          <t>Refunds</t>
        </is>
      </c>
      <c r="B20" s="12">
        <f>SUM(Daily!M2:M32)</f>
        <v/>
      </c>
    </row>
    <row r="21">
      <c r="A21" s="9" t="inlineStr">
        <is>
          <t>Complaints / errors</t>
        </is>
      </c>
      <c r="B21" s="12">
        <f>SUM(Daily!N2:N32)</f>
        <v/>
      </c>
    </row>
    <row r="22">
      <c r="A22" s="9" t="inlineStr">
        <is>
          <t>Discount requests</t>
        </is>
      </c>
      <c r="B22" s="12">
        <f>SUM(Daily!O2:O32)</f>
        <v/>
      </c>
    </row>
    <row r="23">
      <c r="A23" s="9" t="inlineStr">
        <is>
          <t>System issues</t>
        </is>
      </c>
      <c r="B23" s="12">
        <f>SUM(Daily!P2:P32)</f>
        <v/>
      </c>
    </row>
    <row r="24">
      <c r="A24" s="9" t="inlineStr">
        <is>
          <t>White phone calls</t>
        </is>
      </c>
      <c r="B24" s="12">
        <f>SUM(Daily!K2:K32)</f>
        <v/>
      </c>
    </row>
    <row r="25">
      <c r="A25" s="9" t="inlineStr">
        <is>
          <t>Refunds total (AED)</t>
        </is>
      </c>
      <c r="B25" s="14">
        <f>SUM(Log3_Refunds!D3:D202)</f>
        <v/>
      </c>
    </row>
    <row r="27">
      <c r="A27" s="25" t="inlineStr">
        <is>
          <t>AGENT REVIEW (Form 4 · one line per agent)</t>
        </is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</row>
    <row r="28" ht="40" customHeight="1">
      <c r="A28" s="15" t="inlineStr">
        <is>
          <t>Agent</t>
        </is>
      </c>
      <c r="B28" s="15" t="inlineStr">
        <is>
          <t>1  Target (AED)</t>
        </is>
      </c>
      <c r="C28" s="15" t="inlineStr">
        <is>
          <t>2  Achieved (AED)</t>
        </is>
      </c>
      <c r="D28" s="15" t="inlineStr">
        <is>
          <t>Achieved %</t>
        </is>
      </c>
      <c r="E28" s="15" t="inlineStr">
        <is>
          <t>Gap (AED)</t>
        </is>
      </c>
      <c r="F28" s="15" t="inlineStr">
        <is>
          <t>3  Target hit?</t>
        </is>
      </c>
      <c r="G28" s="15" t="inlineStr">
        <is>
          <t>Status</t>
        </is>
      </c>
      <c r="H28" s="15" t="inlineStr">
        <is>
          <t>Previous month (AED)</t>
        </is>
      </c>
      <c r="I28" s="15" t="inlineStr">
        <is>
          <t>Change vs previous (AED)</t>
        </is>
      </c>
      <c r="J28" s="15" t="inlineStr">
        <is>
          <t>4  Target next month (AED)</t>
        </is>
      </c>
      <c r="K28" s="15" t="inlineStr">
        <is>
          <t>5  Main reason if not hit</t>
        </is>
      </c>
      <c r="L28" s="15" t="inlineStr">
        <is>
          <t>12  Skill total (/60)</t>
        </is>
      </c>
      <c r="M28" s="15" t="inlineStr">
        <is>
          <t>13  Overall summary</t>
        </is>
      </c>
      <c r="N28" s="15" t="inlineStr">
        <is>
          <t>14  Focus for next month</t>
        </is>
      </c>
    </row>
    <row r="29">
      <c r="A29" s="30">
        <f>Setup!B13</f>
        <v/>
      </c>
      <c r="B29" s="14">
        <f>IF(Setup!C13="","",Setup!C13)</f>
        <v/>
      </c>
      <c r="C29" s="14">
        <f>SUMPRODUCT((Sales!$C$1:$J$1=$A29)*Sales!$C$2:$J$32)</f>
        <v/>
      </c>
      <c r="D29" s="27">
        <f>IF(B29="","",C29/B29)</f>
        <v/>
      </c>
      <c r="E29" s="14">
        <f>IF(B29="","",MAX(0,B29-C29))</f>
        <v/>
      </c>
      <c r="F29" s="12">
        <f>IF(B29="","",IF(C29&gt;=B29,"Yes","No"))</f>
        <v/>
      </c>
      <c r="G29" s="12">
        <f>IF(D29="","",IF(D29&gt;=1,"GREEN",IF(D29&gt;=0.7,"YELLOW","RED")))</f>
        <v/>
      </c>
      <c r="H29" s="14">
        <f>Setup!D13</f>
        <v/>
      </c>
      <c r="I29" s="14">
        <f>C29-H29</f>
        <v/>
      </c>
      <c r="J29" s="16" t="n"/>
      <c r="K29" s="10" t="n"/>
      <c r="L29" s="12">
        <f>IF(SUMPRODUCT((SkillCard!$A$2:$A$49=$A29)*(SkillCard!$C$2:$C$49&lt;&gt;""))=0,"",SUMIFS(SkillCard!$C$2:$C$49,SkillCard!$A$2:$A$49,$A29))</f>
        <v/>
      </c>
      <c r="M29" s="20" t="n"/>
      <c r="N29" s="20" t="n"/>
    </row>
    <row r="30">
      <c r="A30" s="30">
        <f>Setup!B14</f>
        <v/>
      </c>
      <c r="B30" s="14">
        <f>IF(Setup!C14="","",Setup!C14)</f>
        <v/>
      </c>
      <c r="C30" s="14">
        <f>SUMPRODUCT((Sales!$C$1:$J$1=$A30)*Sales!$C$2:$J$32)</f>
        <v/>
      </c>
      <c r="D30" s="27">
        <f>IF(B30="","",C30/B30)</f>
        <v/>
      </c>
      <c r="E30" s="14">
        <f>IF(B30="","",MAX(0,B30-C30))</f>
        <v/>
      </c>
      <c r="F30" s="12">
        <f>IF(B30="","",IF(C30&gt;=B30,"Yes","No"))</f>
        <v/>
      </c>
      <c r="G30" s="12">
        <f>IF(D30="","",IF(D30&gt;=1,"GREEN",IF(D30&gt;=0.7,"YELLOW","RED")))</f>
        <v/>
      </c>
      <c r="H30" s="14">
        <f>Setup!D14</f>
        <v/>
      </c>
      <c r="I30" s="14">
        <f>C30-H30</f>
        <v/>
      </c>
      <c r="J30" s="16" t="n"/>
      <c r="K30" s="10" t="n"/>
      <c r="L30" s="12">
        <f>IF(SUMPRODUCT((SkillCard!$A$2:$A$49=$A30)*(SkillCard!$C$2:$C$49&lt;&gt;""))=0,"",SUMIFS(SkillCard!$C$2:$C$49,SkillCard!$A$2:$A$49,$A30))</f>
        <v/>
      </c>
      <c r="M30" s="20" t="n"/>
      <c r="N30" s="20" t="n"/>
    </row>
    <row r="31">
      <c r="A31" s="30">
        <f>Setup!B15</f>
        <v/>
      </c>
      <c r="B31" s="14">
        <f>IF(Setup!C15="","",Setup!C15)</f>
        <v/>
      </c>
      <c r="C31" s="14">
        <f>SUMPRODUCT((Sales!$C$1:$J$1=$A31)*Sales!$C$2:$J$32)</f>
        <v/>
      </c>
      <c r="D31" s="27">
        <f>IF(B31="","",C31/B31)</f>
        <v/>
      </c>
      <c r="E31" s="14">
        <f>IF(B31="","",MAX(0,B31-C31))</f>
        <v/>
      </c>
      <c r="F31" s="12">
        <f>IF(B31="","",IF(C31&gt;=B31,"Yes","No"))</f>
        <v/>
      </c>
      <c r="G31" s="12">
        <f>IF(D31="","",IF(D31&gt;=1,"GREEN",IF(D31&gt;=0.7,"YELLOW","RED")))</f>
        <v/>
      </c>
      <c r="H31" s="14">
        <f>Setup!D15</f>
        <v/>
      </c>
      <c r="I31" s="14">
        <f>C31-H31</f>
        <v/>
      </c>
      <c r="J31" s="16" t="n"/>
      <c r="K31" s="10" t="n"/>
      <c r="L31" s="12">
        <f>IF(SUMPRODUCT((SkillCard!$A$2:$A$49=$A31)*(SkillCard!$C$2:$C$49&lt;&gt;""))=0,"",SUMIFS(SkillCard!$C$2:$C$49,SkillCard!$A$2:$A$49,$A31))</f>
        <v/>
      </c>
      <c r="M31" s="20" t="n"/>
      <c r="N31" s="20" t="n"/>
    </row>
    <row r="32">
      <c r="A32" s="30">
        <f>Setup!B16</f>
        <v/>
      </c>
      <c r="B32" s="14">
        <f>IF(Setup!C16="","",Setup!C16)</f>
        <v/>
      </c>
      <c r="C32" s="14">
        <f>SUMPRODUCT((Sales!$C$1:$J$1=$A32)*Sales!$C$2:$J$32)</f>
        <v/>
      </c>
      <c r="D32" s="27">
        <f>IF(B32="","",C32/B32)</f>
        <v/>
      </c>
      <c r="E32" s="14">
        <f>IF(B32="","",MAX(0,B32-C32))</f>
        <v/>
      </c>
      <c r="F32" s="12">
        <f>IF(B32="","",IF(C32&gt;=B32,"Yes","No"))</f>
        <v/>
      </c>
      <c r="G32" s="12">
        <f>IF(D32="","",IF(D32&gt;=1,"GREEN",IF(D32&gt;=0.7,"YELLOW","RED")))</f>
        <v/>
      </c>
      <c r="H32" s="14">
        <f>Setup!D16</f>
        <v/>
      </c>
      <c r="I32" s="14">
        <f>C32-H32</f>
        <v/>
      </c>
      <c r="J32" s="16" t="n"/>
      <c r="K32" s="10" t="n"/>
      <c r="L32" s="12">
        <f>IF(SUMPRODUCT((SkillCard!$A$2:$A$49=$A32)*(SkillCard!$C$2:$C$49&lt;&gt;""))=0,"",SUMIFS(SkillCard!$C$2:$C$49,SkillCard!$A$2:$A$49,$A32))</f>
        <v/>
      </c>
      <c r="M32" s="20" t="n"/>
      <c r="N32" s="20" t="n"/>
    </row>
    <row r="33">
      <c r="A33" s="30">
        <f>Setup!B17</f>
        <v/>
      </c>
      <c r="B33" s="14">
        <f>IF(Setup!C17="","",Setup!C17)</f>
        <v/>
      </c>
      <c r="C33" s="14">
        <f>SUMPRODUCT((Sales!$C$1:$J$1=$A33)*Sales!$C$2:$J$32)</f>
        <v/>
      </c>
      <c r="D33" s="27">
        <f>IF(B33="","",C33/B33)</f>
        <v/>
      </c>
      <c r="E33" s="14">
        <f>IF(B33="","",MAX(0,B33-C33))</f>
        <v/>
      </c>
      <c r="F33" s="12">
        <f>IF(B33="","",IF(C33&gt;=B33,"Yes","No"))</f>
        <v/>
      </c>
      <c r="G33" s="12">
        <f>IF(D33="","",IF(D33&gt;=1,"GREEN",IF(D33&gt;=0.7,"YELLOW","RED")))</f>
        <v/>
      </c>
      <c r="H33" s="14">
        <f>Setup!D17</f>
        <v/>
      </c>
      <c r="I33" s="14">
        <f>C33-H33</f>
        <v/>
      </c>
      <c r="J33" s="16" t="n"/>
      <c r="K33" s="10" t="n"/>
      <c r="L33" s="12">
        <f>IF(SUMPRODUCT((SkillCard!$A$2:$A$49=$A33)*(SkillCard!$C$2:$C$49&lt;&gt;""))=0,"",SUMIFS(SkillCard!$C$2:$C$49,SkillCard!$A$2:$A$49,$A33))</f>
        <v/>
      </c>
      <c r="M33" s="20" t="n"/>
      <c r="N33" s="20" t="n"/>
    </row>
    <row r="34">
      <c r="A34" s="30">
        <f>Setup!B18</f>
        <v/>
      </c>
      <c r="B34" s="14">
        <f>IF(Setup!C18="","",Setup!C18)</f>
        <v/>
      </c>
      <c r="C34" s="14">
        <f>SUMPRODUCT((Sales!$C$1:$J$1=$A34)*Sales!$C$2:$J$32)</f>
        <v/>
      </c>
      <c r="D34" s="27">
        <f>IF(B34="","",C34/B34)</f>
        <v/>
      </c>
      <c r="E34" s="14">
        <f>IF(B34="","",MAX(0,B34-C34))</f>
        <v/>
      </c>
      <c r="F34" s="12">
        <f>IF(B34="","",IF(C34&gt;=B34,"Yes","No"))</f>
        <v/>
      </c>
      <c r="G34" s="12">
        <f>IF(D34="","",IF(D34&gt;=1,"GREEN",IF(D34&gt;=0.7,"YELLOW","RED")))</f>
        <v/>
      </c>
      <c r="H34" s="14">
        <f>Setup!D18</f>
        <v/>
      </c>
      <c r="I34" s="14">
        <f>C34-H34</f>
        <v/>
      </c>
      <c r="J34" s="16" t="n"/>
      <c r="K34" s="10" t="n"/>
      <c r="L34" s="12">
        <f>IF(SUMPRODUCT((SkillCard!$A$2:$A$49=$A34)*(SkillCard!$C$2:$C$49&lt;&gt;""))=0,"",SUMIFS(SkillCard!$C$2:$C$49,SkillCard!$A$2:$A$49,$A34))</f>
        <v/>
      </c>
      <c r="M34" s="20" t="n"/>
      <c r="N34" s="20" t="n"/>
    </row>
    <row r="35">
      <c r="A35" s="30">
        <f>Setup!B19</f>
        <v/>
      </c>
      <c r="B35" s="14">
        <f>IF(Setup!C19="","",Setup!C19)</f>
        <v/>
      </c>
      <c r="C35" s="14">
        <f>SUMPRODUCT((Sales!$C$1:$J$1=$A35)*Sales!$C$2:$J$32)</f>
        <v/>
      </c>
      <c r="D35" s="27">
        <f>IF(B35="","",C35/B35)</f>
        <v/>
      </c>
      <c r="E35" s="14">
        <f>IF(B35="","",MAX(0,B35-C35))</f>
        <v/>
      </c>
      <c r="F35" s="12">
        <f>IF(B35="","",IF(C35&gt;=B35,"Yes","No"))</f>
        <v/>
      </c>
      <c r="G35" s="12">
        <f>IF(D35="","",IF(D35&gt;=1,"GREEN",IF(D35&gt;=0.7,"YELLOW","RED")))</f>
        <v/>
      </c>
      <c r="H35" s="14">
        <f>Setup!D19</f>
        <v/>
      </c>
      <c r="I35" s="14">
        <f>C35-H35</f>
        <v/>
      </c>
      <c r="J35" s="16" t="n"/>
      <c r="K35" s="10" t="n"/>
      <c r="L35" s="12">
        <f>IF(SUMPRODUCT((SkillCard!$A$2:$A$49=$A35)*(SkillCard!$C$2:$C$49&lt;&gt;""))=0,"",SUMIFS(SkillCard!$C$2:$C$49,SkillCard!$A$2:$A$49,$A35))</f>
        <v/>
      </c>
      <c r="M35" s="20" t="n"/>
      <c r="N35" s="20" t="n"/>
    </row>
    <row r="36">
      <c r="A36" s="30">
        <f>Setup!B20</f>
        <v/>
      </c>
      <c r="B36" s="14">
        <f>IF(Setup!C20="","",Setup!C20)</f>
        <v/>
      </c>
      <c r="C36" s="14">
        <f>SUMPRODUCT((Sales!$C$1:$J$1=$A36)*Sales!$C$2:$J$32)</f>
        <v/>
      </c>
      <c r="D36" s="27">
        <f>IF(B36="","",C36/B36)</f>
        <v/>
      </c>
      <c r="E36" s="14">
        <f>IF(B36="","",MAX(0,B36-C36))</f>
        <v/>
      </c>
      <c r="F36" s="12">
        <f>IF(B36="","",IF(C36&gt;=B36,"Yes","No"))</f>
        <v/>
      </c>
      <c r="G36" s="12">
        <f>IF(D36="","",IF(D36&gt;=1,"GREEN",IF(D36&gt;=0.7,"YELLOW","RED")))</f>
        <v/>
      </c>
      <c r="H36" s="14">
        <f>Setup!D20</f>
        <v/>
      </c>
      <c r="I36" s="14">
        <f>C36-H36</f>
        <v/>
      </c>
      <c r="J36" s="16" t="n"/>
      <c r="K36" s="10" t="n"/>
      <c r="L36" s="12">
        <f>IF(SUMPRODUCT((SkillCard!$A$2:$A$49=$A36)*(SkillCard!$C$2:$C$49&lt;&gt;""))=0,"",SUMIFS(SkillCard!$C$2:$C$49,SkillCard!$A$2:$A$49,$A36))</f>
        <v/>
      </c>
      <c r="M36" s="20" t="n"/>
      <c r="N36" s="20" t="n"/>
    </row>
    <row r="37">
      <c r="A37" s="21" t="inlineStr">
        <is>
          <t>Team</t>
        </is>
      </c>
      <c r="B37" s="17">
        <f>SUM(B29:B36)</f>
        <v/>
      </c>
      <c r="C37" s="17">
        <f>SUM(C29:C36)</f>
        <v/>
      </c>
      <c r="E37" s="17">
        <f>SUM(E29:E36)</f>
        <v/>
      </c>
      <c r="H37" s="17">
        <f>SUM(H29:H36)</f>
        <v/>
      </c>
      <c r="I37" s="17">
        <f>SUM(I29:I36)</f>
        <v/>
      </c>
    </row>
    <row r="38">
      <c r="A38" s="2" t="inlineStr">
        <is>
          <t>Team total of agent lines may differ from the team target in B4, which is a separate business goal. GREEN = 100%+, YELLOW = 70-99%, RED = under 70% (my suggested threshold).</t>
        </is>
      </c>
    </row>
  </sheetData>
  <conditionalFormatting sqref="G29:G36">
    <cfRule type="cellIs" priority="1" operator="equal" dxfId="1">
      <formula>"GREEN"</formula>
    </cfRule>
    <cfRule type="cellIs" priority="2" operator="equal" dxfId="2">
      <formula>"YELLOW"</formula>
    </cfRule>
    <cfRule type="cellIs" priority="3" operator="equal" dxfId="0">
      <formula>"RED"</formula>
    </cfRule>
  </conditionalFormatting>
  <dataValidations count="1">
    <dataValidation sqref="K29:K36" showDropDown="0" showInputMessage="0" showErrorMessage="0" allowBlank="1" type="list">
      <formula1>"Low lead volume,Low conversion,Low activity,Quality issues,Absence / leave,Other"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50" customWidth="1" min="4" max="4"/>
    <col width="50" customWidth="1" min="5" max="5"/>
  </cols>
  <sheetData>
    <row r="1">
      <c r="A1" s="15" t="inlineStr">
        <is>
          <t>Agent</t>
        </is>
      </c>
      <c r="B1" s="15" t="inlineStr">
        <is>
          <t>Skill</t>
        </is>
      </c>
      <c r="C1" s="15" t="inlineStr">
        <is>
          <t>Score (1-10)</t>
        </is>
      </c>
      <c r="D1" s="15" t="inlineStr">
        <is>
          <t>Observation / assessment</t>
        </is>
      </c>
      <c r="E1" s="15" t="inlineStr">
        <is>
          <t>Area for improvement / action plan</t>
        </is>
      </c>
    </row>
    <row r="2">
      <c r="A2" s="12">
        <f>Setup!$B$13</f>
        <v/>
      </c>
      <c r="B2" s="12" t="inlineStr">
        <is>
          <t>Qualification</t>
        </is>
      </c>
      <c r="C2" s="20" t="n"/>
      <c r="D2" s="20" t="n"/>
      <c r="E2" s="20" t="n"/>
    </row>
    <row r="3">
      <c r="A3" s="12">
        <f>Setup!$B$13</f>
        <v/>
      </c>
      <c r="B3" s="12" t="inlineStr">
        <is>
          <t>Objection Handling</t>
        </is>
      </c>
      <c r="C3" s="20" t="n"/>
      <c r="D3" s="20" t="n"/>
      <c r="E3" s="20" t="n"/>
    </row>
    <row r="4">
      <c r="A4" s="12">
        <f>Setup!$B$13</f>
        <v/>
      </c>
      <c r="B4" s="12" t="inlineStr">
        <is>
          <t>Closing &amp; Urgency</t>
        </is>
      </c>
      <c r="C4" s="20" t="n"/>
      <c r="D4" s="20" t="n"/>
      <c r="E4" s="20" t="n"/>
    </row>
    <row r="5">
      <c r="A5" s="12">
        <f>Setup!$B$13</f>
        <v/>
      </c>
      <c r="B5" s="12" t="inlineStr">
        <is>
          <t>Follow-up Discipline</t>
        </is>
      </c>
      <c r="C5" s="20" t="n"/>
      <c r="D5" s="20" t="n"/>
      <c r="E5" s="20" t="n"/>
    </row>
    <row r="6">
      <c r="A6" s="12">
        <f>Setup!$B$13</f>
        <v/>
      </c>
      <c r="B6" s="12" t="inlineStr">
        <is>
          <t>Confidence &amp; Authority</t>
        </is>
      </c>
      <c r="C6" s="20" t="n"/>
      <c r="D6" s="20" t="n"/>
      <c r="E6" s="20" t="n"/>
    </row>
    <row r="7">
      <c r="A7" s="12">
        <f>Setup!$B$13</f>
        <v/>
      </c>
      <c r="B7" s="12" t="inlineStr">
        <is>
          <t>Communication Clarity</t>
        </is>
      </c>
      <c r="C7" s="20" t="n"/>
      <c r="D7" s="20" t="n"/>
      <c r="E7" s="20" t="n"/>
    </row>
    <row r="8">
      <c r="A8" s="12">
        <f>Setup!$B$14</f>
        <v/>
      </c>
      <c r="B8" s="12" t="inlineStr">
        <is>
          <t>Qualification</t>
        </is>
      </c>
      <c r="C8" s="20" t="n"/>
      <c r="D8" s="20" t="n"/>
      <c r="E8" s="20" t="n"/>
    </row>
    <row r="9">
      <c r="A9" s="12">
        <f>Setup!$B$14</f>
        <v/>
      </c>
      <c r="B9" s="12" t="inlineStr">
        <is>
          <t>Objection Handling</t>
        </is>
      </c>
      <c r="C9" s="20" t="n"/>
      <c r="D9" s="20" t="n"/>
      <c r="E9" s="20" t="n"/>
    </row>
    <row r="10">
      <c r="A10" s="12">
        <f>Setup!$B$14</f>
        <v/>
      </c>
      <c r="B10" s="12" t="inlineStr">
        <is>
          <t>Closing &amp; Urgency</t>
        </is>
      </c>
      <c r="C10" s="20" t="n"/>
      <c r="D10" s="20" t="n"/>
      <c r="E10" s="20" t="n"/>
    </row>
    <row r="11">
      <c r="A11" s="12">
        <f>Setup!$B$14</f>
        <v/>
      </c>
      <c r="B11" s="12" t="inlineStr">
        <is>
          <t>Follow-up Discipline</t>
        </is>
      </c>
      <c r="C11" s="20" t="n"/>
      <c r="D11" s="20" t="n"/>
      <c r="E11" s="20" t="n"/>
    </row>
    <row r="12">
      <c r="A12" s="12">
        <f>Setup!$B$14</f>
        <v/>
      </c>
      <c r="B12" s="12" t="inlineStr">
        <is>
          <t>Confidence &amp; Authority</t>
        </is>
      </c>
      <c r="C12" s="20" t="n"/>
      <c r="D12" s="20" t="n"/>
      <c r="E12" s="20" t="n"/>
    </row>
    <row r="13">
      <c r="A13" s="12">
        <f>Setup!$B$14</f>
        <v/>
      </c>
      <c r="B13" s="12" t="inlineStr">
        <is>
          <t>Communication Clarity</t>
        </is>
      </c>
      <c r="C13" s="20" t="n"/>
      <c r="D13" s="20" t="n"/>
      <c r="E13" s="20" t="n"/>
    </row>
    <row r="14">
      <c r="A14" s="12">
        <f>Setup!$B$15</f>
        <v/>
      </c>
      <c r="B14" s="12" t="inlineStr">
        <is>
          <t>Qualification</t>
        </is>
      </c>
      <c r="C14" s="20" t="n"/>
      <c r="D14" s="20" t="n"/>
      <c r="E14" s="20" t="n"/>
    </row>
    <row r="15">
      <c r="A15" s="12">
        <f>Setup!$B$15</f>
        <v/>
      </c>
      <c r="B15" s="12" t="inlineStr">
        <is>
          <t>Objection Handling</t>
        </is>
      </c>
      <c r="C15" s="20" t="n"/>
      <c r="D15" s="20" t="n"/>
      <c r="E15" s="20" t="n"/>
    </row>
    <row r="16">
      <c r="A16" s="12">
        <f>Setup!$B$15</f>
        <v/>
      </c>
      <c r="B16" s="12" t="inlineStr">
        <is>
          <t>Closing &amp; Urgency</t>
        </is>
      </c>
      <c r="C16" s="20" t="n"/>
      <c r="D16" s="20" t="n"/>
      <c r="E16" s="20" t="n"/>
    </row>
    <row r="17">
      <c r="A17" s="12">
        <f>Setup!$B$15</f>
        <v/>
      </c>
      <c r="B17" s="12" t="inlineStr">
        <is>
          <t>Follow-up Discipline</t>
        </is>
      </c>
      <c r="C17" s="20" t="n"/>
      <c r="D17" s="20" t="n"/>
      <c r="E17" s="20" t="n"/>
    </row>
    <row r="18">
      <c r="A18" s="12">
        <f>Setup!$B$15</f>
        <v/>
      </c>
      <c r="B18" s="12" t="inlineStr">
        <is>
          <t>Confidence &amp; Authority</t>
        </is>
      </c>
      <c r="C18" s="20" t="n"/>
      <c r="D18" s="20" t="n"/>
      <c r="E18" s="20" t="n"/>
    </row>
    <row r="19">
      <c r="A19" s="12">
        <f>Setup!$B$15</f>
        <v/>
      </c>
      <c r="B19" s="12" t="inlineStr">
        <is>
          <t>Communication Clarity</t>
        </is>
      </c>
      <c r="C19" s="20" t="n"/>
      <c r="D19" s="20" t="n"/>
      <c r="E19" s="20" t="n"/>
    </row>
    <row r="20">
      <c r="A20" s="12">
        <f>Setup!$B$16</f>
        <v/>
      </c>
      <c r="B20" s="12" t="inlineStr">
        <is>
          <t>Qualification</t>
        </is>
      </c>
      <c r="C20" s="20" t="n"/>
      <c r="D20" s="20" t="n"/>
      <c r="E20" s="20" t="n"/>
    </row>
    <row r="21">
      <c r="A21" s="12">
        <f>Setup!$B$16</f>
        <v/>
      </c>
      <c r="B21" s="12" t="inlineStr">
        <is>
          <t>Objection Handling</t>
        </is>
      </c>
      <c r="C21" s="20" t="n"/>
      <c r="D21" s="20" t="n"/>
      <c r="E21" s="20" t="n"/>
    </row>
    <row r="22">
      <c r="A22" s="12">
        <f>Setup!$B$16</f>
        <v/>
      </c>
      <c r="B22" s="12" t="inlineStr">
        <is>
          <t>Closing &amp; Urgency</t>
        </is>
      </c>
      <c r="C22" s="20" t="n"/>
      <c r="D22" s="20" t="n"/>
      <c r="E22" s="20" t="n"/>
    </row>
    <row r="23">
      <c r="A23" s="12">
        <f>Setup!$B$16</f>
        <v/>
      </c>
      <c r="B23" s="12" t="inlineStr">
        <is>
          <t>Follow-up Discipline</t>
        </is>
      </c>
      <c r="C23" s="20" t="n"/>
      <c r="D23" s="20" t="n"/>
      <c r="E23" s="20" t="n"/>
    </row>
    <row r="24">
      <c r="A24" s="12">
        <f>Setup!$B$16</f>
        <v/>
      </c>
      <c r="B24" s="12" t="inlineStr">
        <is>
          <t>Confidence &amp; Authority</t>
        </is>
      </c>
      <c r="C24" s="20" t="n"/>
      <c r="D24" s="20" t="n"/>
      <c r="E24" s="20" t="n"/>
    </row>
    <row r="25">
      <c r="A25" s="12">
        <f>Setup!$B$16</f>
        <v/>
      </c>
      <c r="B25" s="12" t="inlineStr">
        <is>
          <t>Communication Clarity</t>
        </is>
      </c>
      <c r="C25" s="20" t="n"/>
      <c r="D25" s="20" t="n"/>
      <c r="E25" s="20" t="n"/>
    </row>
    <row r="26">
      <c r="A26" s="12">
        <f>Setup!$B$17</f>
        <v/>
      </c>
      <c r="B26" s="12" t="inlineStr">
        <is>
          <t>Qualification</t>
        </is>
      </c>
      <c r="C26" s="20" t="n"/>
      <c r="D26" s="20" t="n"/>
      <c r="E26" s="20" t="n"/>
    </row>
    <row r="27">
      <c r="A27" s="12">
        <f>Setup!$B$17</f>
        <v/>
      </c>
      <c r="B27" s="12" t="inlineStr">
        <is>
          <t>Objection Handling</t>
        </is>
      </c>
      <c r="C27" s="20" t="n"/>
      <c r="D27" s="20" t="n"/>
      <c r="E27" s="20" t="n"/>
    </row>
    <row r="28">
      <c r="A28" s="12">
        <f>Setup!$B$17</f>
        <v/>
      </c>
      <c r="B28" s="12" t="inlineStr">
        <is>
          <t>Closing &amp; Urgency</t>
        </is>
      </c>
      <c r="C28" s="20" t="n"/>
      <c r="D28" s="20" t="n"/>
      <c r="E28" s="20" t="n"/>
    </row>
    <row r="29">
      <c r="A29" s="12">
        <f>Setup!$B$17</f>
        <v/>
      </c>
      <c r="B29" s="12" t="inlineStr">
        <is>
          <t>Follow-up Discipline</t>
        </is>
      </c>
      <c r="C29" s="20" t="n"/>
      <c r="D29" s="20" t="n"/>
      <c r="E29" s="20" t="n"/>
    </row>
    <row r="30">
      <c r="A30" s="12">
        <f>Setup!$B$17</f>
        <v/>
      </c>
      <c r="B30" s="12" t="inlineStr">
        <is>
          <t>Confidence &amp; Authority</t>
        </is>
      </c>
      <c r="C30" s="20" t="n"/>
      <c r="D30" s="20" t="n"/>
      <c r="E30" s="20" t="n"/>
    </row>
    <row r="31">
      <c r="A31" s="12">
        <f>Setup!$B$17</f>
        <v/>
      </c>
      <c r="B31" s="12" t="inlineStr">
        <is>
          <t>Communication Clarity</t>
        </is>
      </c>
      <c r="C31" s="20" t="n"/>
      <c r="D31" s="20" t="n"/>
      <c r="E31" s="20" t="n"/>
    </row>
    <row r="32">
      <c r="A32" s="12">
        <f>Setup!$B$18</f>
        <v/>
      </c>
      <c r="B32" s="12" t="inlineStr">
        <is>
          <t>Qualification</t>
        </is>
      </c>
      <c r="C32" s="20" t="n"/>
      <c r="D32" s="20" t="n"/>
      <c r="E32" s="20" t="n"/>
    </row>
    <row r="33">
      <c r="A33" s="12">
        <f>Setup!$B$18</f>
        <v/>
      </c>
      <c r="B33" s="12" t="inlineStr">
        <is>
          <t>Objection Handling</t>
        </is>
      </c>
      <c r="C33" s="20" t="n"/>
      <c r="D33" s="20" t="n"/>
      <c r="E33" s="20" t="n"/>
    </row>
    <row r="34">
      <c r="A34" s="12">
        <f>Setup!$B$18</f>
        <v/>
      </c>
      <c r="B34" s="12" t="inlineStr">
        <is>
          <t>Closing &amp; Urgency</t>
        </is>
      </c>
      <c r="C34" s="20" t="n"/>
      <c r="D34" s="20" t="n"/>
      <c r="E34" s="20" t="n"/>
    </row>
    <row r="35">
      <c r="A35" s="12">
        <f>Setup!$B$18</f>
        <v/>
      </c>
      <c r="B35" s="12" t="inlineStr">
        <is>
          <t>Follow-up Discipline</t>
        </is>
      </c>
      <c r="C35" s="20" t="n"/>
      <c r="D35" s="20" t="n"/>
      <c r="E35" s="20" t="n"/>
    </row>
    <row r="36">
      <c r="A36" s="12">
        <f>Setup!$B$18</f>
        <v/>
      </c>
      <c r="B36" s="12" t="inlineStr">
        <is>
          <t>Confidence &amp; Authority</t>
        </is>
      </c>
      <c r="C36" s="20" t="n"/>
      <c r="D36" s="20" t="n"/>
      <c r="E36" s="20" t="n"/>
    </row>
    <row r="37">
      <c r="A37" s="12">
        <f>Setup!$B$18</f>
        <v/>
      </c>
      <c r="B37" s="12" t="inlineStr">
        <is>
          <t>Communication Clarity</t>
        </is>
      </c>
      <c r="C37" s="20" t="n"/>
      <c r="D37" s="20" t="n"/>
      <c r="E37" s="20" t="n"/>
    </row>
    <row r="38">
      <c r="A38" s="12">
        <f>Setup!$B$19</f>
        <v/>
      </c>
      <c r="B38" s="12" t="inlineStr">
        <is>
          <t>Qualification</t>
        </is>
      </c>
      <c r="C38" s="20" t="n"/>
      <c r="D38" s="20" t="n"/>
      <c r="E38" s="20" t="n"/>
    </row>
    <row r="39">
      <c r="A39" s="12">
        <f>Setup!$B$19</f>
        <v/>
      </c>
      <c r="B39" s="12" t="inlineStr">
        <is>
          <t>Objection Handling</t>
        </is>
      </c>
      <c r="C39" s="20" t="n"/>
      <c r="D39" s="20" t="n"/>
      <c r="E39" s="20" t="n"/>
    </row>
    <row r="40">
      <c r="A40" s="12">
        <f>Setup!$B$19</f>
        <v/>
      </c>
      <c r="B40" s="12" t="inlineStr">
        <is>
          <t>Closing &amp; Urgency</t>
        </is>
      </c>
      <c r="C40" s="20" t="n"/>
      <c r="D40" s="20" t="n"/>
      <c r="E40" s="20" t="n"/>
    </row>
    <row r="41">
      <c r="A41" s="12">
        <f>Setup!$B$19</f>
        <v/>
      </c>
      <c r="B41" s="12" t="inlineStr">
        <is>
          <t>Follow-up Discipline</t>
        </is>
      </c>
      <c r="C41" s="20" t="n"/>
      <c r="D41" s="20" t="n"/>
      <c r="E41" s="20" t="n"/>
    </row>
    <row r="42">
      <c r="A42" s="12">
        <f>Setup!$B$19</f>
        <v/>
      </c>
      <c r="B42" s="12" t="inlineStr">
        <is>
          <t>Confidence &amp; Authority</t>
        </is>
      </c>
      <c r="C42" s="20" t="n"/>
      <c r="D42" s="20" t="n"/>
      <c r="E42" s="20" t="n"/>
    </row>
    <row r="43">
      <c r="A43" s="12">
        <f>Setup!$B$19</f>
        <v/>
      </c>
      <c r="B43" s="12" t="inlineStr">
        <is>
          <t>Communication Clarity</t>
        </is>
      </c>
      <c r="C43" s="20" t="n"/>
      <c r="D43" s="20" t="n"/>
      <c r="E43" s="20" t="n"/>
    </row>
    <row r="44">
      <c r="A44" s="12">
        <f>Setup!$B$20</f>
        <v/>
      </c>
      <c r="B44" s="12" t="inlineStr">
        <is>
          <t>Qualification</t>
        </is>
      </c>
      <c r="C44" s="20" t="n"/>
      <c r="D44" s="20" t="n"/>
      <c r="E44" s="20" t="n"/>
    </row>
    <row r="45">
      <c r="A45" s="12">
        <f>Setup!$B$20</f>
        <v/>
      </c>
      <c r="B45" s="12" t="inlineStr">
        <is>
          <t>Objection Handling</t>
        </is>
      </c>
      <c r="C45" s="20" t="n"/>
      <c r="D45" s="20" t="n"/>
      <c r="E45" s="20" t="n"/>
    </row>
    <row r="46">
      <c r="A46" s="12">
        <f>Setup!$B$20</f>
        <v/>
      </c>
      <c r="B46" s="12" t="inlineStr">
        <is>
          <t>Closing &amp; Urgency</t>
        </is>
      </c>
      <c r="C46" s="20" t="n"/>
      <c r="D46" s="20" t="n"/>
      <c r="E46" s="20" t="n"/>
    </row>
    <row r="47">
      <c r="A47" s="12">
        <f>Setup!$B$20</f>
        <v/>
      </c>
      <c r="B47" s="12" t="inlineStr">
        <is>
          <t>Follow-up Discipline</t>
        </is>
      </c>
      <c r="C47" s="20" t="n"/>
      <c r="D47" s="20" t="n"/>
      <c r="E47" s="20" t="n"/>
    </row>
    <row r="48">
      <c r="A48" s="12">
        <f>Setup!$B$20</f>
        <v/>
      </c>
      <c r="B48" s="12" t="inlineStr">
        <is>
          <t>Confidence &amp; Authority</t>
        </is>
      </c>
      <c r="C48" s="20" t="n"/>
      <c r="D48" s="20" t="n"/>
      <c r="E48" s="20" t="n"/>
    </row>
    <row r="49">
      <c r="A49" s="12">
        <f>Setup!$B$20</f>
        <v/>
      </c>
      <c r="B49" s="12" t="inlineStr">
        <is>
          <t>Communication Clarity</t>
        </is>
      </c>
      <c r="C49" s="20" t="n"/>
      <c r="D49" s="20" t="n"/>
      <c r="E49" s="20" t="n"/>
    </row>
  </sheetData>
  <dataValidations count="1">
    <dataValidation sqref="C2:C49" showDropDown="0" showInputMessage="0" showErrorMessage="0" allowBlank="1" type="whole" operator="between">
      <formula1>1</formula1>
      <formula2>10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50" customWidth="1" min="4" max="4"/>
    <col width="50" customWidth="1" min="5" max="5"/>
  </cols>
  <sheetData>
    <row r="1">
      <c r="A1" s="31" t="inlineStr">
        <is>
          <t>Log 1 · One-to-one meetings   |   Topic: SK TP BH WB OT</t>
        </is>
      </c>
    </row>
    <row r="2" ht="32" customHeight="1">
      <c r="A2" s="15" t="inlineStr">
        <is>
          <t>Date</t>
        </is>
      </c>
      <c r="B2" s="15" t="inlineStr">
        <is>
          <t>Agent</t>
        </is>
      </c>
      <c r="C2" s="15" t="inlineStr">
        <is>
          <t>Topic code</t>
        </is>
      </c>
      <c r="D2" s="15" t="inlineStr">
        <is>
          <t>Key points discussed</t>
        </is>
      </c>
      <c r="E2" s="15" t="inlineStr">
        <is>
          <t>Action agreed</t>
        </is>
      </c>
    </row>
    <row r="3">
      <c r="A3" s="32" t="n">
        <v>46296</v>
      </c>
      <c r="B3" s="20" t="inlineStr">
        <is>
          <t>Khozema</t>
        </is>
      </c>
      <c r="C3" s="20" t="n"/>
      <c r="D3" s="20" t="n"/>
      <c r="E3" s="20" t="n"/>
    </row>
    <row r="4">
      <c r="A4" s="32" t="n">
        <v>46296</v>
      </c>
      <c r="B4" s="20" t="inlineStr">
        <is>
          <t>Harinder</t>
        </is>
      </c>
      <c r="C4" s="20" t="n"/>
      <c r="D4" s="20" t="n"/>
      <c r="E4" s="20" t="n"/>
    </row>
    <row r="5">
      <c r="A5" s="32" t="n"/>
      <c r="B5" s="20" t="n"/>
      <c r="C5" s="20" t="n"/>
      <c r="D5" s="20" t="n"/>
      <c r="E5" s="20" t="n"/>
    </row>
    <row r="6">
      <c r="A6" s="32" t="n"/>
      <c r="B6" s="20" t="n"/>
      <c r="C6" s="20" t="n"/>
      <c r="D6" s="20" t="n"/>
      <c r="E6" s="20" t="n"/>
    </row>
    <row r="7">
      <c r="A7" s="32" t="n"/>
      <c r="B7" s="20" t="n"/>
      <c r="C7" s="20" t="n"/>
      <c r="D7" s="20" t="n"/>
      <c r="E7" s="20" t="n"/>
    </row>
    <row r="8">
      <c r="A8" s="32" t="n"/>
      <c r="B8" s="20" t="n"/>
      <c r="C8" s="20" t="n"/>
      <c r="D8" s="20" t="n"/>
      <c r="E8" s="20" t="n"/>
    </row>
    <row r="9">
      <c r="A9" s="32" t="n"/>
      <c r="B9" s="20" t="n"/>
      <c r="C9" s="20" t="n"/>
      <c r="D9" s="20" t="n"/>
      <c r="E9" s="20" t="n"/>
    </row>
    <row r="10">
      <c r="A10" s="32" t="n"/>
      <c r="B10" s="20" t="n"/>
      <c r="C10" s="20" t="n"/>
      <c r="D10" s="20" t="n"/>
      <c r="E10" s="20" t="n"/>
    </row>
    <row r="11">
      <c r="A11" s="32" t="n"/>
      <c r="B11" s="20" t="n"/>
      <c r="C11" s="20" t="n"/>
      <c r="D11" s="20" t="n"/>
      <c r="E11" s="20" t="n"/>
    </row>
    <row r="12">
      <c r="A12" s="32" t="n"/>
      <c r="B12" s="20" t="n"/>
      <c r="C12" s="20" t="n"/>
      <c r="D12" s="20" t="n"/>
      <c r="E12" s="20" t="n"/>
    </row>
    <row r="13">
      <c r="A13" s="32" t="n"/>
      <c r="B13" s="20" t="n"/>
      <c r="C13" s="20" t="n"/>
      <c r="D13" s="20" t="n"/>
      <c r="E13" s="20" t="n"/>
    </row>
    <row r="14">
      <c r="A14" s="32" t="n"/>
      <c r="B14" s="20" t="n"/>
      <c r="C14" s="20" t="n"/>
      <c r="D14" s="20" t="n"/>
      <c r="E14" s="20" t="n"/>
    </row>
    <row r="15">
      <c r="A15" s="32" t="n"/>
      <c r="B15" s="20" t="n"/>
      <c r="C15" s="20" t="n"/>
      <c r="D15" s="20" t="n"/>
      <c r="E15" s="20" t="n"/>
    </row>
    <row r="16">
      <c r="A16" s="32" t="n"/>
      <c r="B16" s="20" t="n"/>
      <c r="C16" s="20" t="n"/>
      <c r="D16" s="20" t="n"/>
      <c r="E16" s="20" t="n"/>
    </row>
    <row r="17">
      <c r="A17" s="32" t="n"/>
      <c r="B17" s="20" t="n"/>
      <c r="C17" s="20" t="n"/>
      <c r="D17" s="20" t="n"/>
      <c r="E17" s="20" t="n"/>
    </row>
    <row r="18">
      <c r="A18" s="32" t="n"/>
      <c r="B18" s="20" t="n"/>
      <c r="C18" s="20" t="n"/>
      <c r="D18" s="20" t="n"/>
      <c r="E18" s="20" t="n"/>
    </row>
    <row r="19">
      <c r="A19" s="32" t="n"/>
      <c r="B19" s="20" t="n"/>
      <c r="C19" s="20" t="n"/>
      <c r="D19" s="20" t="n"/>
      <c r="E19" s="20" t="n"/>
    </row>
    <row r="20">
      <c r="A20" s="32" t="n"/>
      <c r="B20" s="20" t="n"/>
      <c r="C20" s="20" t="n"/>
      <c r="D20" s="20" t="n"/>
      <c r="E20" s="20" t="n"/>
    </row>
    <row r="21">
      <c r="A21" s="32" t="n"/>
      <c r="B21" s="20" t="n"/>
      <c r="C21" s="20" t="n"/>
      <c r="D21" s="20" t="n"/>
      <c r="E21" s="20" t="n"/>
    </row>
    <row r="22">
      <c r="A22" s="32" t="n"/>
      <c r="B22" s="20" t="n"/>
      <c r="C22" s="20" t="n"/>
      <c r="D22" s="20" t="n"/>
      <c r="E22" s="20" t="n"/>
    </row>
    <row r="23">
      <c r="A23" s="32" t="n"/>
      <c r="B23" s="20" t="n"/>
      <c r="C23" s="20" t="n"/>
      <c r="D23" s="20" t="n"/>
      <c r="E23" s="20" t="n"/>
    </row>
    <row r="24">
      <c r="A24" s="32" t="n"/>
      <c r="B24" s="20" t="n"/>
      <c r="C24" s="20" t="n"/>
      <c r="D24" s="20" t="n"/>
      <c r="E24" s="20" t="n"/>
    </row>
    <row r="25">
      <c r="A25" s="32" t="n"/>
      <c r="B25" s="20" t="n"/>
      <c r="C25" s="20" t="n"/>
      <c r="D25" s="20" t="n"/>
      <c r="E25" s="20" t="n"/>
    </row>
    <row r="26">
      <c r="A26" s="32" t="n"/>
      <c r="B26" s="20" t="n"/>
      <c r="C26" s="20" t="n"/>
      <c r="D26" s="20" t="n"/>
      <c r="E26" s="20" t="n"/>
    </row>
    <row r="27">
      <c r="A27" s="32" t="n"/>
      <c r="B27" s="20" t="n"/>
      <c r="C27" s="20" t="n"/>
      <c r="D27" s="20" t="n"/>
      <c r="E27" s="20" t="n"/>
    </row>
    <row r="28">
      <c r="A28" s="32" t="n"/>
      <c r="B28" s="20" t="n"/>
      <c r="C28" s="20" t="n"/>
      <c r="D28" s="20" t="n"/>
      <c r="E28" s="20" t="n"/>
    </row>
    <row r="29">
      <c r="A29" s="32" t="n"/>
      <c r="B29" s="20" t="n"/>
      <c r="C29" s="20" t="n"/>
      <c r="D29" s="20" t="n"/>
      <c r="E29" s="20" t="n"/>
    </row>
    <row r="30">
      <c r="A30" s="32" t="n"/>
      <c r="B30" s="20" t="n"/>
      <c r="C30" s="20" t="n"/>
      <c r="D30" s="20" t="n"/>
      <c r="E30" s="20" t="n"/>
    </row>
    <row r="31">
      <c r="A31" s="32" t="n"/>
      <c r="B31" s="20" t="n"/>
      <c r="C31" s="20" t="n"/>
      <c r="D31" s="20" t="n"/>
      <c r="E31" s="20" t="n"/>
    </row>
    <row r="32">
      <c r="A32" s="32" t="n"/>
      <c r="B32" s="20" t="n"/>
      <c r="C32" s="20" t="n"/>
      <c r="D32" s="20" t="n"/>
      <c r="E32" s="20" t="n"/>
    </row>
    <row r="33">
      <c r="A33" s="32" t="n"/>
      <c r="B33" s="20" t="n"/>
      <c r="C33" s="20" t="n"/>
      <c r="D33" s="20" t="n"/>
      <c r="E33" s="20" t="n"/>
    </row>
    <row r="34">
      <c r="A34" s="32" t="n"/>
      <c r="B34" s="20" t="n"/>
      <c r="C34" s="20" t="n"/>
      <c r="D34" s="20" t="n"/>
      <c r="E34" s="20" t="n"/>
    </row>
    <row r="35">
      <c r="A35" s="32" t="n"/>
      <c r="B35" s="20" t="n"/>
      <c r="C35" s="20" t="n"/>
      <c r="D35" s="20" t="n"/>
      <c r="E35" s="20" t="n"/>
    </row>
    <row r="36">
      <c r="A36" s="32" t="n"/>
      <c r="B36" s="20" t="n"/>
      <c r="C36" s="20" t="n"/>
      <c r="D36" s="20" t="n"/>
      <c r="E36" s="20" t="n"/>
    </row>
    <row r="37">
      <c r="A37" s="32" t="n"/>
      <c r="B37" s="20" t="n"/>
      <c r="C37" s="20" t="n"/>
      <c r="D37" s="20" t="n"/>
      <c r="E37" s="20" t="n"/>
    </row>
    <row r="38">
      <c r="A38" s="32" t="n"/>
      <c r="B38" s="20" t="n"/>
      <c r="C38" s="20" t="n"/>
      <c r="D38" s="20" t="n"/>
      <c r="E38" s="20" t="n"/>
    </row>
    <row r="39">
      <c r="A39" s="32" t="n"/>
      <c r="B39" s="20" t="n"/>
      <c r="C39" s="20" t="n"/>
      <c r="D39" s="20" t="n"/>
      <c r="E39" s="20" t="n"/>
    </row>
    <row r="40">
      <c r="A40" s="32" t="n"/>
      <c r="B40" s="20" t="n"/>
      <c r="C40" s="20" t="n"/>
      <c r="D40" s="20" t="n"/>
      <c r="E40" s="20" t="n"/>
    </row>
    <row r="41">
      <c r="A41" s="32" t="n"/>
      <c r="B41" s="20" t="n"/>
      <c r="C41" s="20" t="n"/>
      <c r="D41" s="20" t="n"/>
      <c r="E41" s="20" t="n"/>
    </row>
    <row r="42">
      <c r="A42" s="32" t="n"/>
      <c r="B42" s="20" t="n"/>
      <c r="C42" s="20" t="n"/>
      <c r="D42" s="20" t="n"/>
      <c r="E42" s="20" t="n"/>
    </row>
    <row r="43">
      <c r="A43" s="32" t="n"/>
      <c r="B43" s="20" t="n"/>
      <c r="C43" s="20" t="n"/>
      <c r="D43" s="20" t="n"/>
      <c r="E43" s="20" t="n"/>
    </row>
    <row r="44">
      <c r="A44" s="32" t="n"/>
      <c r="B44" s="20" t="n"/>
      <c r="C44" s="20" t="n"/>
      <c r="D44" s="20" t="n"/>
      <c r="E44" s="20" t="n"/>
    </row>
    <row r="45">
      <c r="A45" s="32" t="n"/>
      <c r="B45" s="20" t="n"/>
      <c r="C45" s="20" t="n"/>
      <c r="D45" s="20" t="n"/>
      <c r="E45" s="20" t="n"/>
    </row>
    <row r="46">
      <c r="A46" s="32" t="n"/>
      <c r="B46" s="20" t="n"/>
      <c r="C46" s="20" t="n"/>
      <c r="D46" s="20" t="n"/>
      <c r="E46" s="20" t="n"/>
    </row>
    <row r="47">
      <c r="A47" s="32" t="n"/>
      <c r="B47" s="20" t="n"/>
      <c r="C47" s="20" t="n"/>
      <c r="D47" s="20" t="n"/>
      <c r="E47" s="20" t="n"/>
    </row>
    <row r="48">
      <c r="A48" s="32" t="n"/>
      <c r="B48" s="20" t="n"/>
      <c r="C48" s="20" t="n"/>
      <c r="D48" s="20" t="n"/>
      <c r="E48" s="20" t="n"/>
    </row>
    <row r="49">
      <c r="A49" s="32" t="n"/>
      <c r="B49" s="20" t="n"/>
      <c r="C49" s="20" t="n"/>
      <c r="D49" s="20" t="n"/>
      <c r="E49" s="20" t="n"/>
    </row>
    <row r="50">
      <c r="A50" s="32" t="n"/>
      <c r="B50" s="20" t="n"/>
      <c r="C50" s="20" t="n"/>
      <c r="D50" s="20" t="n"/>
      <c r="E50" s="20" t="n"/>
    </row>
    <row r="51">
      <c r="A51" s="32" t="n"/>
      <c r="B51" s="20" t="n"/>
      <c r="C51" s="20" t="n"/>
      <c r="D51" s="20" t="n"/>
      <c r="E51" s="20" t="n"/>
    </row>
    <row r="52">
      <c r="A52" s="32" t="n"/>
      <c r="B52" s="20" t="n"/>
      <c r="C52" s="20" t="n"/>
      <c r="D52" s="20" t="n"/>
      <c r="E52" s="20" t="n"/>
    </row>
    <row r="53">
      <c r="A53" s="32" t="n"/>
      <c r="B53" s="20" t="n"/>
      <c r="C53" s="20" t="n"/>
      <c r="D53" s="20" t="n"/>
      <c r="E53" s="20" t="n"/>
    </row>
    <row r="54">
      <c r="A54" s="32" t="n"/>
      <c r="B54" s="20" t="n"/>
      <c r="C54" s="20" t="n"/>
      <c r="D54" s="20" t="n"/>
      <c r="E54" s="20" t="n"/>
    </row>
    <row r="55">
      <c r="A55" s="32" t="n"/>
      <c r="B55" s="20" t="n"/>
      <c r="C55" s="20" t="n"/>
      <c r="D55" s="20" t="n"/>
      <c r="E55" s="20" t="n"/>
    </row>
    <row r="56">
      <c r="A56" s="32" t="n"/>
      <c r="B56" s="20" t="n"/>
      <c r="C56" s="20" t="n"/>
      <c r="D56" s="20" t="n"/>
      <c r="E56" s="20" t="n"/>
    </row>
    <row r="57">
      <c r="A57" s="32" t="n"/>
      <c r="B57" s="20" t="n"/>
      <c r="C57" s="20" t="n"/>
      <c r="D57" s="20" t="n"/>
      <c r="E57" s="20" t="n"/>
    </row>
    <row r="58">
      <c r="A58" s="32" t="n"/>
      <c r="B58" s="20" t="n"/>
      <c r="C58" s="20" t="n"/>
      <c r="D58" s="20" t="n"/>
      <c r="E58" s="20" t="n"/>
    </row>
    <row r="59">
      <c r="A59" s="32" t="n"/>
      <c r="B59" s="20" t="n"/>
      <c r="C59" s="20" t="n"/>
      <c r="D59" s="20" t="n"/>
      <c r="E59" s="20" t="n"/>
    </row>
    <row r="60">
      <c r="A60" s="32" t="n"/>
      <c r="B60" s="20" t="n"/>
      <c r="C60" s="20" t="n"/>
      <c r="D60" s="20" t="n"/>
      <c r="E60" s="20" t="n"/>
    </row>
    <row r="61">
      <c r="A61" s="32" t="n"/>
      <c r="B61" s="20" t="n"/>
      <c r="C61" s="20" t="n"/>
      <c r="D61" s="20" t="n"/>
      <c r="E61" s="20" t="n"/>
    </row>
    <row r="62">
      <c r="A62" s="32" t="n"/>
      <c r="B62" s="20" t="n"/>
      <c r="C62" s="20" t="n"/>
      <c r="D62" s="20" t="n"/>
      <c r="E62" s="20" t="n"/>
    </row>
    <row r="63">
      <c r="A63" s="32" t="n"/>
      <c r="B63" s="20" t="n"/>
      <c r="C63" s="20" t="n"/>
      <c r="D63" s="20" t="n"/>
      <c r="E63" s="20" t="n"/>
    </row>
    <row r="64">
      <c r="A64" s="32" t="n"/>
      <c r="B64" s="20" t="n"/>
      <c r="C64" s="20" t="n"/>
      <c r="D64" s="20" t="n"/>
      <c r="E64" s="20" t="n"/>
    </row>
    <row r="65">
      <c r="A65" s="32" t="n"/>
      <c r="B65" s="20" t="n"/>
      <c r="C65" s="20" t="n"/>
      <c r="D65" s="20" t="n"/>
      <c r="E65" s="20" t="n"/>
    </row>
    <row r="66">
      <c r="A66" s="32" t="n"/>
      <c r="B66" s="20" t="n"/>
      <c r="C66" s="20" t="n"/>
      <c r="D66" s="20" t="n"/>
      <c r="E66" s="20" t="n"/>
    </row>
    <row r="67">
      <c r="A67" s="32" t="n"/>
      <c r="B67" s="20" t="n"/>
      <c r="C67" s="20" t="n"/>
      <c r="D67" s="20" t="n"/>
      <c r="E67" s="20" t="n"/>
    </row>
    <row r="68">
      <c r="A68" s="32" t="n"/>
      <c r="B68" s="20" t="n"/>
      <c r="C68" s="20" t="n"/>
      <c r="D68" s="20" t="n"/>
      <c r="E68" s="20" t="n"/>
    </row>
    <row r="69">
      <c r="A69" s="32" t="n"/>
      <c r="B69" s="20" t="n"/>
      <c r="C69" s="20" t="n"/>
      <c r="D69" s="20" t="n"/>
      <c r="E69" s="20" t="n"/>
    </row>
    <row r="70">
      <c r="A70" s="32" t="n"/>
      <c r="B70" s="20" t="n"/>
      <c r="C70" s="20" t="n"/>
      <c r="D70" s="20" t="n"/>
      <c r="E70" s="20" t="n"/>
    </row>
    <row r="71">
      <c r="A71" s="32" t="n"/>
      <c r="B71" s="20" t="n"/>
      <c r="C71" s="20" t="n"/>
      <c r="D71" s="20" t="n"/>
      <c r="E71" s="20" t="n"/>
    </row>
    <row r="72">
      <c r="A72" s="32" t="n"/>
      <c r="B72" s="20" t="n"/>
      <c r="C72" s="20" t="n"/>
      <c r="D72" s="20" t="n"/>
      <c r="E72" s="20" t="n"/>
    </row>
    <row r="73">
      <c r="A73" s="32" t="n"/>
      <c r="B73" s="20" t="n"/>
      <c r="C73" s="20" t="n"/>
      <c r="D73" s="20" t="n"/>
      <c r="E73" s="20" t="n"/>
    </row>
    <row r="74">
      <c r="A74" s="32" t="n"/>
      <c r="B74" s="20" t="n"/>
      <c r="C74" s="20" t="n"/>
      <c r="D74" s="20" t="n"/>
      <c r="E74" s="20" t="n"/>
    </row>
    <row r="75">
      <c r="A75" s="32" t="n"/>
      <c r="B75" s="20" t="n"/>
      <c r="C75" s="20" t="n"/>
      <c r="D75" s="20" t="n"/>
      <c r="E75" s="20" t="n"/>
    </row>
    <row r="76">
      <c r="A76" s="32" t="n"/>
      <c r="B76" s="20" t="n"/>
      <c r="C76" s="20" t="n"/>
      <c r="D76" s="20" t="n"/>
      <c r="E76" s="20" t="n"/>
    </row>
    <row r="77">
      <c r="A77" s="32" t="n"/>
      <c r="B77" s="20" t="n"/>
      <c r="C77" s="20" t="n"/>
      <c r="D77" s="20" t="n"/>
      <c r="E77" s="20" t="n"/>
    </row>
    <row r="78">
      <c r="A78" s="32" t="n"/>
      <c r="B78" s="20" t="n"/>
      <c r="C78" s="20" t="n"/>
      <c r="D78" s="20" t="n"/>
      <c r="E78" s="20" t="n"/>
    </row>
    <row r="79">
      <c r="A79" s="32" t="n"/>
      <c r="B79" s="20" t="n"/>
      <c r="C79" s="20" t="n"/>
      <c r="D79" s="20" t="n"/>
      <c r="E79" s="20" t="n"/>
    </row>
    <row r="80">
      <c r="A80" s="32" t="n"/>
      <c r="B80" s="20" t="n"/>
      <c r="C80" s="20" t="n"/>
      <c r="D80" s="20" t="n"/>
      <c r="E80" s="20" t="n"/>
    </row>
    <row r="81">
      <c r="A81" s="32" t="n"/>
      <c r="B81" s="20" t="n"/>
      <c r="C81" s="20" t="n"/>
      <c r="D81" s="20" t="n"/>
      <c r="E81" s="20" t="n"/>
    </row>
    <row r="82">
      <c r="A82" s="32" t="n"/>
      <c r="B82" s="20" t="n"/>
      <c r="C82" s="20" t="n"/>
      <c r="D82" s="20" t="n"/>
      <c r="E82" s="20" t="n"/>
    </row>
    <row r="83">
      <c r="A83" s="32" t="n"/>
      <c r="B83" s="20" t="n"/>
      <c r="C83" s="20" t="n"/>
      <c r="D83" s="20" t="n"/>
      <c r="E83" s="20" t="n"/>
    </row>
    <row r="84">
      <c r="A84" s="32" t="n"/>
      <c r="B84" s="20" t="n"/>
      <c r="C84" s="20" t="n"/>
      <c r="D84" s="20" t="n"/>
      <c r="E84" s="20" t="n"/>
    </row>
    <row r="85">
      <c r="A85" s="32" t="n"/>
      <c r="B85" s="20" t="n"/>
      <c r="C85" s="20" t="n"/>
      <c r="D85" s="20" t="n"/>
      <c r="E85" s="20" t="n"/>
    </row>
    <row r="86">
      <c r="A86" s="32" t="n"/>
      <c r="B86" s="20" t="n"/>
      <c r="C86" s="20" t="n"/>
      <c r="D86" s="20" t="n"/>
      <c r="E86" s="20" t="n"/>
    </row>
    <row r="87">
      <c r="A87" s="32" t="n"/>
      <c r="B87" s="20" t="n"/>
      <c r="C87" s="20" t="n"/>
      <c r="D87" s="20" t="n"/>
      <c r="E87" s="20" t="n"/>
    </row>
    <row r="88">
      <c r="A88" s="32" t="n"/>
      <c r="B88" s="20" t="n"/>
      <c r="C88" s="20" t="n"/>
      <c r="D88" s="20" t="n"/>
      <c r="E88" s="20" t="n"/>
    </row>
    <row r="89">
      <c r="A89" s="32" t="n"/>
      <c r="B89" s="20" t="n"/>
      <c r="C89" s="20" t="n"/>
      <c r="D89" s="20" t="n"/>
      <c r="E89" s="20" t="n"/>
    </row>
    <row r="90">
      <c r="A90" s="32" t="n"/>
      <c r="B90" s="20" t="n"/>
      <c r="C90" s="20" t="n"/>
      <c r="D90" s="20" t="n"/>
      <c r="E90" s="20" t="n"/>
    </row>
    <row r="91">
      <c r="A91" s="32" t="n"/>
      <c r="B91" s="20" t="n"/>
      <c r="C91" s="20" t="n"/>
      <c r="D91" s="20" t="n"/>
      <c r="E91" s="20" t="n"/>
    </row>
    <row r="92">
      <c r="A92" s="32" t="n"/>
      <c r="B92" s="20" t="n"/>
      <c r="C92" s="20" t="n"/>
      <c r="D92" s="20" t="n"/>
      <c r="E92" s="20" t="n"/>
    </row>
    <row r="93">
      <c r="A93" s="32" t="n"/>
      <c r="B93" s="20" t="n"/>
      <c r="C93" s="20" t="n"/>
      <c r="D93" s="20" t="n"/>
      <c r="E93" s="20" t="n"/>
    </row>
    <row r="94">
      <c r="A94" s="32" t="n"/>
      <c r="B94" s="20" t="n"/>
      <c r="C94" s="20" t="n"/>
      <c r="D94" s="20" t="n"/>
      <c r="E94" s="20" t="n"/>
    </row>
    <row r="95">
      <c r="A95" s="32" t="n"/>
      <c r="B95" s="20" t="n"/>
      <c r="C95" s="20" t="n"/>
      <c r="D95" s="20" t="n"/>
      <c r="E95" s="20" t="n"/>
    </row>
    <row r="96">
      <c r="A96" s="32" t="n"/>
      <c r="B96" s="20" t="n"/>
      <c r="C96" s="20" t="n"/>
      <c r="D96" s="20" t="n"/>
      <c r="E96" s="20" t="n"/>
    </row>
    <row r="97">
      <c r="A97" s="32" t="n"/>
      <c r="B97" s="20" t="n"/>
      <c r="C97" s="20" t="n"/>
      <c r="D97" s="20" t="n"/>
      <c r="E97" s="20" t="n"/>
    </row>
    <row r="98">
      <c r="A98" s="32" t="n"/>
      <c r="B98" s="20" t="n"/>
      <c r="C98" s="20" t="n"/>
      <c r="D98" s="20" t="n"/>
      <c r="E98" s="20" t="n"/>
    </row>
    <row r="99">
      <c r="A99" s="32" t="n"/>
      <c r="B99" s="20" t="n"/>
      <c r="C99" s="20" t="n"/>
      <c r="D99" s="20" t="n"/>
      <c r="E99" s="20" t="n"/>
    </row>
    <row r="100">
      <c r="A100" s="32" t="n"/>
      <c r="B100" s="20" t="n"/>
      <c r="C100" s="20" t="n"/>
      <c r="D100" s="20" t="n"/>
      <c r="E100" s="20" t="n"/>
    </row>
    <row r="101">
      <c r="A101" s="32" t="n"/>
      <c r="B101" s="20" t="n"/>
      <c r="C101" s="20" t="n"/>
      <c r="D101" s="20" t="n"/>
      <c r="E101" s="20" t="n"/>
    </row>
    <row r="102">
      <c r="A102" s="32" t="n"/>
      <c r="B102" s="20" t="n"/>
      <c r="C102" s="20" t="n"/>
      <c r="D102" s="20" t="n"/>
      <c r="E102" s="20" t="n"/>
    </row>
    <row r="103">
      <c r="A103" s="32" t="n"/>
      <c r="B103" s="20" t="n"/>
      <c r="C103" s="20" t="n"/>
      <c r="D103" s="20" t="n"/>
      <c r="E103" s="20" t="n"/>
    </row>
    <row r="104">
      <c r="A104" s="32" t="n"/>
      <c r="B104" s="20" t="n"/>
      <c r="C104" s="20" t="n"/>
      <c r="D104" s="20" t="n"/>
      <c r="E104" s="20" t="n"/>
    </row>
    <row r="105">
      <c r="A105" s="32" t="n"/>
      <c r="B105" s="20" t="n"/>
      <c r="C105" s="20" t="n"/>
      <c r="D105" s="20" t="n"/>
      <c r="E105" s="20" t="n"/>
    </row>
    <row r="106">
      <c r="A106" s="32" t="n"/>
      <c r="B106" s="20" t="n"/>
      <c r="C106" s="20" t="n"/>
      <c r="D106" s="20" t="n"/>
      <c r="E106" s="20" t="n"/>
    </row>
    <row r="107">
      <c r="A107" s="32" t="n"/>
      <c r="B107" s="20" t="n"/>
      <c r="C107" s="20" t="n"/>
      <c r="D107" s="20" t="n"/>
      <c r="E107" s="20" t="n"/>
    </row>
    <row r="108">
      <c r="A108" s="32" t="n"/>
      <c r="B108" s="20" t="n"/>
      <c r="C108" s="20" t="n"/>
      <c r="D108" s="20" t="n"/>
      <c r="E108" s="20" t="n"/>
    </row>
    <row r="109">
      <c r="A109" s="32" t="n"/>
      <c r="B109" s="20" t="n"/>
      <c r="C109" s="20" t="n"/>
      <c r="D109" s="20" t="n"/>
      <c r="E109" s="20" t="n"/>
    </row>
    <row r="110">
      <c r="A110" s="32" t="n"/>
      <c r="B110" s="20" t="n"/>
      <c r="C110" s="20" t="n"/>
      <c r="D110" s="20" t="n"/>
      <c r="E110" s="20" t="n"/>
    </row>
    <row r="111">
      <c r="A111" s="32" t="n"/>
      <c r="B111" s="20" t="n"/>
      <c r="C111" s="20" t="n"/>
      <c r="D111" s="20" t="n"/>
      <c r="E111" s="20" t="n"/>
    </row>
    <row r="112">
      <c r="A112" s="32" t="n"/>
      <c r="B112" s="20" t="n"/>
      <c r="C112" s="20" t="n"/>
      <c r="D112" s="20" t="n"/>
      <c r="E112" s="20" t="n"/>
    </row>
    <row r="113">
      <c r="A113" s="32" t="n"/>
      <c r="B113" s="20" t="n"/>
      <c r="C113" s="20" t="n"/>
      <c r="D113" s="20" t="n"/>
      <c r="E113" s="20" t="n"/>
    </row>
    <row r="114">
      <c r="A114" s="32" t="n"/>
      <c r="B114" s="20" t="n"/>
      <c r="C114" s="20" t="n"/>
      <c r="D114" s="20" t="n"/>
      <c r="E114" s="20" t="n"/>
    </row>
    <row r="115">
      <c r="A115" s="32" t="n"/>
      <c r="B115" s="20" t="n"/>
      <c r="C115" s="20" t="n"/>
      <c r="D115" s="20" t="n"/>
      <c r="E115" s="20" t="n"/>
    </row>
    <row r="116">
      <c r="A116" s="32" t="n"/>
      <c r="B116" s="20" t="n"/>
      <c r="C116" s="20" t="n"/>
      <c r="D116" s="20" t="n"/>
      <c r="E116" s="20" t="n"/>
    </row>
    <row r="117">
      <c r="A117" s="32" t="n"/>
      <c r="B117" s="20" t="n"/>
      <c r="C117" s="20" t="n"/>
      <c r="D117" s="20" t="n"/>
      <c r="E117" s="20" t="n"/>
    </row>
    <row r="118">
      <c r="A118" s="32" t="n"/>
      <c r="B118" s="20" t="n"/>
      <c r="C118" s="20" t="n"/>
      <c r="D118" s="20" t="n"/>
      <c r="E118" s="20" t="n"/>
    </row>
    <row r="119">
      <c r="A119" s="32" t="n"/>
      <c r="B119" s="20" t="n"/>
      <c r="C119" s="20" t="n"/>
      <c r="D119" s="20" t="n"/>
      <c r="E119" s="20" t="n"/>
    </row>
    <row r="120">
      <c r="A120" s="32" t="n"/>
      <c r="B120" s="20" t="n"/>
      <c r="C120" s="20" t="n"/>
      <c r="D120" s="20" t="n"/>
      <c r="E120" s="20" t="n"/>
    </row>
    <row r="121">
      <c r="A121" s="32" t="n"/>
      <c r="B121" s="20" t="n"/>
      <c r="C121" s="20" t="n"/>
      <c r="D121" s="20" t="n"/>
      <c r="E121" s="20" t="n"/>
    </row>
    <row r="122">
      <c r="A122" s="32" t="n"/>
      <c r="B122" s="20" t="n"/>
      <c r="C122" s="20" t="n"/>
      <c r="D122" s="20" t="n"/>
      <c r="E122" s="20" t="n"/>
    </row>
    <row r="123">
      <c r="A123" s="32" t="n"/>
      <c r="B123" s="20" t="n"/>
      <c r="C123" s="20" t="n"/>
      <c r="D123" s="20" t="n"/>
      <c r="E123" s="20" t="n"/>
    </row>
    <row r="124">
      <c r="A124" s="32" t="n"/>
      <c r="B124" s="20" t="n"/>
      <c r="C124" s="20" t="n"/>
      <c r="D124" s="20" t="n"/>
      <c r="E124" s="20" t="n"/>
    </row>
    <row r="125">
      <c r="A125" s="32" t="n"/>
      <c r="B125" s="20" t="n"/>
      <c r="C125" s="20" t="n"/>
      <c r="D125" s="20" t="n"/>
      <c r="E125" s="20" t="n"/>
    </row>
    <row r="126">
      <c r="A126" s="32" t="n"/>
      <c r="B126" s="20" t="n"/>
      <c r="C126" s="20" t="n"/>
      <c r="D126" s="20" t="n"/>
      <c r="E126" s="20" t="n"/>
    </row>
    <row r="127">
      <c r="A127" s="32" t="n"/>
      <c r="B127" s="20" t="n"/>
      <c r="C127" s="20" t="n"/>
      <c r="D127" s="20" t="n"/>
      <c r="E127" s="20" t="n"/>
    </row>
    <row r="128">
      <c r="A128" s="32" t="n"/>
      <c r="B128" s="20" t="n"/>
      <c r="C128" s="20" t="n"/>
      <c r="D128" s="20" t="n"/>
      <c r="E128" s="20" t="n"/>
    </row>
    <row r="129">
      <c r="A129" s="32" t="n"/>
      <c r="B129" s="20" t="n"/>
      <c r="C129" s="20" t="n"/>
      <c r="D129" s="20" t="n"/>
      <c r="E129" s="20" t="n"/>
    </row>
    <row r="130">
      <c r="A130" s="32" t="n"/>
      <c r="B130" s="20" t="n"/>
      <c r="C130" s="20" t="n"/>
      <c r="D130" s="20" t="n"/>
      <c r="E130" s="20" t="n"/>
    </row>
    <row r="131">
      <c r="A131" s="32" t="n"/>
      <c r="B131" s="20" t="n"/>
      <c r="C131" s="20" t="n"/>
      <c r="D131" s="20" t="n"/>
      <c r="E131" s="20" t="n"/>
    </row>
    <row r="132">
      <c r="A132" s="32" t="n"/>
      <c r="B132" s="20" t="n"/>
      <c r="C132" s="20" t="n"/>
      <c r="D132" s="20" t="n"/>
      <c r="E132" s="20" t="n"/>
    </row>
    <row r="133">
      <c r="A133" s="32" t="n"/>
      <c r="B133" s="20" t="n"/>
      <c r="C133" s="20" t="n"/>
      <c r="D133" s="20" t="n"/>
      <c r="E133" s="20" t="n"/>
    </row>
    <row r="134">
      <c r="A134" s="32" t="n"/>
      <c r="B134" s="20" t="n"/>
      <c r="C134" s="20" t="n"/>
      <c r="D134" s="20" t="n"/>
      <c r="E134" s="20" t="n"/>
    </row>
    <row r="135">
      <c r="A135" s="32" t="n"/>
      <c r="B135" s="20" t="n"/>
      <c r="C135" s="20" t="n"/>
      <c r="D135" s="20" t="n"/>
      <c r="E135" s="20" t="n"/>
    </row>
    <row r="136">
      <c r="A136" s="32" t="n"/>
      <c r="B136" s="20" t="n"/>
      <c r="C136" s="20" t="n"/>
      <c r="D136" s="20" t="n"/>
      <c r="E136" s="20" t="n"/>
    </row>
    <row r="137">
      <c r="A137" s="32" t="n"/>
      <c r="B137" s="20" t="n"/>
      <c r="C137" s="20" t="n"/>
      <c r="D137" s="20" t="n"/>
      <c r="E137" s="20" t="n"/>
    </row>
    <row r="138">
      <c r="A138" s="32" t="n"/>
      <c r="B138" s="20" t="n"/>
      <c r="C138" s="20" t="n"/>
      <c r="D138" s="20" t="n"/>
      <c r="E138" s="20" t="n"/>
    </row>
    <row r="139">
      <c r="A139" s="32" t="n"/>
      <c r="B139" s="20" t="n"/>
      <c r="C139" s="20" t="n"/>
      <c r="D139" s="20" t="n"/>
      <c r="E139" s="20" t="n"/>
    </row>
    <row r="140">
      <c r="A140" s="32" t="n"/>
      <c r="B140" s="20" t="n"/>
      <c r="C140" s="20" t="n"/>
      <c r="D140" s="20" t="n"/>
      <c r="E140" s="20" t="n"/>
    </row>
    <row r="141">
      <c r="A141" s="32" t="n"/>
      <c r="B141" s="20" t="n"/>
      <c r="C141" s="20" t="n"/>
      <c r="D141" s="20" t="n"/>
      <c r="E141" s="20" t="n"/>
    </row>
    <row r="142">
      <c r="A142" s="32" t="n"/>
      <c r="B142" s="20" t="n"/>
      <c r="C142" s="20" t="n"/>
      <c r="D142" s="20" t="n"/>
      <c r="E142" s="20" t="n"/>
    </row>
    <row r="143">
      <c r="A143" s="32" t="n"/>
      <c r="B143" s="20" t="n"/>
      <c r="C143" s="20" t="n"/>
      <c r="D143" s="20" t="n"/>
      <c r="E143" s="20" t="n"/>
    </row>
    <row r="144">
      <c r="A144" s="32" t="n"/>
      <c r="B144" s="20" t="n"/>
      <c r="C144" s="20" t="n"/>
      <c r="D144" s="20" t="n"/>
      <c r="E144" s="20" t="n"/>
    </row>
    <row r="145">
      <c r="A145" s="32" t="n"/>
      <c r="B145" s="20" t="n"/>
      <c r="C145" s="20" t="n"/>
      <c r="D145" s="20" t="n"/>
      <c r="E145" s="20" t="n"/>
    </row>
    <row r="146">
      <c r="A146" s="32" t="n"/>
      <c r="B146" s="20" t="n"/>
      <c r="C146" s="20" t="n"/>
      <c r="D146" s="20" t="n"/>
      <c r="E146" s="20" t="n"/>
    </row>
    <row r="147">
      <c r="A147" s="32" t="n"/>
      <c r="B147" s="20" t="n"/>
      <c r="C147" s="20" t="n"/>
      <c r="D147" s="20" t="n"/>
      <c r="E147" s="20" t="n"/>
    </row>
    <row r="148">
      <c r="A148" s="32" t="n"/>
      <c r="B148" s="20" t="n"/>
      <c r="C148" s="20" t="n"/>
      <c r="D148" s="20" t="n"/>
      <c r="E148" s="20" t="n"/>
    </row>
    <row r="149">
      <c r="A149" s="32" t="n"/>
      <c r="B149" s="20" t="n"/>
      <c r="C149" s="20" t="n"/>
      <c r="D149" s="20" t="n"/>
      <c r="E149" s="20" t="n"/>
    </row>
    <row r="150">
      <c r="A150" s="32" t="n"/>
      <c r="B150" s="20" t="n"/>
      <c r="C150" s="20" t="n"/>
      <c r="D150" s="20" t="n"/>
      <c r="E150" s="20" t="n"/>
    </row>
    <row r="151">
      <c r="A151" s="32" t="n"/>
      <c r="B151" s="20" t="n"/>
      <c r="C151" s="20" t="n"/>
      <c r="D151" s="20" t="n"/>
      <c r="E151" s="20" t="n"/>
    </row>
    <row r="152">
      <c r="A152" s="32" t="n"/>
      <c r="B152" s="20" t="n"/>
      <c r="C152" s="20" t="n"/>
      <c r="D152" s="20" t="n"/>
      <c r="E152" s="20" t="n"/>
    </row>
    <row r="153">
      <c r="A153" s="32" t="n"/>
      <c r="B153" s="20" t="n"/>
      <c r="C153" s="20" t="n"/>
      <c r="D153" s="20" t="n"/>
      <c r="E153" s="20" t="n"/>
    </row>
    <row r="154">
      <c r="A154" s="32" t="n"/>
      <c r="B154" s="20" t="n"/>
      <c r="C154" s="20" t="n"/>
      <c r="D154" s="20" t="n"/>
      <c r="E154" s="20" t="n"/>
    </row>
    <row r="155">
      <c r="A155" s="32" t="n"/>
      <c r="B155" s="20" t="n"/>
      <c r="C155" s="20" t="n"/>
      <c r="D155" s="20" t="n"/>
      <c r="E155" s="20" t="n"/>
    </row>
    <row r="156">
      <c r="A156" s="32" t="n"/>
      <c r="B156" s="20" t="n"/>
      <c r="C156" s="20" t="n"/>
      <c r="D156" s="20" t="n"/>
      <c r="E156" s="20" t="n"/>
    </row>
    <row r="157">
      <c r="A157" s="32" t="n"/>
      <c r="B157" s="20" t="n"/>
      <c r="C157" s="20" t="n"/>
      <c r="D157" s="20" t="n"/>
      <c r="E157" s="20" t="n"/>
    </row>
    <row r="158">
      <c r="A158" s="32" t="n"/>
      <c r="B158" s="20" t="n"/>
      <c r="C158" s="20" t="n"/>
      <c r="D158" s="20" t="n"/>
      <c r="E158" s="20" t="n"/>
    </row>
    <row r="159">
      <c r="A159" s="32" t="n"/>
      <c r="B159" s="20" t="n"/>
      <c r="C159" s="20" t="n"/>
      <c r="D159" s="20" t="n"/>
      <c r="E159" s="20" t="n"/>
    </row>
    <row r="160">
      <c r="A160" s="32" t="n"/>
      <c r="B160" s="20" t="n"/>
      <c r="C160" s="20" t="n"/>
      <c r="D160" s="20" t="n"/>
      <c r="E160" s="20" t="n"/>
    </row>
    <row r="161">
      <c r="A161" s="32" t="n"/>
      <c r="B161" s="20" t="n"/>
      <c r="C161" s="20" t="n"/>
      <c r="D161" s="20" t="n"/>
      <c r="E161" s="20" t="n"/>
    </row>
    <row r="162">
      <c r="A162" s="32" t="n"/>
      <c r="B162" s="20" t="n"/>
      <c r="C162" s="20" t="n"/>
      <c r="D162" s="20" t="n"/>
      <c r="E162" s="20" t="n"/>
    </row>
    <row r="163">
      <c r="A163" s="32" t="n"/>
      <c r="B163" s="20" t="n"/>
      <c r="C163" s="20" t="n"/>
      <c r="D163" s="20" t="n"/>
      <c r="E163" s="20" t="n"/>
    </row>
    <row r="164">
      <c r="A164" s="32" t="n"/>
      <c r="B164" s="20" t="n"/>
      <c r="C164" s="20" t="n"/>
      <c r="D164" s="20" t="n"/>
      <c r="E164" s="20" t="n"/>
    </row>
    <row r="165">
      <c r="A165" s="32" t="n"/>
      <c r="B165" s="20" t="n"/>
      <c r="C165" s="20" t="n"/>
      <c r="D165" s="20" t="n"/>
      <c r="E165" s="20" t="n"/>
    </row>
    <row r="166">
      <c r="A166" s="32" t="n"/>
      <c r="B166" s="20" t="n"/>
      <c r="C166" s="20" t="n"/>
      <c r="D166" s="20" t="n"/>
      <c r="E166" s="20" t="n"/>
    </row>
    <row r="167">
      <c r="A167" s="32" t="n"/>
      <c r="B167" s="20" t="n"/>
      <c r="C167" s="20" t="n"/>
      <c r="D167" s="20" t="n"/>
      <c r="E167" s="20" t="n"/>
    </row>
    <row r="168">
      <c r="A168" s="32" t="n"/>
      <c r="B168" s="20" t="n"/>
      <c r="C168" s="20" t="n"/>
      <c r="D168" s="20" t="n"/>
      <c r="E168" s="20" t="n"/>
    </row>
    <row r="169">
      <c r="A169" s="32" t="n"/>
      <c r="B169" s="20" t="n"/>
      <c r="C169" s="20" t="n"/>
      <c r="D169" s="20" t="n"/>
      <c r="E169" s="20" t="n"/>
    </row>
    <row r="170">
      <c r="A170" s="32" t="n"/>
      <c r="B170" s="20" t="n"/>
      <c r="C170" s="20" t="n"/>
      <c r="D170" s="20" t="n"/>
      <c r="E170" s="20" t="n"/>
    </row>
    <row r="171">
      <c r="A171" s="32" t="n"/>
      <c r="B171" s="20" t="n"/>
      <c r="C171" s="20" t="n"/>
      <c r="D171" s="20" t="n"/>
      <c r="E171" s="20" t="n"/>
    </row>
    <row r="172">
      <c r="A172" s="32" t="n"/>
      <c r="B172" s="20" t="n"/>
      <c r="C172" s="20" t="n"/>
      <c r="D172" s="20" t="n"/>
      <c r="E172" s="20" t="n"/>
    </row>
    <row r="173">
      <c r="A173" s="32" t="n"/>
      <c r="B173" s="20" t="n"/>
      <c r="C173" s="20" t="n"/>
      <c r="D173" s="20" t="n"/>
      <c r="E173" s="20" t="n"/>
    </row>
    <row r="174">
      <c r="A174" s="32" t="n"/>
      <c r="B174" s="20" t="n"/>
      <c r="C174" s="20" t="n"/>
      <c r="D174" s="20" t="n"/>
      <c r="E174" s="20" t="n"/>
    </row>
    <row r="175">
      <c r="A175" s="32" t="n"/>
      <c r="B175" s="20" t="n"/>
      <c r="C175" s="20" t="n"/>
      <c r="D175" s="20" t="n"/>
      <c r="E175" s="20" t="n"/>
    </row>
    <row r="176">
      <c r="A176" s="32" t="n"/>
      <c r="B176" s="20" t="n"/>
      <c r="C176" s="20" t="n"/>
      <c r="D176" s="20" t="n"/>
      <c r="E176" s="20" t="n"/>
    </row>
    <row r="177">
      <c r="A177" s="32" t="n"/>
      <c r="B177" s="20" t="n"/>
      <c r="C177" s="20" t="n"/>
      <c r="D177" s="20" t="n"/>
      <c r="E177" s="20" t="n"/>
    </row>
    <row r="178">
      <c r="A178" s="32" t="n"/>
      <c r="B178" s="20" t="n"/>
      <c r="C178" s="20" t="n"/>
      <c r="D178" s="20" t="n"/>
      <c r="E178" s="20" t="n"/>
    </row>
    <row r="179">
      <c r="A179" s="32" t="n"/>
      <c r="B179" s="20" t="n"/>
      <c r="C179" s="20" t="n"/>
      <c r="D179" s="20" t="n"/>
      <c r="E179" s="20" t="n"/>
    </row>
    <row r="180">
      <c r="A180" s="32" t="n"/>
      <c r="B180" s="20" t="n"/>
      <c r="C180" s="20" t="n"/>
      <c r="D180" s="20" t="n"/>
      <c r="E180" s="20" t="n"/>
    </row>
    <row r="181">
      <c r="A181" s="32" t="n"/>
      <c r="B181" s="20" t="n"/>
      <c r="C181" s="20" t="n"/>
      <c r="D181" s="20" t="n"/>
      <c r="E181" s="20" t="n"/>
    </row>
    <row r="182">
      <c r="A182" s="32" t="n"/>
      <c r="B182" s="20" t="n"/>
      <c r="C182" s="20" t="n"/>
      <c r="D182" s="20" t="n"/>
      <c r="E182" s="20" t="n"/>
    </row>
    <row r="183">
      <c r="A183" s="32" t="n"/>
      <c r="B183" s="20" t="n"/>
      <c r="C183" s="20" t="n"/>
      <c r="D183" s="20" t="n"/>
      <c r="E183" s="20" t="n"/>
    </row>
    <row r="184">
      <c r="A184" s="32" t="n"/>
      <c r="B184" s="20" t="n"/>
      <c r="C184" s="20" t="n"/>
      <c r="D184" s="20" t="n"/>
      <c r="E184" s="20" t="n"/>
    </row>
    <row r="185">
      <c r="A185" s="32" t="n"/>
      <c r="B185" s="20" t="n"/>
      <c r="C185" s="20" t="n"/>
      <c r="D185" s="20" t="n"/>
      <c r="E185" s="20" t="n"/>
    </row>
    <row r="186">
      <c r="A186" s="32" t="n"/>
      <c r="B186" s="20" t="n"/>
      <c r="C186" s="20" t="n"/>
      <c r="D186" s="20" t="n"/>
      <c r="E186" s="20" t="n"/>
    </row>
    <row r="187">
      <c r="A187" s="32" t="n"/>
      <c r="B187" s="20" t="n"/>
      <c r="C187" s="20" t="n"/>
      <c r="D187" s="20" t="n"/>
      <c r="E187" s="20" t="n"/>
    </row>
    <row r="188">
      <c r="A188" s="32" t="n"/>
      <c r="B188" s="20" t="n"/>
      <c r="C188" s="20" t="n"/>
      <c r="D188" s="20" t="n"/>
      <c r="E188" s="20" t="n"/>
    </row>
    <row r="189">
      <c r="A189" s="32" t="n"/>
      <c r="B189" s="20" t="n"/>
      <c r="C189" s="20" t="n"/>
      <c r="D189" s="20" t="n"/>
      <c r="E189" s="20" t="n"/>
    </row>
    <row r="190">
      <c r="A190" s="32" t="n"/>
      <c r="B190" s="20" t="n"/>
      <c r="C190" s="20" t="n"/>
      <c r="D190" s="20" t="n"/>
      <c r="E190" s="20" t="n"/>
    </row>
    <row r="191">
      <c r="A191" s="32" t="n"/>
      <c r="B191" s="20" t="n"/>
      <c r="C191" s="20" t="n"/>
      <c r="D191" s="20" t="n"/>
      <c r="E191" s="20" t="n"/>
    </row>
    <row r="192">
      <c r="A192" s="32" t="n"/>
      <c r="B192" s="20" t="n"/>
      <c r="C192" s="20" t="n"/>
      <c r="D192" s="20" t="n"/>
      <c r="E192" s="20" t="n"/>
    </row>
    <row r="193">
      <c r="A193" s="32" t="n"/>
      <c r="B193" s="20" t="n"/>
      <c r="C193" s="20" t="n"/>
      <c r="D193" s="20" t="n"/>
      <c r="E193" s="20" t="n"/>
    </row>
    <row r="194">
      <c r="A194" s="32" t="n"/>
      <c r="B194" s="20" t="n"/>
      <c r="C194" s="20" t="n"/>
      <c r="D194" s="20" t="n"/>
      <c r="E194" s="20" t="n"/>
    </row>
    <row r="195">
      <c r="A195" s="32" t="n"/>
      <c r="B195" s="20" t="n"/>
      <c r="C195" s="20" t="n"/>
      <c r="D195" s="20" t="n"/>
      <c r="E195" s="20" t="n"/>
    </row>
    <row r="196">
      <c r="A196" s="32" t="n"/>
      <c r="B196" s="20" t="n"/>
      <c r="C196" s="20" t="n"/>
      <c r="D196" s="20" t="n"/>
      <c r="E196" s="20" t="n"/>
    </row>
    <row r="197">
      <c r="A197" s="32" t="n"/>
      <c r="B197" s="20" t="n"/>
      <c r="C197" s="20" t="n"/>
      <c r="D197" s="20" t="n"/>
      <c r="E197" s="20" t="n"/>
    </row>
    <row r="198">
      <c r="A198" s="32" t="n"/>
      <c r="B198" s="20" t="n"/>
      <c r="C198" s="20" t="n"/>
      <c r="D198" s="20" t="n"/>
      <c r="E198" s="20" t="n"/>
    </row>
    <row r="199">
      <c r="A199" s="32" t="n"/>
      <c r="B199" s="20" t="n"/>
      <c r="C199" s="20" t="n"/>
      <c r="D199" s="20" t="n"/>
      <c r="E199" s="20" t="n"/>
    </row>
    <row r="200">
      <c r="A200" s="32" t="n"/>
      <c r="B200" s="20" t="n"/>
      <c r="C200" s="20" t="n"/>
      <c r="D200" s="20" t="n"/>
      <c r="E200" s="20" t="n"/>
    </row>
    <row r="201">
      <c r="A201" s="32" t="n"/>
      <c r="B201" s="20" t="n"/>
      <c r="C201" s="20" t="n"/>
      <c r="D201" s="20" t="n"/>
      <c r="E201" s="20" t="n"/>
    </row>
    <row r="202">
      <c r="A202" s="32" t="n"/>
      <c r="B202" s="20" t="n"/>
      <c r="C202" s="20" t="n"/>
      <c r="D202" s="20" t="n"/>
      <c r="E202" s="20" t="n"/>
    </row>
  </sheetData>
  <dataValidations count="2">
    <dataValidation sqref="B3:B202" showDropDown="0" showInputMessage="0" showErrorMessage="0" allowBlank="1" type="list">
      <formula1>=Setup!$B$13:$B$20</formula1>
    </dataValidation>
    <dataValidation sqref="C3:C202" showDropDown="0" showInputMessage="0" showErrorMessage="0" allowBlank="1" type="list">
      <formula1>"SK,TP,BH,WB,OT"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6" customWidth="1" min="4" max="4"/>
    <col width="10" customWidth="1" min="5" max="5"/>
    <col width="50" customWidth="1" min="6" max="6"/>
  </cols>
  <sheetData>
    <row r="1">
      <c r="A1" s="31" t="inlineStr">
        <is>
          <t>Log 2 · Lost deals (after quotation)   |   Reason: PR CM NR TM BG NF PY OT</t>
        </is>
      </c>
      <c r="H1" s="33" t="inlineStr">
        <is>
          <t>Day 1: 12 lost deals logged by count. Please add client, agent, value and reason for each row.</t>
        </is>
      </c>
    </row>
    <row r="2" ht="32" customHeight="1">
      <c r="A2" s="15" t="inlineStr">
        <is>
          <t>Date</t>
        </is>
      </c>
      <c r="B2" s="15" t="inlineStr">
        <is>
          <t>Client name / Deal ID</t>
        </is>
      </c>
      <c r="C2" s="15" t="inlineStr">
        <is>
          <t>Agent</t>
        </is>
      </c>
      <c r="D2" s="15" t="inlineStr">
        <is>
          <t>Quote value (AED)</t>
        </is>
      </c>
      <c r="E2" s="15" t="inlineStr">
        <is>
          <t>Reason code</t>
        </is>
      </c>
      <c r="F2" s="15" t="inlineStr">
        <is>
          <t>Comment</t>
        </is>
      </c>
    </row>
    <row r="3">
      <c r="A3" s="32" t="n">
        <v>46296</v>
      </c>
      <c r="B3" s="20" t="n"/>
      <c r="C3" s="20" t="n"/>
      <c r="D3" s="34" t="n"/>
      <c r="E3" s="20" t="n"/>
      <c r="F3" s="20" t="n"/>
    </row>
    <row r="4">
      <c r="A4" s="32" t="n">
        <v>46296</v>
      </c>
      <c r="B4" s="20" t="n"/>
      <c r="C4" s="20" t="n"/>
      <c r="D4" s="34" t="n"/>
      <c r="E4" s="20" t="n"/>
      <c r="F4" s="20" t="n"/>
    </row>
    <row r="5">
      <c r="A5" s="32" t="n">
        <v>46296</v>
      </c>
      <c r="B5" s="20" t="n"/>
      <c r="C5" s="20" t="n"/>
      <c r="D5" s="34" t="n"/>
      <c r="E5" s="20" t="n"/>
      <c r="F5" s="20" t="n"/>
    </row>
    <row r="6">
      <c r="A6" s="32" t="n">
        <v>46296</v>
      </c>
      <c r="B6" s="20" t="n"/>
      <c r="C6" s="20" t="n"/>
      <c r="D6" s="34" t="n"/>
      <c r="E6" s="20" t="n"/>
      <c r="F6" s="20" t="n"/>
    </row>
    <row r="7">
      <c r="A7" s="32" t="n">
        <v>46296</v>
      </c>
      <c r="B7" s="20" t="n"/>
      <c r="C7" s="20" t="n"/>
      <c r="D7" s="34" t="n"/>
      <c r="E7" s="20" t="n"/>
      <c r="F7" s="20" t="n"/>
    </row>
    <row r="8">
      <c r="A8" s="32" t="n">
        <v>46296</v>
      </c>
      <c r="B8" s="20" t="n"/>
      <c r="C8" s="20" t="n"/>
      <c r="D8" s="34" t="n"/>
      <c r="E8" s="20" t="n"/>
      <c r="F8" s="20" t="n"/>
    </row>
    <row r="9">
      <c r="A9" s="32" t="n">
        <v>46296</v>
      </c>
      <c r="B9" s="20" t="n"/>
      <c r="C9" s="20" t="n"/>
      <c r="D9" s="34" t="n"/>
      <c r="E9" s="20" t="n"/>
      <c r="F9" s="20" t="n"/>
    </row>
    <row r="10">
      <c r="A10" s="32" t="n">
        <v>46296</v>
      </c>
      <c r="B10" s="20" t="n"/>
      <c r="C10" s="20" t="n"/>
      <c r="D10" s="34" t="n"/>
      <c r="E10" s="20" t="n"/>
      <c r="F10" s="20" t="n"/>
    </row>
    <row r="11">
      <c r="A11" s="32" t="n">
        <v>46296</v>
      </c>
      <c r="B11" s="20" t="n"/>
      <c r="C11" s="20" t="n"/>
      <c r="D11" s="34" t="n"/>
      <c r="E11" s="20" t="n"/>
      <c r="F11" s="20" t="n"/>
    </row>
    <row r="12">
      <c r="A12" s="32" t="n">
        <v>46296</v>
      </c>
      <c r="B12" s="20" t="n"/>
      <c r="C12" s="20" t="n"/>
      <c r="D12" s="34" t="n"/>
      <c r="E12" s="20" t="n"/>
      <c r="F12" s="20" t="n"/>
    </row>
    <row r="13">
      <c r="A13" s="32" t="n">
        <v>46296</v>
      </c>
      <c r="B13" s="20" t="n"/>
      <c r="C13" s="20" t="n"/>
      <c r="D13" s="34" t="n"/>
      <c r="E13" s="20" t="n"/>
      <c r="F13" s="20" t="n"/>
    </row>
    <row r="14">
      <c r="A14" s="32" t="n">
        <v>46296</v>
      </c>
      <c r="B14" s="20" t="n"/>
      <c r="C14" s="20" t="n"/>
      <c r="D14" s="34" t="n"/>
      <c r="E14" s="20" t="n"/>
      <c r="F14" s="20" t="n"/>
    </row>
    <row r="15">
      <c r="A15" s="32" t="n"/>
      <c r="B15" s="20" t="n"/>
      <c r="C15" s="20" t="n"/>
      <c r="D15" s="34" t="n"/>
      <c r="E15" s="20" t="n"/>
      <c r="F15" s="20" t="n"/>
    </row>
    <row r="16">
      <c r="A16" s="32" t="n"/>
      <c r="B16" s="20" t="n"/>
      <c r="C16" s="20" t="n"/>
      <c r="D16" s="34" t="n"/>
      <c r="E16" s="20" t="n"/>
      <c r="F16" s="20" t="n"/>
    </row>
    <row r="17">
      <c r="A17" s="32" t="n"/>
      <c r="B17" s="20" t="n"/>
      <c r="C17" s="20" t="n"/>
      <c r="D17" s="34" t="n"/>
      <c r="E17" s="20" t="n"/>
      <c r="F17" s="20" t="n"/>
    </row>
    <row r="18">
      <c r="A18" s="32" t="n"/>
      <c r="B18" s="20" t="n"/>
      <c r="C18" s="20" t="n"/>
      <c r="D18" s="34" t="n"/>
      <c r="E18" s="20" t="n"/>
      <c r="F18" s="20" t="n"/>
    </row>
    <row r="19">
      <c r="A19" s="32" t="n"/>
      <c r="B19" s="20" t="n"/>
      <c r="C19" s="20" t="n"/>
      <c r="D19" s="34" t="n"/>
      <c r="E19" s="20" t="n"/>
      <c r="F19" s="20" t="n"/>
    </row>
    <row r="20">
      <c r="A20" s="32" t="n"/>
      <c r="B20" s="20" t="n"/>
      <c r="C20" s="20" t="n"/>
      <c r="D20" s="34" t="n"/>
      <c r="E20" s="20" t="n"/>
      <c r="F20" s="20" t="n"/>
    </row>
    <row r="21">
      <c r="A21" s="32" t="n"/>
      <c r="B21" s="20" t="n"/>
      <c r="C21" s="20" t="n"/>
      <c r="D21" s="34" t="n"/>
      <c r="E21" s="20" t="n"/>
      <c r="F21" s="20" t="n"/>
    </row>
    <row r="22">
      <c r="A22" s="32" t="n"/>
      <c r="B22" s="20" t="n"/>
      <c r="C22" s="20" t="n"/>
      <c r="D22" s="34" t="n"/>
      <c r="E22" s="20" t="n"/>
      <c r="F22" s="20" t="n"/>
    </row>
    <row r="23">
      <c r="A23" s="32" t="n"/>
      <c r="B23" s="20" t="n"/>
      <c r="C23" s="20" t="n"/>
      <c r="D23" s="34" t="n"/>
      <c r="E23" s="20" t="n"/>
      <c r="F23" s="20" t="n"/>
    </row>
    <row r="24">
      <c r="A24" s="32" t="n"/>
      <c r="B24" s="20" t="n"/>
      <c r="C24" s="20" t="n"/>
      <c r="D24" s="34" t="n"/>
      <c r="E24" s="20" t="n"/>
      <c r="F24" s="20" t="n"/>
    </row>
    <row r="25">
      <c r="A25" s="32" t="n"/>
      <c r="B25" s="20" t="n"/>
      <c r="C25" s="20" t="n"/>
      <c r="D25" s="34" t="n"/>
      <c r="E25" s="20" t="n"/>
      <c r="F25" s="20" t="n"/>
    </row>
    <row r="26">
      <c r="A26" s="32" t="n"/>
      <c r="B26" s="20" t="n"/>
      <c r="C26" s="20" t="n"/>
      <c r="D26" s="34" t="n"/>
      <c r="E26" s="20" t="n"/>
      <c r="F26" s="20" t="n"/>
    </row>
    <row r="27">
      <c r="A27" s="32" t="n"/>
      <c r="B27" s="20" t="n"/>
      <c r="C27" s="20" t="n"/>
      <c r="D27" s="34" t="n"/>
      <c r="E27" s="20" t="n"/>
      <c r="F27" s="20" t="n"/>
    </row>
    <row r="28">
      <c r="A28" s="32" t="n"/>
      <c r="B28" s="20" t="n"/>
      <c r="C28" s="20" t="n"/>
      <c r="D28" s="34" t="n"/>
      <c r="E28" s="20" t="n"/>
      <c r="F28" s="20" t="n"/>
    </row>
    <row r="29">
      <c r="A29" s="32" t="n"/>
      <c r="B29" s="20" t="n"/>
      <c r="C29" s="20" t="n"/>
      <c r="D29" s="34" t="n"/>
      <c r="E29" s="20" t="n"/>
      <c r="F29" s="20" t="n"/>
    </row>
    <row r="30">
      <c r="A30" s="32" t="n"/>
      <c r="B30" s="20" t="n"/>
      <c r="C30" s="20" t="n"/>
      <c r="D30" s="34" t="n"/>
      <c r="E30" s="20" t="n"/>
      <c r="F30" s="20" t="n"/>
    </row>
    <row r="31">
      <c r="A31" s="32" t="n"/>
      <c r="B31" s="20" t="n"/>
      <c r="C31" s="20" t="n"/>
      <c r="D31" s="34" t="n"/>
      <c r="E31" s="20" t="n"/>
      <c r="F31" s="20" t="n"/>
    </row>
    <row r="32">
      <c r="A32" s="32" t="n"/>
      <c r="B32" s="20" t="n"/>
      <c r="C32" s="20" t="n"/>
      <c r="D32" s="34" t="n"/>
      <c r="E32" s="20" t="n"/>
      <c r="F32" s="20" t="n"/>
    </row>
    <row r="33">
      <c r="A33" s="32" t="n"/>
      <c r="B33" s="20" t="n"/>
      <c r="C33" s="20" t="n"/>
      <c r="D33" s="34" t="n"/>
      <c r="E33" s="20" t="n"/>
      <c r="F33" s="20" t="n"/>
    </row>
    <row r="34">
      <c r="A34" s="32" t="n"/>
      <c r="B34" s="20" t="n"/>
      <c r="C34" s="20" t="n"/>
      <c r="D34" s="34" t="n"/>
      <c r="E34" s="20" t="n"/>
      <c r="F34" s="20" t="n"/>
    </row>
    <row r="35">
      <c r="A35" s="32" t="n"/>
      <c r="B35" s="20" t="n"/>
      <c r="C35" s="20" t="n"/>
      <c r="D35" s="34" t="n"/>
      <c r="E35" s="20" t="n"/>
      <c r="F35" s="20" t="n"/>
    </row>
    <row r="36">
      <c r="A36" s="32" t="n"/>
      <c r="B36" s="20" t="n"/>
      <c r="C36" s="20" t="n"/>
      <c r="D36" s="34" t="n"/>
      <c r="E36" s="20" t="n"/>
      <c r="F36" s="20" t="n"/>
    </row>
    <row r="37">
      <c r="A37" s="32" t="n"/>
      <c r="B37" s="20" t="n"/>
      <c r="C37" s="20" t="n"/>
      <c r="D37" s="34" t="n"/>
      <c r="E37" s="20" t="n"/>
      <c r="F37" s="20" t="n"/>
    </row>
    <row r="38">
      <c r="A38" s="32" t="n"/>
      <c r="B38" s="20" t="n"/>
      <c r="C38" s="20" t="n"/>
      <c r="D38" s="34" t="n"/>
      <c r="E38" s="20" t="n"/>
      <c r="F38" s="20" t="n"/>
    </row>
    <row r="39">
      <c r="A39" s="32" t="n"/>
      <c r="B39" s="20" t="n"/>
      <c r="C39" s="20" t="n"/>
      <c r="D39" s="34" t="n"/>
      <c r="E39" s="20" t="n"/>
      <c r="F39" s="20" t="n"/>
    </row>
    <row r="40">
      <c r="A40" s="32" t="n"/>
      <c r="B40" s="20" t="n"/>
      <c r="C40" s="20" t="n"/>
      <c r="D40" s="34" t="n"/>
      <c r="E40" s="20" t="n"/>
      <c r="F40" s="20" t="n"/>
    </row>
    <row r="41">
      <c r="A41" s="32" t="n"/>
      <c r="B41" s="20" t="n"/>
      <c r="C41" s="20" t="n"/>
      <c r="D41" s="34" t="n"/>
      <c r="E41" s="20" t="n"/>
      <c r="F41" s="20" t="n"/>
    </row>
    <row r="42">
      <c r="A42" s="32" t="n"/>
      <c r="B42" s="20" t="n"/>
      <c r="C42" s="20" t="n"/>
      <c r="D42" s="34" t="n"/>
      <c r="E42" s="20" t="n"/>
      <c r="F42" s="20" t="n"/>
    </row>
    <row r="43">
      <c r="A43" s="32" t="n"/>
      <c r="B43" s="20" t="n"/>
      <c r="C43" s="20" t="n"/>
      <c r="D43" s="34" t="n"/>
      <c r="E43" s="20" t="n"/>
      <c r="F43" s="20" t="n"/>
    </row>
    <row r="44">
      <c r="A44" s="32" t="n"/>
      <c r="B44" s="20" t="n"/>
      <c r="C44" s="20" t="n"/>
      <c r="D44" s="34" t="n"/>
      <c r="E44" s="20" t="n"/>
      <c r="F44" s="20" t="n"/>
    </row>
    <row r="45">
      <c r="A45" s="32" t="n"/>
      <c r="B45" s="20" t="n"/>
      <c r="C45" s="20" t="n"/>
      <c r="D45" s="34" t="n"/>
      <c r="E45" s="20" t="n"/>
      <c r="F45" s="20" t="n"/>
    </row>
    <row r="46">
      <c r="A46" s="32" t="n"/>
      <c r="B46" s="20" t="n"/>
      <c r="C46" s="20" t="n"/>
      <c r="D46" s="34" t="n"/>
      <c r="E46" s="20" t="n"/>
      <c r="F46" s="20" t="n"/>
    </row>
    <row r="47">
      <c r="A47" s="32" t="n"/>
      <c r="B47" s="20" t="n"/>
      <c r="C47" s="20" t="n"/>
      <c r="D47" s="34" t="n"/>
      <c r="E47" s="20" t="n"/>
      <c r="F47" s="20" t="n"/>
    </row>
    <row r="48">
      <c r="A48" s="32" t="n"/>
      <c r="B48" s="20" t="n"/>
      <c r="C48" s="20" t="n"/>
      <c r="D48" s="34" t="n"/>
      <c r="E48" s="20" t="n"/>
      <c r="F48" s="20" t="n"/>
    </row>
    <row r="49">
      <c r="A49" s="32" t="n"/>
      <c r="B49" s="20" t="n"/>
      <c r="C49" s="20" t="n"/>
      <c r="D49" s="34" t="n"/>
      <c r="E49" s="20" t="n"/>
      <c r="F49" s="20" t="n"/>
    </row>
    <row r="50">
      <c r="A50" s="32" t="n"/>
      <c r="B50" s="20" t="n"/>
      <c r="C50" s="20" t="n"/>
      <c r="D50" s="34" t="n"/>
      <c r="E50" s="20" t="n"/>
      <c r="F50" s="20" t="n"/>
    </row>
    <row r="51">
      <c r="A51" s="32" t="n"/>
      <c r="B51" s="20" t="n"/>
      <c r="C51" s="20" t="n"/>
      <c r="D51" s="34" t="n"/>
      <c r="E51" s="20" t="n"/>
      <c r="F51" s="20" t="n"/>
    </row>
    <row r="52">
      <c r="A52" s="32" t="n"/>
      <c r="B52" s="20" t="n"/>
      <c r="C52" s="20" t="n"/>
      <c r="D52" s="34" t="n"/>
      <c r="E52" s="20" t="n"/>
      <c r="F52" s="20" t="n"/>
    </row>
    <row r="53">
      <c r="A53" s="32" t="n"/>
      <c r="B53" s="20" t="n"/>
      <c r="C53" s="20" t="n"/>
      <c r="D53" s="34" t="n"/>
      <c r="E53" s="20" t="n"/>
      <c r="F53" s="20" t="n"/>
    </row>
    <row r="54">
      <c r="A54" s="32" t="n"/>
      <c r="B54" s="20" t="n"/>
      <c r="C54" s="20" t="n"/>
      <c r="D54" s="34" t="n"/>
      <c r="E54" s="20" t="n"/>
      <c r="F54" s="20" t="n"/>
    </row>
    <row r="55">
      <c r="A55" s="32" t="n"/>
      <c r="B55" s="20" t="n"/>
      <c r="C55" s="20" t="n"/>
      <c r="D55" s="34" t="n"/>
      <c r="E55" s="20" t="n"/>
      <c r="F55" s="20" t="n"/>
    </row>
    <row r="56">
      <c r="A56" s="32" t="n"/>
      <c r="B56" s="20" t="n"/>
      <c r="C56" s="20" t="n"/>
      <c r="D56" s="34" t="n"/>
      <c r="E56" s="20" t="n"/>
      <c r="F56" s="20" t="n"/>
    </row>
    <row r="57">
      <c r="A57" s="32" t="n"/>
      <c r="B57" s="20" t="n"/>
      <c r="C57" s="20" t="n"/>
      <c r="D57" s="34" t="n"/>
      <c r="E57" s="20" t="n"/>
      <c r="F57" s="20" t="n"/>
    </row>
    <row r="58">
      <c r="A58" s="32" t="n"/>
      <c r="B58" s="20" t="n"/>
      <c r="C58" s="20" t="n"/>
      <c r="D58" s="34" t="n"/>
      <c r="E58" s="20" t="n"/>
      <c r="F58" s="20" t="n"/>
    </row>
    <row r="59">
      <c r="A59" s="32" t="n"/>
      <c r="B59" s="20" t="n"/>
      <c r="C59" s="20" t="n"/>
      <c r="D59" s="34" t="n"/>
      <c r="E59" s="20" t="n"/>
      <c r="F59" s="20" t="n"/>
    </row>
    <row r="60">
      <c r="A60" s="32" t="n"/>
      <c r="B60" s="20" t="n"/>
      <c r="C60" s="20" t="n"/>
      <c r="D60" s="34" t="n"/>
      <c r="E60" s="20" t="n"/>
      <c r="F60" s="20" t="n"/>
    </row>
    <row r="61">
      <c r="A61" s="32" t="n"/>
      <c r="B61" s="20" t="n"/>
      <c r="C61" s="20" t="n"/>
      <c r="D61" s="34" t="n"/>
      <c r="E61" s="20" t="n"/>
      <c r="F61" s="20" t="n"/>
    </row>
    <row r="62">
      <c r="A62" s="32" t="n"/>
      <c r="B62" s="20" t="n"/>
      <c r="C62" s="20" t="n"/>
      <c r="D62" s="34" t="n"/>
      <c r="E62" s="20" t="n"/>
      <c r="F62" s="20" t="n"/>
    </row>
    <row r="63">
      <c r="A63" s="32" t="n"/>
      <c r="B63" s="20" t="n"/>
      <c r="C63" s="20" t="n"/>
      <c r="D63" s="34" t="n"/>
      <c r="E63" s="20" t="n"/>
      <c r="F63" s="20" t="n"/>
    </row>
    <row r="64">
      <c r="A64" s="32" t="n"/>
      <c r="B64" s="20" t="n"/>
      <c r="C64" s="20" t="n"/>
      <c r="D64" s="34" t="n"/>
      <c r="E64" s="20" t="n"/>
      <c r="F64" s="20" t="n"/>
    </row>
    <row r="65">
      <c r="A65" s="32" t="n"/>
      <c r="B65" s="20" t="n"/>
      <c r="C65" s="20" t="n"/>
      <c r="D65" s="34" t="n"/>
      <c r="E65" s="20" t="n"/>
      <c r="F65" s="20" t="n"/>
    </row>
    <row r="66">
      <c r="A66" s="32" t="n"/>
      <c r="B66" s="20" t="n"/>
      <c r="C66" s="20" t="n"/>
      <c r="D66" s="34" t="n"/>
      <c r="E66" s="20" t="n"/>
      <c r="F66" s="20" t="n"/>
    </row>
    <row r="67">
      <c r="A67" s="32" t="n"/>
      <c r="B67" s="20" t="n"/>
      <c r="C67" s="20" t="n"/>
      <c r="D67" s="34" t="n"/>
      <c r="E67" s="20" t="n"/>
      <c r="F67" s="20" t="n"/>
    </row>
    <row r="68">
      <c r="A68" s="32" t="n"/>
      <c r="B68" s="20" t="n"/>
      <c r="C68" s="20" t="n"/>
      <c r="D68" s="34" t="n"/>
      <c r="E68" s="20" t="n"/>
      <c r="F68" s="20" t="n"/>
    </row>
    <row r="69">
      <c r="A69" s="32" t="n"/>
      <c r="B69" s="20" t="n"/>
      <c r="C69" s="20" t="n"/>
      <c r="D69" s="34" t="n"/>
      <c r="E69" s="20" t="n"/>
      <c r="F69" s="20" t="n"/>
    </row>
    <row r="70">
      <c r="A70" s="32" t="n"/>
      <c r="B70" s="20" t="n"/>
      <c r="C70" s="20" t="n"/>
      <c r="D70" s="34" t="n"/>
      <c r="E70" s="20" t="n"/>
      <c r="F70" s="20" t="n"/>
    </row>
    <row r="71">
      <c r="A71" s="32" t="n"/>
      <c r="B71" s="20" t="n"/>
      <c r="C71" s="20" t="n"/>
      <c r="D71" s="34" t="n"/>
      <c r="E71" s="20" t="n"/>
      <c r="F71" s="20" t="n"/>
    </row>
    <row r="72">
      <c r="A72" s="32" t="n"/>
      <c r="B72" s="20" t="n"/>
      <c r="C72" s="20" t="n"/>
      <c r="D72" s="34" t="n"/>
      <c r="E72" s="20" t="n"/>
      <c r="F72" s="20" t="n"/>
    </row>
    <row r="73">
      <c r="A73" s="32" t="n"/>
      <c r="B73" s="20" t="n"/>
      <c r="C73" s="20" t="n"/>
      <c r="D73" s="34" t="n"/>
      <c r="E73" s="20" t="n"/>
      <c r="F73" s="20" t="n"/>
    </row>
    <row r="74">
      <c r="A74" s="32" t="n"/>
      <c r="B74" s="20" t="n"/>
      <c r="C74" s="20" t="n"/>
      <c r="D74" s="34" t="n"/>
      <c r="E74" s="20" t="n"/>
      <c r="F74" s="20" t="n"/>
    </row>
    <row r="75">
      <c r="A75" s="32" t="n"/>
      <c r="B75" s="20" t="n"/>
      <c r="C75" s="20" t="n"/>
      <c r="D75" s="34" t="n"/>
      <c r="E75" s="20" t="n"/>
      <c r="F75" s="20" t="n"/>
    </row>
    <row r="76">
      <c r="A76" s="32" t="n"/>
      <c r="B76" s="20" t="n"/>
      <c r="C76" s="20" t="n"/>
      <c r="D76" s="34" t="n"/>
      <c r="E76" s="20" t="n"/>
      <c r="F76" s="20" t="n"/>
    </row>
    <row r="77">
      <c r="A77" s="32" t="n"/>
      <c r="B77" s="20" t="n"/>
      <c r="C77" s="20" t="n"/>
      <c r="D77" s="34" t="n"/>
      <c r="E77" s="20" t="n"/>
      <c r="F77" s="20" t="n"/>
    </row>
    <row r="78">
      <c r="A78" s="32" t="n"/>
      <c r="B78" s="20" t="n"/>
      <c r="C78" s="20" t="n"/>
      <c r="D78" s="34" t="n"/>
      <c r="E78" s="20" t="n"/>
      <c r="F78" s="20" t="n"/>
    </row>
    <row r="79">
      <c r="A79" s="32" t="n"/>
      <c r="B79" s="20" t="n"/>
      <c r="C79" s="20" t="n"/>
      <c r="D79" s="34" t="n"/>
      <c r="E79" s="20" t="n"/>
      <c r="F79" s="20" t="n"/>
    </row>
    <row r="80">
      <c r="A80" s="32" t="n"/>
      <c r="B80" s="20" t="n"/>
      <c r="C80" s="20" t="n"/>
      <c r="D80" s="34" t="n"/>
      <c r="E80" s="20" t="n"/>
      <c r="F80" s="20" t="n"/>
    </row>
    <row r="81">
      <c r="A81" s="32" t="n"/>
      <c r="B81" s="20" t="n"/>
      <c r="C81" s="20" t="n"/>
      <c r="D81" s="34" t="n"/>
      <c r="E81" s="20" t="n"/>
      <c r="F81" s="20" t="n"/>
    </row>
    <row r="82">
      <c r="A82" s="32" t="n"/>
      <c r="B82" s="20" t="n"/>
      <c r="C82" s="20" t="n"/>
      <c r="D82" s="34" t="n"/>
      <c r="E82" s="20" t="n"/>
      <c r="F82" s="20" t="n"/>
    </row>
    <row r="83">
      <c r="A83" s="32" t="n"/>
      <c r="B83" s="20" t="n"/>
      <c r="C83" s="20" t="n"/>
      <c r="D83" s="34" t="n"/>
      <c r="E83" s="20" t="n"/>
      <c r="F83" s="20" t="n"/>
    </row>
    <row r="84">
      <c r="A84" s="32" t="n"/>
      <c r="B84" s="20" t="n"/>
      <c r="C84" s="20" t="n"/>
      <c r="D84" s="34" t="n"/>
      <c r="E84" s="20" t="n"/>
      <c r="F84" s="20" t="n"/>
    </row>
    <row r="85">
      <c r="A85" s="32" t="n"/>
      <c r="B85" s="20" t="n"/>
      <c r="C85" s="20" t="n"/>
      <c r="D85" s="34" t="n"/>
      <c r="E85" s="20" t="n"/>
      <c r="F85" s="20" t="n"/>
    </row>
    <row r="86">
      <c r="A86" s="32" t="n"/>
      <c r="B86" s="20" t="n"/>
      <c r="C86" s="20" t="n"/>
      <c r="D86" s="34" t="n"/>
      <c r="E86" s="20" t="n"/>
      <c r="F86" s="20" t="n"/>
    </row>
    <row r="87">
      <c r="A87" s="32" t="n"/>
      <c r="B87" s="20" t="n"/>
      <c r="C87" s="20" t="n"/>
      <c r="D87" s="34" t="n"/>
      <c r="E87" s="20" t="n"/>
      <c r="F87" s="20" t="n"/>
    </row>
    <row r="88">
      <c r="A88" s="32" t="n"/>
      <c r="B88" s="20" t="n"/>
      <c r="C88" s="20" t="n"/>
      <c r="D88" s="34" t="n"/>
      <c r="E88" s="20" t="n"/>
      <c r="F88" s="20" t="n"/>
    </row>
    <row r="89">
      <c r="A89" s="32" t="n"/>
      <c r="B89" s="20" t="n"/>
      <c r="C89" s="20" t="n"/>
      <c r="D89" s="34" t="n"/>
      <c r="E89" s="20" t="n"/>
      <c r="F89" s="20" t="n"/>
    </row>
    <row r="90">
      <c r="A90" s="32" t="n"/>
      <c r="B90" s="20" t="n"/>
      <c r="C90" s="20" t="n"/>
      <c r="D90" s="34" t="n"/>
      <c r="E90" s="20" t="n"/>
      <c r="F90" s="20" t="n"/>
    </row>
    <row r="91">
      <c r="A91" s="32" t="n"/>
      <c r="B91" s="20" t="n"/>
      <c r="C91" s="20" t="n"/>
      <c r="D91" s="34" t="n"/>
      <c r="E91" s="20" t="n"/>
      <c r="F91" s="20" t="n"/>
    </row>
    <row r="92">
      <c r="A92" s="32" t="n"/>
      <c r="B92" s="20" t="n"/>
      <c r="C92" s="20" t="n"/>
      <c r="D92" s="34" t="n"/>
      <c r="E92" s="20" t="n"/>
      <c r="F92" s="20" t="n"/>
    </row>
    <row r="93">
      <c r="A93" s="32" t="n"/>
      <c r="B93" s="20" t="n"/>
      <c r="C93" s="20" t="n"/>
      <c r="D93" s="34" t="n"/>
      <c r="E93" s="20" t="n"/>
      <c r="F93" s="20" t="n"/>
    </row>
    <row r="94">
      <c r="A94" s="32" t="n"/>
      <c r="B94" s="20" t="n"/>
      <c r="C94" s="20" t="n"/>
      <c r="D94" s="34" t="n"/>
      <c r="E94" s="20" t="n"/>
      <c r="F94" s="20" t="n"/>
    </row>
    <row r="95">
      <c r="A95" s="32" t="n"/>
      <c r="B95" s="20" t="n"/>
      <c r="C95" s="20" t="n"/>
      <c r="D95" s="34" t="n"/>
      <c r="E95" s="20" t="n"/>
      <c r="F95" s="20" t="n"/>
    </row>
    <row r="96">
      <c r="A96" s="32" t="n"/>
      <c r="B96" s="20" t="n"/>
      <c r="C96" s="20" t="n"/>
      <c r="D96" s="34" t="n"/>
      <c r="E96" s="20" t="n"/>
      <c r="F96" s="20" t="n"/>
    </row>
    <row r="97">
      <c r="A97" s="32" t="n"/>
      <c r="B97" s="20" t="n"/>
      <c r="C97" s="20" t="n"/>
      <c r="D97" s="34" t="n"/>
      <c r="E97" s="20" t="n"/>
      <c r="F97" s="20" t="n"/>
    </row>
    <row r="98">
      <c r="A98" s="32" t="n"/>
      <c r="B98" s="20" t="n"/>
      <c r="C98" s="20" t="n"/>
      <c r="D98" s="34" t="n"/>
      <c r="E98" s="20" t="n"/>
      <c r="F98" s="20" t="n"/>
    </row>
    <row r="99">
      <c r="A99" s="32" t="n"/>
      <c r="B99" s="20" t="n"/>
      <c r="C99" s="20" t="n"/>
      <c r="D99" s="34" t="n"/>
      <c r="E99" s="20" t="n"/>
      <c r="F99" s="20" t="n"/>
    </row>
    <row r="100">
      <c r="A100" s="32" t="n"/>
      <c r="B100" s="20" t="n"/>
      <c r="C100" s="20" t="n"/>
      <c r="D100" s="34" t="n"/>
      <c r="E100" s="20" t="n"/>
      <c r="F100" s="20" t="n"/>
    </row>
    <row r="101">
      <c r="A101" s="32" t="n"/>
      <c r="B101" s="20" t="n"/>
      <c r="C101" s="20" t="n"/>
      <c r="D101" s="34" t="n"/>
      <c r="E101" s="20" t="n"/>
      <c r="F101" s="20" t="n"/>
    </row>
    <row r="102">
      <c r="A102" s="32" t="n"/>
      <c r="B102" s="20" t="n"/>
      <c r="C102" s="20" t="n"/>
      <c r="D102" s="34" t="n"/>
      <c r="E102" s="20" t="n"/>
      <c r="F102" s="20" t="n"/>
    </row>
    <row r="103">
      <c r="A103" s="32" t="n"/>
      <c r="B103" s="20" t="n"/>
      <c r="C103" s="20" t="n"/>
      <c r="D103" s="34" t="n"/>
      <c r="E103" s="20" t="n"/>
      <c r="F103" s="20" t="n"/>
    </row>
    <row r="104">
      <c r="A104" s="32" t="n"/>
      <c r="B104" s="20" t="n"/>
      <c r="C104" s="20" t="n"/>
      <c r="D104" s="34" t="n"/>
      <c r="E104" s="20" t="n"/>
      <c r="F104" s="20" t="n"/>
    </row>
    <row r="105">
      <c r="A105" s="32" t="n"/>
      <c r="B105" s="20" t="n"/>
      <c r="C105" s="20" t="n"/>
      <c r="D105" s="34" t="n"/>
      <c r="E105" s="20" t="n"/>
      <c r="F105" s="20" t="n"/>
    </row>
    <row r="106">
      <c r="A106" s="32" t="n"/>
      <c r="B106" s="20" t="n"/>
      <c r="C106" s="20" t="n"/>
      <c r="D106" s="34" t="n"/>
      <c r="E106" s="20" t="n"/>
      <c r="F106" s="20" t="n"/>
    </row>
    <row r="107">
      <c r="A107" s="32" t="n"/>
      <c r="B107" s="20" t="n"/>
      <c r="C107" s="20" t="n"/>
      <c r="D107" s="34" t="n"/>
      <c r="E107" s="20" t="n"/>
      <c r="F107" s="20" t="n"/>
    </row>
    <row r="108">
      <c r="A108" s="32" t="n"/>
      <c r="B108" s="20" t="n"/>
      <c r="C108" s="20" t="n"/>
      <c r="D108" s="34" t="n"/>
      <c r="E108" s="20" t="n"/>
      <c r="F108" s="20" t="n"/>
    </row>
    <row r="109">
      <c r="A109" s="32" t="n"/>
      <c r="B109" s="20" t="n"/>
      <c r="C109" s="20" t="n"/>
      <c r="D109" s="34" t="n"/>
      <c r="E109" s="20" t="n"/>
      <c r="F109" s="20" t="n"/>
    </row>
    <row r="110">
      <c r="A110" s="32" t="n"/>
      <c r="B110" s="20" t="n"/>
      <c r="C110" s="20" t="n"/>
      <c r="D110" s="34" t="n"/>
      <c r="E110" s="20" t="n"/>
      <c r="F110" s="20" t="n"/>
    </row>
    <row r="111">
      <c r="A111" s="32" t="n"/>
      <c r="B111" s="20" t="n"/>
      <c r="C111" s="20" t="n"/>
      <c r="D111" s="34" t="n"/>
      <c r="E111" s="20" t="n"/>
      <c r="F111" s="20" t="n"/>
    </row>
    <row r="112">
      <c r="A112" s="32" t="n"/>
      <c r="B112" s="20" t="n"/>
      <c r="C112" s="20" t="n"/>
      <c r="D112" s="34" t="n"/>
      <c r="E112" s="20" t="n"/>
      <c r="F112" s="20" t="n"/>
    </row>
    <row r="113">
      <c r="A113" s="32" t="n"/>
      <c r="B113" s="20" t="n"/>
      <c r="C113" s="20" t="n"/>
      <c r="D113" s="34" t="n"/>
      <c r="E113" s="20" t="n"/>
      <c r="F113" s="20" t="n"/>
    </row>
    <row r="114">
      <c r="A114" s="32" t="n"/>
      <c r="B114" s="20" t="n"/>
      <c r="C114" s="20" t="n"/>
      <c r="D114" s="34" t="n"/>
      <c r="E114" s="20" t="n"/>
      <c r="F114" s="20" t="n"/>
    </row>
    <row r="115">
      <c r="A115" s="32" t="n"/>
      <c r="B115" s="20" t="n"/>
      <c r="C115" s="20" t="n"/>
      <c r="D115" s="34" t="n"/>
      <c r="E115" s="20" t="n"/>
      <c r="F115" s="20" t="n"/>
    </row>
    <row r="116">
      <c r="A116" s="32" t="n"/>
      <c r="B116" s="20" t="n"/>
      <c r="C116" s="20" t="n"/>
      <c r="D116" s="34" t="n"/>
      <c r="E116" s="20" t="n"/>
      <c r="F116" s="20" t="n"/>
    </row>
    <row r="117">
      <c r="A117" s="32" t="n"/>
      <c r="B117" s="20" t="n"/>
      <c r="C117" s="20" t="n"/>
      <c r="D117" s="34" t="n"/>
      <c r="E117" s="20" t="n"/>
      <c r="F117" s="20" t="n"/>
    </row>
    <row r="118">
      <c r="A118" s="32" t="n"/>
      <c r="B118" s="20" t="n"/>
      <c r="C118" s="20" t="n"/>
      <c r="D118" s="34" t="n"/>
      <c r="E118" s="20" t="n"/>
      <c r="F118" s="20" t="n"/>
    </row>
    <row r="119">
      <c r="A119" s="32" t="n"/>
      <c r="B119" s="20" t="n"/>
      <c r="C119" s="20" t="n"/>
      <c r="D119" s="34" t="n"/>
      <c r="E119" s="20" t="n"/>
      <c r="F119" s="20" t="n"/>
    </row>
    <row r="120">
      <c r="A120" s="32" t="n"/>
      <c r="B120" s="20" t="n"/>
      <c r="C120" s="20" t="n"/>
      <c r="D120" s="34" t="n"/>
      <c r="E120" s="20" t="n"/>
      <c r="F120" s="20" t="n"/>
    </row>
    <row r="121">
      <c r="A121" s="32" t="n"/>
      <c r="B121" s="20" t="n"/>
      <c r="C121" s="20" t="n"/>
      <c r="D121" s="34" t="n"/>
      <c r="E121" s="20" t="n"/>
      <c r="F121" s="20" t="n"/>
    </row>
    <row r="122">
      <c r="A122" s="32" t="n"/>
      <c r="B122" s="20" t="n"/>
      <c r="C122" s="20" t="n"/>
      <c r="D122" s="34" t="n"/>
      <c r="E122" s="20" t="n"/>
      <c r="F122" s="20" t="n"/>
    </row>
    <row r="123">
      <c r="A123" s="32" t="n"/>
      <c r="B123" s="20" t="n"/>
      <c r="C123" s="20" t="n"/>
      <c r="D123" s="34" t="n"/>
      <c r="E123" s="20" t="n"/>
      <c r="F123" s="20" t="n"/>
    </row>
    <row r="124">
      <c r="A124" s="32" t="n"/>
      <c r="B124" s="20" t="n"/>
      <c r="C124" s="20" t="n"/>
      <c r="D124" s="34" t="n"/>
      <c r="E124" s="20" t="n"/>
      <c r="F124" s="20" t="n"/>
    </row>
    <row r="125">
      <c r="A125" s="32" t="n"/>
      <c r="B125" s="20" t="n"/>
      <c r="C125" s="20" t="n"/>
      <c r="D125" s="34" t="n"/>
      <c r="E125" s="20" t="n"/>
      <c r="F125" s="20" t="n"/>
    </row>
    <row r="126">
      <c r="A126" s="32" t="n"/>
      <c r="B126" s="20" t="n"/>
      <c r="C126" s="20" t="n"/>
      <c r="D126" s="34" t="n"/>
      <c r="E126" s="20" t="n"/>
      <c r="F126" s="20" t="n"/>
    </row>
    <row r="127">
      <c r="A127" s="32" t="n"/>
      <c r="B127" s="20" t="n"/>
      <c r="C127" s="20" t="n"/>
      <c r="D127" s="34" t="n"/>
      <c r="E127" s="20" t="n"/>
      <c r="F127" s="20" t="n"/>
    </row>
    <row r="128">
      <c r="A128" s="32" t="n"/>
      <c r="B128" s="20" t="n"/>
      <c r="C128" s="20" t="n"/>
      <c r="D128" s="34" t="n"/>
      <c r="E128" s="20" t="n"/>
      <c r="F128" s="20" t="n"/>
    </row>
    <row r="129">
      <c r="A129" s="32" t="n"/>
      <c r="B129" s="20" t="n"/>
      <c r="C129" s="20" t="n"/>
      <c r="D129" s="34" t="n"/>
      <c r="E129" s="20" t="n"/>
      <c r="F129" s="20" t="n"/>
    </row>
    <row r="130">
      <c r="A130" s="32" t="n"/>
      <c r="B130" s="20" t="n"/>
      <c r="C130" s="20" t="n"/>
      <c r="D130" s="34" t="n"/>
      <c r="E130" s="20" t="n"/>
      <c r="F130" s="20" t="n"/>
    </row>
    <row r="131">
      <c r="A131" s="32" t="n"/>
      <c r="B131" s="20" t="n"/>
      <c r="C131" s="20" t="n"/>
      <c r="D131" s="34" t="n"/>
      <c r="E131" s="20" t="n"/>
      <c r="F131" s="20" t="n"/>
    </row>
    <row r="132">
      <c r="A132" s="32" t="n"/>
      <c r="B132" s="20" t="n"/>
      <c r="C132" s="20" t="n"/>
      <c r="D132" s="34" t="n"/>
      <c r="E132" s="20" t="n"/>
      <c r="F132" s="20" t="n"/>
    </row>
    <row r="133">
      <c r="A133" s="32" t="n"/>
      <c r="B133" s="20" t="n"/>
      <c r="C133" s="20" t="n"/>
      <c r="D133" s="34" t="n"/>
      <c r="E133" s="20" t="n"/>
      <c r="F133" s="20" t="n"/>
    </row>
    <row r="134">
      <c r="A134" s="32" t="n"/>
      <c r="B134" s="20" t="n"/>
      <c r="C134" s="20" t="n"/>
      <c r="D134" s="34" t="n"/>
      <c r="E134" s="20" t="n"/>
      <c r="F134" s="20" t="n"/>
    </row>
    <row r="135">
      <c r="A135" s="32" t="n"/>
      <c r="B135" s="20" t="n"/>
      <c r="C135" s="20" t="n"/>
      <c r="D135" s="34" t="n"/>
      <c r="E135" s="20" t="n"/>
      <c r="F135" s="20" t="n"/>
    </row>
    <row r="136">
      <c r="A136" s="32" t="n"/>
      <c r="B136" s="20" t="n"/>
      <c r="C136" s="20" t="n"/>
      <c r="D136" s="34" t="n"/>
      <c r="E136" s="20" t="n"/>
      <c r="F136" s="20" t="n"/>
    </row>
    <row r="137">
      <c r="A137" s="32" t="n"/>
      <c r="B137" s="20" t="n"/>
      <c r="C137" s="20" t="n"/>
      <c r="D137" s="34" t="n"/>
      <c r="E137" s="20" t="n"/>
      <c r="F137" s="20" t="n"/>
    </row>
    <row r="138">
      <c r="A138" s="32" t="n"/>
      <c r="B138" s="20" t="n"/>
      <c r="C138" s="20" t="n"/>
      <c r="D138" s="34" t="n"/>
      <c r="E138" s="20" t="n"/>
      <c r="F138" s="20" t="n"/>
    </row>
    <row r="139">
      <c r="A139" s="32" t="n"/>
      <c r="B139" s="20" t="n"/>
      <c r="C139" s="20" t="n"/>
      <c r="D139" s="34" t="n"/>
      <c r="E139" s="20" t="n"/>
      <c r="F139" s="20" t="n"/>
    </row>
    <row r="140">
      <c r="A140" s="32" t="n"/>
      <c r="B140" s="20" t="n"/>
      <c r="C140" s="20" t="n"/>
      <c r="D140" s="34" t="n"/>
      <c r="E140" s="20" t="n"/>
      <c r="F140" s="20" t="n"/>
    </row>
    <row r="141">
      <c r="A141" s="32" t="n"/>
      <c r="B141" s="20" t="n"/>
      <c r="C141" s="20" t="n"/>
      <c r="D141" s="34" t="n"/>
      <c r="E141" s="20" t="n"/>
      <c r="F141" s="20" t="n"/>
    </row>
    <row r="142">
      <c r="A142" s="32" t="n"/>
      <c r="B142" s="20" t="n"/>
      <c r="C142" s="20" t="n"/>
      <c r="D142" s="34" t="n"/>
      <c r="E142" s="20" t="n"/>
      <c r="F142" s="20" t="n"/>
    </row>
    <row r="143">
      <c r="A143" s="32" t="n"/>
      <c r="B143" s="20" t="n"/>
      <c r="C143" s="20" t="n"/>
      <c r="D143" s="34" t="n"/>
      <c r="E143" s="20" t="n"/>
      <c r="F143" s="20" t="n"/>
    </row>
    <row r="144">
      <c r="A144" s="32" t="n"/>
      <c r="B144" s="20" t="n"/>
      <c r="C144" s="20" t="n"/>
      <c r="D144" s="34" t="n"/>
      <c r="E144" s="20" t="n"/>
      <c r="F144" s="20" t="n"/>
    </row>
    <row r="145">
      <c r="A145" s="32" t="n"/>
      <c r="B145" s="20" t="n"/>
      <c r="C145" s="20" t="n"/>
      <c r="D145" s="34" t="n"/>
      <c r="E145" s="20" t="n"/>
      <c r="F145" s="20" t="n"/>
    </row>
    <row r="146">
      <c r="A146" s="32" t="n"/>
      <c r="B146" s="20" t="n"/>
      <c r="C146" s="20" t="n"/>
      <c r="D146" s="34" t="n"/>
      <c r="E146" s="20" t="n"/>
      <c r="F146" s="20" t="n"/>
    </row>
    <row r="147">
      <c r="A147" s="32" t="n"/>
      <c r="B147" s="20" t="n"/>
      <c r="C147" s="20" t="n"/>
      <c r="D147" s="34" t="n"/>
      <c r="E147" s="20" t="n"/>
      <c r="F147" s="20" t="n"/>
    </row>
    <row r="148">
      <c r="A148" s="32" t="n"/>
      <c r="B148" s="20" t="n"/>
      <c r="C148" s="20" t="n"/>
      <c r="D148" s="34" t="n"/>
      <c r="E148" s="20" t="n"/>
      <c r="F148" s="20" t="n"/>
    </row>
    <row r="149">
      <c r="A149" s="32" t="n"/>
      <c r="B149" s="20" t="n"/>
      <c r="C149" s="20" t="n"/>
      <c r="D149" s="34" t="n"/>
      <c r="E149" s="20" t="n"/>
      <c r="F149" s="20" t="n"/>
    </row>
    <row r="150">
      <c r="A150" s="32" t="n"/>
      <c r="B150" s="20" t="n"/>
      <c r="C150" s="20" t="n"/>
      <c r="D150" s="34" t="n"/>
      <c r="E150" s="20" t="n"/>
      <c r="F150" s="20" t="n"/>
    </row>
    <row r="151">
      <c r="A151" s="32" t="n"/>
      <c r="B151" s="20" t="n"/>
      <c r="C151" s="20" t="n"/>
      <c r="D151" s="34" t="n"/>
      <c r="E151" s="20" t="n"/>
      <c r="F151" s="20" t="n"/>
    </row>
    <row r="152">
      <c r="A152" s="32" t="n"/>
      <c r="B152" s="20" t="n"/>
      <c r="C152" s="20" t="n"/>
      <c r="D152" s="34" t="n"/>
      <c r="E152" s="20" t="n"/>
      <c r="F152" s="20" t="n"/>
    </row>
    <row r="153">
      <c r="A153" s="32" t="n"/>
      <c r="B153" s="20" t="n"/>
      <c r="C153" s="20" t="n"/>
      <c r="D153" s="34" t="n"/>
      <c r="E153" s="20" t="n"/>
      <c r="F153" s="20" t="n"/>
    </row>
    <row r="154">
      <c r="A154" s="32" t="n"/>
      <c r="B154" s="20" t="n"/>
      <c r="C154" s="20" t="n"/>
      <c r="D154" s="34" t="n"/>
      <c r="E154" s="20" t="n"/>
      <c r="F154" s="20" t="n"/>
    </row>
    <row r="155">
      <c r="A155" s="32" t="n"/>
      <c r="B155" s="20" t="n"/>
      <c r="C155" s="20" t="n"/>
      <c r="D155" s="34" t="n"/>
      <c r="E155" s="20" t="n"/>
      <c r="F155" s="20" t="n"/>
    </row>
    <row r="156">
      <c r="A156" s="32" t="n"/>
      <c r="B156" s="20" t="n"/>
      <c r="C156" s="20" t="n"/>
      <c r="D156" s="34" t="n"/>
      <c r="E156" s="20" t="n"/>
      <c r="F156" s="20" t="n"/>
    </row>
    <row r="157">
      <c r="A157" s="32" t="n"/>
      <c r="B157" s="20" t="n"/>
      <c r="C157" s="20" t="n"/>
      <c r="D157" s="34" t="n"/>
      <c r="E157" s="20" t="n"/>
      <c r="F157" s="20" t="n"/>
    </row>
    <row r="158">
      <c r="A158" s="32" t="n"/>
      <c r="B158" s="20" t="n"/>
      <c r="C158" s="20" t="n"/>
      <c r="D158" s="34" t="n"/>
      <c r="E158" s="20" t="n"/>
      <c r="F158" s="20" t="n"/>
    </row>
    <row r="159">
      <c r="A159" s="32" t="n"/>
      <c r="B159" s="20" t="n"/>
      <c r="C159" s="20" t="n"/>
      <c r="D159" s="34" t="n"/>
      <c r="E159" s="20" t="n"/>
      <c r="F159" s="20" t="n"/>
    </row>
    <row r="160">
      <c r="A160" s="32" t="n"/>
      <c r="B160" s="20" t="n"/>
      <c r="C160" s="20" t="n"/>
      <c r="D160" s="34" t="n"/>
      <c r="E160" s="20" t="n"/>
      <c r="F160" s="20" t="n"/>
    </row>
    <row r="161">
      <c r="A161" s="32" t="n"/>
      <c r="B161" s="20" t="n"/>
      <c r="C161" s="20" t="n"/>
      <c r="D161" s="34" t="n"/>
      <c r="E161" s="20" t="n"/>
      <c r="F161" s="20" t="n"/>
    </row>
    <row r="162">
      <c r="A162" s="32" t="n"/>
      <c r="B162" s="20" t="n"/>
      <c r="C162" s="20" t="n"/>
      <c r="D162" s="34" t="n"/>
      <c r="E162" s="20" t="n"/>
      <c r="F162" s="20" t="n"/>
    </row>
    <row r="163">
      <c r="A163" s="32" t="n"/>
      <c r="B163" s="20" t="n"/>
      <c r="C163" s="20" t="n"/>
      <c r="D163" s="34" t="n"/>
      <c r="E163" s="20" t="n"/>
      <c r="F163" s="20" t="n"/>
    </row>
    <row r="164">
      <c r="A164" s="32" t="n"/>
      <c r="B164" s="20" t="n"/>
      <c r="C164" s="20" t="n"/>
      <c r="D164" s="34" t="n"/>
      <c r="E164" s="20" t="n"/>
      <c r="F164" s="20" t="n"/>
    </row>
    <row r="165">
      <c r="A165" s="32" t="n"/>
      <c r="B165" s="20" t="n"/>
      <c r="C165" s="20" t="n"/>
      <c r="D165" s="34" t="n"/>
      <c r="E165" s="20" t="n"/>
      <c r="F165" s="20" t="n"/>
    </row>
    <row r="166">
      <c r="A166" s="32" t="n"/>
      <c r="B166" s="20" t="n"/>
      <c r="C166" s="20" t="n"/>
      <c r="D166" s="34" t="n"/>
      <c r="E166" s="20" t="n"/>
      <c r="F166" s="20" t="n"/>
    </row>
    <row r="167">
      <c r="A167" s="32" t="n"/>
      <c r="B167" s="20" t="n"/>
      <c r="C167" s="20" t="n"/>
      <c r="D167" s="34" t="n"/>
      <c r="E167" s="20" t="n"/>
      <c r="F167" s="20" t="n"/>
    </row>
    <row r="168">
      <c r="A168" s="32" t="n"/>
      <c r="B168" s="20" t="n"/>
      <c r="C168" s="20" t="n"/>
      <c r="D168" s="34" t="n"/>
      <c r="E168" s="20" t="n"/>
      <c r="F168" s="20" t="n"/>
    </row>
    <row r="169">
      <c r="A169" s="32" t="n"/>
      <c r="B169" s="20" t="n"/>
      <c r="C169" s="20" t="n"/>
      <c r="D169" s="34" t="n"/>
      <c r="E169" s="20" t="n"/>
      <c r="F169" s="20" t="n"/>
    </row>
    <row r="170">
      <c r="A170" s="32" t="n"/>
      <c r="B170" s="20" t="n"/>
      <c r="C170" s="20" t="n"/>
      <c r="D170" s="34" t="n"/>
      <c r="E170" s="20" t="n"/>
      <c r="F170" s="20" t="n"/>
    </row>
    <row r="171">
      <c r="A171" s="32" t="n"/>
      <c r="B171" s="20" t="n"/>
      <c r="C171" s="20" t="n"/>
      <c r="D171" s="34" t="n"/>
      <c r="E171" s="20" t="n"/>
      <c r="F171" s="20" t="n"/>
    </row>
    <row r="172">
      <c r="A172" s="32" t="n"/>
      <c r="B172" s="20" t="n"/>
      <c r="C172" s="20" t="n"/>
      <c r="D172" s="34" t="n"/>
      <c r="E172" s="20" t="n"/>
      <c r="F172" s="20" t="n"/>
    </row>
    <row r="173">
      <c r="A173" s="32" t="n"/>
      <c r="B173" s="20" t="n"/>
      <c r="C173" s="20" t="n"/>
      <c r="D173" s="34" t="n"/>
      <c r="E173" s="20" t="n"/>
      <c r="F173" s="20" t="n"/>
    </row>
    <row r="174">
      <c r="A174" s="32" t="n"/>
      <c r="B174" s="20" t="n"/>
      <c r="C174" s="20" t="n"/>
      <c r="D174" s="34" t="n"/>
      <c r="E174" s="20" t="n"/>
      <c r="F174" s="20" t="n"/>
    </row>
    <row r="175">
      <c r="A175" s="32" t="n"/>
      <c r="B175" s="20" t="n"/>
      <c r="C175" s="20" t="n"/>
      <c r="D175" s="34" t="n"/>
      <c r="E175" s="20" t="n"/>
      <c r="F175" s="20" t="n"/>
    </row>
    <row r="176">
      <c r="A176" s="32" t="n"/>
      <c r="B176" s="20" t="n"/>
      <c r="C176" s="20" t="n"/>
      <c r="D176" s="34" t="n"/>
      <c r="E176" s="20" t="n"/>
      <c r="F176" s="20" t="n"/>
    </row>
    <row r="177">
      <c r="A177" s="32" t="n"/>
      <c r="B177" s="20" t="n"/>
      <c r="C177" s="20" t="n"/>
      <c r="D177" s="34" t="n"/>
      <c r="E177" s="20" t="n"/>
      <c r="F177" s="20" t="n"/>
    </row>
    <row r="178">
      <c r="A178" s="32" t="n"/>
      <c r="B178" s="20" t="n"/>
      <c r="C178" s="20" t="n"/>
      <c r="D178" s="34" t="n"/>
      <c r="E178" s="20" t="n"/>
      <c r="F178" s="20" t="n"/>
    </row>
    <row r="179">
      <c r="A179" s="32" t="n"/>
      <c r="B179" s="20" t="n"/>
      <c r="C179" s="20" t="n"/>
      <c r="D179" s="34" t="n"/>
      <c r="E179" s="20" t="n"/>
      <c r="F179" s="20" t="n"/>
    </row>
    <row r="180">
      <c r="A180" s="32" t="n"/>
      <c r="B180" s="20" t="n"/>
      <c r="C180" s="20" t="n"/>
      <c r="D180" s="34" t="n"/>
      <c r="E180" s="20" t="n"/>
      <c r="F180" s="20" t="n"/>
    </row>
    <row r="181">
      <c r="A181" s="32" t="n"/>
      <c r="B181" s="20" t="n"/>
      <c r="C181" s="20" t="n"/>
      <c r="D181" s="34" t="n"/>
      <c r="E181" s="20" t="n"/>
      <c r="F181" s="20" t="n"/>
    </row>
    <row r="182">
      <c r="A182" s="32" t="n"/>
      <c r="B182" s="20" t="n"/>
      <c r="C182" s="20" t="n"/>
      <c r="D182" s="34" t="n"/>
      <c r="E182" s="20" t="n"/>
      <c r="F182" s="20" t="n"/>
    </row>
    <row r="183">
      <c r="A183" s="32" t="n"/>
      <c r="B183" s="20" t="n"/>
      <c r="C183" s="20" t="n"/>
      <c r="D183" s="34" t="n"/>
      <c r="E183" s="20" t="n"/>
      <c r="F183" s="20" t="n"/>
    </row>
    <row r="184">
      <c r="A184" s="32" t="n"/>
      <c r="B184" s="20" t="n"/>
      <c r="C184" s="20" t="n"/>
      <c r="D184" s="34" t="n"/>
      <c r="E184" s="20" t="n"/>
      <c r="F184" s="20" t="n"/>
    </row>
    <row r="185">
      <c r="A185" s="32" t="n"/>
      <c r="B185" s="20" t="n"/>
      <c r="C185" s="20" t="n"/>
      <c r="D185" s="34" t="n"/>
      <c r="E185" s="20" t="n"/>
      <c r="F185" s="20" t="n"/>
    </row>
    <row r="186">
      <c r="A186" s="32" t="n"/>
      <c r="B186" s="20" t="n"/>
      <c r="C186" s="20" t="n"/>
      <c r="D186" s="34" t="n"/>
      <c r="E186" s="20" t="n"/>
      <c r="F186" s="20" t="n"/>
    </row>
    <row r="187">
      <c r="A187" s="32" t="n"/>
      <c r="B187" s="20" t="n"/>
      <c r="C187" s="20" t="n"/>
      <c r="D187" s="34" t="n"/>
      <c r="E187" s="20" t="n"/>
      <c r="F187" s="20" t="n"/>
    </row>
    <row r="188">
      <c r="A188" s="32" t="n"/>
      <c r="B188" s="20" t="n"/>
      <c r="C188" s="20" t="n"/>
      <c r="D188" s="34" t="n"/>
      <c r="E188" s="20" t="n"/>
      <c r="F188" s="20" t="n"/>
    </row>
    <row r="189">
      <c r="A189" s="32" t="n"/>
      <c r="B189" s="20" t="n"/>
      <c r="C189" s="20" t="n"/>
      <c r="D189" s="34" t="n"/>
      <c r="E189" s="20" t="n"/>
      <c r="F189" s="20" t="n"/>
    </row>
    <row r="190">
      <c r="A190" s="32" t="n"/>
      <c r="B190" s="20" t="n"/>
      <c r="C190" s="20" t="n"/>
      <c r="D190" s="34" t="n"/>
      <c r="E190" s="20" t="n"/>
      <c r="F190" s="20" t="n"/>
    </row>
    <row r="191">
      <c r="A191" s="32" t="n"/>
      <c r="B191" s="20" t="n"/>
      <c r="C191" s="20" t="n"/>
      <c r="D191" s="34" t="n"/>
      <c r="E191" s="20" t="n"/>
      <c r="F191" s="20" t="n"/>
    </row>
    <row r="192">
      <c r="A192" s="32" t="n"/>
      <c r="B192" s="20" t="n"/>
      <c r="C192" s="20" t="n"/>
      <c r="D192" s="34" t="n"/>
      <c r="E192" s="20" t="n"/>
      <c r="F192" s="20" t="n"/>
    </row>
    <row r="193">
      <c r="A193" s="32" t="n"/>
      <c r="B193" s="20" t="n"/>
      <c r="C193" s="20" t="n"/>
      <c r="D193" s="34" t="n"/>
      <c r="E193" s="20" t="n"/>
      <c r="F193" s="20" t="n"/>
    </row>
    <row r="194">
      <c r="A194" s="32" t="n"/>
      <c r="B194" s="20" t="n"/>
      <c r="C194" s="20" t="n"/>
      <c r="D194" s="34" t="n"/>
      <c r="E194" s="20" t="n"/>
      <c r="F194" s="20" t="n"/>
    </row>
    <row r="195">
      <c r="A195" s="32" t="n"/>
      <c r="B195" s="20" t="n"/>
      <c r="C195" s="20" t="n"/>
      <c r="D195" s="34" t="n"/>
      <c r="E195" s="20" t="n"/>
      <c r="F195" s="20" t="n"/>
    </row>
    <row r="196">
      <c r="A196" s="32" t="n"/>
      <c r="B196" s="20" t="n"/>
      <c r="C196" s="20" t="n"/>
      <c r="D196" s="34" t="n"/>
      <c r="E196" s="20" t="n"/>
      <c r="F196" s="20" t="n"/>
    </row>
    <row r="197">
      <c r="A197" s="32" t="n"/>
      <c r="B197" s="20" t="n"/>
      <c r="C197" s="20" t="n"/>
      <c r="D197" s="34" t="n"/>
      <c r="E197" s="20" t="n"/>
      <c r="F197" s="20" t="n"/>
    </row>
    <row r="198">
      <c r="A198" s="32" t="n"/>
      <c r="B198" s="20" t="n"/>
      <c r="C198" s="20" t="n"/>
      <c r="D198" s="34" t="n"/>
      <c r="E198" s="20" t="n"/>
      <c r="F198" s="20" t="n"/>
    </row>
    <row r="199">
      <c r="A199" s="32" t="n"/>
      <c r="B199" s="20" t="n"/>
      <c r="C199" s="20" t="n"/>
      <c r="D199" s="34" t="n"/>
      <c r="E199" s="20" t="n"/>
      <c r="F199" s="20" t="n"/>
    </row>
    <row r="200">
      <c r="A200" s="32" t="n"/>
      <c r="B200" s="20" t="n"/>
      <c r="C200" s="20" t="n"/>
      <c r="D200" s="34" t="n"/>
      <c r="E200" s="20" t="n"/>
      <c r="F200" s="20" t="n"/>
    </row>
    <row r="201">
      <c r="A201" s="32" t="n"/>
      <c r="B201" s="20" t="n"/>
      <c r="C201" s="20" t="n"/>
      <c r="D201" s="34" t="n"/>
      <c r="E201" s="20" t="n"/>
      <c r="F201" s="20" t="n"/>
    </row>
    <row r="202">
      <c r="A202" s="32" t="n"/>
      <c r="B202" s="20" t="n"/>
      <c r="C202" s="20" t="n"/>
      <c r="D202" s="34" t="n"/>
      <c r="E202" s="20" t="n"/>
      <c r="F202" s="20" t="n"/>
    </row>
  </sheetData>
  <dataValidations count="2">
    <dataValidation sqref="C3:C202" showDropDown="0" showInputMessage="0" showErrorMessage="0" allowBlank="1" type="list">
      <formula1>=Setup!$B$13:$B$20</formula1>
    </dataValidation>
    <dataValidation sqref="E3:E202" showDropDown="0" showInputMessage="0" showErrorMessage="0" allowBlank="1" type="list">
      <formula1>"PR,CM,NR,TM,BG,NF,PY,OT"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6" customWidth="1" min="4" max="4"/>
    <col width="10" customWidth="1" min="5" max="5"/>
    <col width="50" customWidth="1" min="6" max="6"/>
  </cols>
  <sheetData>
    <row r="1">
      <c r="A1" s="31" t="inlineStr">
        <is>
          <t>Log 3 · Refunds   |   Reason: CC ND WQ DP CO OT</t>
        </is>
      </c>
    </row>
    <row r="2" ht="32" customHeight="1">
      <c r="A2" s="15" t="inlineStr">
        <is>
          <t>Date</t>
        </is>
      </c>
      <c r="B2" s="15" t="inlineStr">
        <is>
          <t>Client name / Deal ID</t>
        </is>
      </c>
      <c r="C2" s="15" t="inlineStr">
        <is>
          <t>Agent</t>
        </is>
      </c>
      <c r="D2" s="15" t="inlineStr">
        <is>
          <t>Amount (AED)</t>
        </is>
      </c>
      <c r="E2" s="15" t="inlineStr">
        <is>
          <t>Reason code</t>
        </is>
      </c>
      <c r="F2" s="15" t="inlineStr">
        <is>
          <t>Comment</t>
        </is>
      </c>
    </row>
    <row r="3">
      <c r="A3" s="32" t="n"/>
      <c r="B3" s="20" t="n"/>
      <c r="C3" s="20" t="n"/>
      <c r="D3" s="34" t="n"/>
      <c r="E3" s="20" t="n"/>
      <c r="F3" s="20" t="n"/>
    </row>
    <row r="4">
      <c r="A4" s="32" t="n"/>
      <c r="B4" s="20" t="n"/>
      <c r="C4" s="20" t="n"/>
      <c r="D4" s="34" t="n"/>
      <c r="E4" s="20" t="n"/>
      <c r="F4" s="20" t="n"/>
    </row>
    <row r="5">
      <c r="A5" s="32" t="n"/>
      <c r="B5" s="20" t="n"/>
      <c r="C5" s="20" t="n"/>
      <c r="D5" s="34" t="n"/>
      <c r="E5" s="20" t="n"/>
      <c r="F5" s="20" t="n"/>
    </row>
    <row r="6">
      <c r="A6" s="32" t="n"/>
      <c r="B6" s="20" t="n"/>
      <c r="C6" s="20" t="n"/>
      <c r="D6" s="34" t="n"/>
      <c r="E6" s="20" t="n"/>
      <c r="F6" s="20" t="n"/>
    </row>
    <row r="7">
      <c r="A7" s="32" t="n"/>
      <c r="B7" s="20" t="n"/>
      <c r="C7" s="20" t="n"/>
      <c r="D7" s="34" t="n"/>
      <c r="E7" s="20" t="n"/>
      <c r="F7" s="20" t="n"/>
    </row>
    <row r="8">
      <c r="A8" s="32" t="n"/>
      <c r="B8" s="20" t="n"/>
      <c r="C8" s="20" t="n"/>
      <c r="D8" s="34" t="n"/>
      <c r="E8" s="20" t="n"/>
      <c r="F8" s="20" t="n"/>
    </row>
    <row r="9">
      <c r="A9" s="32" t="n"/>
      <c r="B9" s="20" t="n"/>
      <c r="C9" s="20" t="n"/>
      <c r="D9" s="34" t="n"/>
      <c r="E9" s="20" t="n"/>
      <c r="F9" s="20" t="n"/>
    </row>
    <row r="10">
      <c r="A10" s="32" t="n"/>
      <c r="B10" s="20" t="n"/>
      <c r="C10" s="20" t="n"/>
      <c r="D10" s="34" t="n"/>
      <c r="E10" s="20" t="n"/>
      <c r="F10" s="20" t="n"/>
    </row>
    <row r="11">
      <c r="A11" s="32" t="n"/>
      <c r="B11" s="20" t="n"/>
      <c r="C11" s="20" t="n"/>
      <c r="D11" s="34" t="n"/>
      <c r="E11" s="20" t="n"/>
      <c r="F11" s="20" t="n"/>
    </row>
    <row r="12">
      <c r="A12" s="32" t="n"/>
      <c r="B12" s="20" t="n"/>
      <c r="C12" s="20" t="n"/>
      <c r="D12" s="34" t="n"/>
      <c r="E12" s="20" t="n"/>
      <c r="F12" s="20" t="n"/>
    </row>
    <row r="13">
      <c r="A13" s="32" t="n"/>
      <c r="B13" s="20" t="n"/>
      <c r="C13" s="20" t="n"/>
      <c r="D13" s="34" t="n"/>
      <c r="E13" s="20" t="n"/>
      <c r="F13" s="20" t="n"/>
    </row>
    <row r="14">
      <c r="A14" s="32" t="n"/>
      <c r="B14" s="20" t="n"/>
      <c r="C14" s="20" t="n"/>
      <c r="D14" s="34" t="n"/>
      <c r="E14" s="20" t="n"/>
      <c r="F14" s="20" t="n"/>
    </row>
    <row r="15">
      <c r="A15" s="32" t="n"/>
      <c r="B15" s="20" t="n"/>
      <c r="C15" s="20" t="n"/>
      <c r="D15" s="34" t="n"/>
      <c r="E15" s="20" t="n"/>
      <c r="F15" s="20" t="n"/>
    </row>
    <row r="16">
      <c r="A16" s="32" t="n"/>
      <c r="B16" s="20" t="n"/>
      <c r="C16" s="20" t="n"/>
      <c r="D16" s="34" t="n"/>
      <c r="E16" s="20" t="n"/>
      <c r="F16" s="20" t="n"/>
    </row>
    <row r="17">
      <c r="A17" s="32" t="n"/>
      <c r="B17" s="20" t="n"/>
      <c r="C17" s="20" t="n"/>
      <c r="D17" s="34" t="n"/>
      <c r="E17" s="20" t="n"/>
      <c r="F17" s="20" t="n"/>
    </row>
    <row r="18">
      <c r="A18" s="32" t="n"/>
      <c r="B18" s="20" t="n"/>
      <c r="C18" s="20" t="n"/>
      <c r="D18" s="34" t="n"/>
      <c r="E18" s="20" t="n"/>
      <c r="F18" s="20" t="n"/>
    </row>
    <row r="19">
      <c r="A19" s="32" t="n"/>
      <c r="B19" s="20" t="n"/>
      <c r="C19" s="20" t="n"/>
      <c r="D19" s="34" t="n"/>
      <c r="E19" s="20" t="n"/>
      <c r="F19" s="20" t="n"/>
    </row>
    <row r="20">
      <c r="A20" s="32" t="n"/>
      <c r="B20" s="20" t="n"/>
      <c r="C20" s="20" t="n"/>
      <c r="D20" s="34" t="n"/>
      <c r="E20" s="20" t="n"/>
      <c r="F20" s="20" t="n"/>
    </row>
    <row r="21">
      <c r="A21" s="32" t="n"/>
      <c r="B21" s="20" t="n"/>
      <c r="C21" s="20" t="n"/>
      <c r="D21" s="34" t="n"/>
      <c r="E21" s="20" t="n"/>
      <c r="F21" s="20" t="n"/>
    </row>
    <row r="22">
      <c r="A22" s="32" t="n"/>
      <c r="B22" s="20" t="n"/>
      <c r="C22" s="20" t="n"/>
      <c r="D22" s="34" t="n"/>
      <c r="E22" s="20" t="n"/>
      <c r="F22" s="20" t="n"/>
    </row>
    <row r="23">
      <c r="A23" s="32" t="n"/>
      <c r="B23" s="20" t="n"/>
      <c r="C23" s="20" t="n"/>
      <c r="D23" s="34" t="n"/>
      <c r="E23" s="20" t="n"/>
      <c r="F23" s="20" t="n"/>
    </row>
    <row r="24">
      <c r="A24" s="32" t="n"/>
      <c r="B24" s="20" t="n"/>
      <c r="C24" s="20" t="n"/>
      <c r="D24" s="34" t="n"/>
      <c r="E24" s="20" t="n"/>
      <c r="F24" s="20" t="n"/>
    </row>
    <row r="25">
      <c r="A25" s="32" t="n"/>
      <c r="B25" s="20" t="n"/>
      <c r="C25" s="20" t="n"/>
      <c r="D25" s="34" t="n"/>
      <c r="E25" s="20" t="n"/>
      <c r="F25" s="20" t="n"/>
    </row>
    <row r="26">
      <c r="A26" s="32" t="n"/>
      <c r="B26" s="20" t="n"/>
      <c r="C26" s="20" t="n"/>
      <c r="D26" s="34" t="n"/>
      <c r="E26" s="20" t="n"/>
      <c r="F26" s="20" t="n"/>
    </row>
    <row r="27">
      <c r="A27" s="32" t="n"/>
      <c r="B27" s="20" t="n"/>
      <c r="C27" s="20" t="n"/>
      <c r="D27" s="34" t="n"/>
      <c r="E27" s="20" t="n"/>
      <c r="F27" s="20" t="n"/>
    </row>
    <row r="28">
      <c r="A28" s="32" t="n"/>
      <c r="B28" s="20" t="n"/>
      <c r="C28" s="20" t="n"/>
      <c r="D28" s="34" t="n"/>
      <c r="E28" s="20" t="n"/>
      <c r="F28" s="20" t="n"/>
    </row>
    <row r="29">
      <c r="A29" s="32" t="n"/>
      <c r="B29" s="20" t="n"/>
      <c r="C29" s="20" t="n"/>
      <c r="D29" s="34" t="n"/>
      <c r="E29" s="20" t="n"/>
      <c r="F29" s="20" t="n"/>
    </row>
    <row r="30">
      <c r="A30" s="32" t="n"/>
      <c r="B30" s="20" t="n"/>
      <c r="C30" s="20" t="n"/>
      <c r="D30" s="34" t="n"/>
      <c r="E30" s="20" t="n"/>
      <c r="F30" s="20" t="n"/>
    </row>
    <row r="31">
      <c r="A31" s="32" t="n"/>
      <c r="B31" s="20" t="n"/>
      <c r="C31" s="20" t="n"/>
      <c r="D31" s="34" t="n"/>
      <c r="E31" s="20" t="n"/>
      <c r="F31" s="20" t="n"/>
    </row>
    <row r="32">
      <c r="A32" s="32" t="n"/>
      <c r="B32" s="20" t="n"/>
      <c r="C32" s="20" t="n"/>
      <c r="D32" s="34" t="n"/>
      <c r="E32" s="20" t="n"/>
      <c r="F32" s="20" t="n"/>
    </row>
    <row r="33">
      <c r="A33" s="32" t="n"/>
      <c r="B33" s="20" t="n"/>
      <c r="C33" s="20" t="n"/>
      <c r="D33" s="34" t="n"/>
      <c r="E33" s="20" t="n"/>
      <c r="F33" s="20" t="n"/>
    </row>
    <row r="34">
      <c r="A34" s="32" t="n"/>
      <c r="B34" s="20" t="n"/>
      <c r="C34" s="20" t="n"/>
      <c r="D34" s="34" t="n"/>
      <c r="E34" s="20" t="n"/>
      <c r="F34" s="20" t="n"/>
    </row>
    <row r="35">
      <c r="A35" s="32" t="n"/>
      <c r="B35" s="20" t="n"/>
      <c r="C35" s="20" t="n"/>
      <c r="D35" s="34" t="n"/>
      <c r="E35" s="20" t="n"/>
      <c r="F35" s="20" t="n"/>
    </row>
    <row r="36">
      <c r="A36" s="32" t="n"/>
      <c r="B36" s="20" t="n"/>
      <c r="C36" s="20" t="n"/>
      <c r="D36" s="34" t="n"/>
      <c r="E36" s="20" t="n"/>
      <c r="F36" s="20" t="n"/>
    </row>
    <row r="37">
      <c r="A37" s="32" t="n"/>
      <c r="B37" s="20" t="n"/>
      <c r="C37" s="20" t="n"/>
      <c r="D37" s="34" t="n"/>
      <c r="E37" s="20" t="n"/>
      <c r="F37" s="20" t="n"/>
    </row>
    <row r="38">
      <c r="A38" s="32" t="n"/>
      <c r="B38" s="20" t="n"/>
      <c r="C38" s="20" t="n"/>
      <c r="D38" s="34" t="n"/>
      <c r="E38" s="20" t="n"/>
      <c r="F38" s="20" t="n"/>
    </row>
    <row r="39">
      <c r="A39" s="32" t="n"/>
      <c r="B39" s="20" t="n"/>
      <c r="C39" s="20" t="n"/>
      <c r="D39" s="34" t="n"/>
      <c r="E39" s="20" t="n"/>
      <c r="F39" s="20" t="n"/>
    </row>
    <row r="40">
      <c r="A40" s="32" t="n"/>
      <c r="B40" s="20" t="n"/>
      <c r="C40" s="20" t="n"/>
      <c r="D40" s="34" t="n"/>
      <c r="E40" s="20" t="n"/>
      <c r="F40" s="20" t="n"/>
    </row>
    <row r="41">
      <c r="A41" s="32" t="n"/>
      <c r="B41" s="20" t="n"/>
      <c r="C41" s="20" t="n"/>
      <c r="D41" s="34" t="n"/>
      <c r="E41" s="20" t="n"/>
      <c r="F41" s="20" t="n"/>
    </row>
    <row r="42">
      <c r="A42" s="32" t="n"/>
      <c r="B42" s="20" t="n"/>
      <c r="C42" s="20" t="n"/>
      <c r="D42" s="34" t="n"/>
      <c r="E42" s="20" t="n"/>
      <c r="F42" s="20" t="n"/>
    </row>
    <row r="43">
      <c r="A43" s="32" t="n"/>
      <c r="B43" s="20" t="n"/>
      <c r="C43" s="20" t="n"/>
      <c r="D43" s="34" t="n"/>
      <c r="E43" s="20" t="n"/>
      <c r="F43" s="20" t="n"/>
    </row>
    <row r="44">
      <c r="A44" s="32" t="n"/>
      <c r="B44" s="20" t="n"/>
      <c r="C44" s="20" t="n"/>
      <c r="D44" s="34" t="n"/>
      <c r="E44" s="20" t="n"/>
      <c r="F44" s="20" t="n"/>
    </row>
    <row r="45">
      <c r="A45" s="32" t="n"/>
      <c r="B45" s="20" t="n"/>
      <c r="C45" s="20" t="n"/>
      <c r="D45" s="34" t="n"/>
      <c r="E45" s="20" t="n"/>
      <c r="F45" s="20" t="n"/>
    </row>
    <row r="46">
      <c r="A46" s="32" t="n"/>
      <c r="B46" s="20" t="n"/>
      <c r="C46" s="20" t="n"/>
      <c r="D46" s="34" t="n"/>
      <c r="E46" s="20" t="n"/>
      <c r="F46" s="20" t="n"/>
    </row>
    <row r="47">
      <c r="A47" s="32" t="n"/>
      <c r="B47" s="20" t="n"/>
      <c r="C47" s="20" t="n"/>
      <c r="D47" s="34" t="n"/>
      <c r="E47" s="20" t="n"/>
      <c r="F47" s="20" t="n"/>
    </row>
    <row r="48">
      <c r="A48" s="32" t="n"/>
      <c r="B48" s="20" t="n"/>
      <c r="C48" s="20" t="n"/>
      <c r="D48" s="34" t="n"/>
      <c r="E48" s="20" t="n"/>
      <c r="F48" s="20" t="n"/>
    </row>
    <row r="49">
      <c r="A49" s="32" t="n"/>
      <c r="B49" s="20" t="n"/>
      <c r="C49" s="20" t="n"/>
      <c r="D49" s="34" t="n"/>
      <c r="E49" s="20" t="n"/>
      <c r="F49" s="20" t="n"/>
    </row>
    <row r="50">
      <c r="A50" s="32" t="n"/>
      <c r="B50" s="20" t="n"/>
      <c r="C50" s="20" t="n"/>
      <c r="D50" s="34" t="n"/>
      <c r="E50" s="20" t="n"/>
      <c r="F50" s="20" t="n"/>
    </row>
    <row r="51">
      <c r="A51" s="32" t="n"/>
      <c r="B51" s="20" t="n"/>
      <c r="C51" s="20" t="n"/>
      <c r="D51" s="34" t="n"/>
      <c r="E51" s="20" t="n"/>
      <c r="F51" s="20" t="n"/>
    </row>
    <row r="52">
      <c r="A52" s="32" t="n"/>
      <c r="B52" s="20" t="n"/>
      <c r="C52" s="20" t="n"/>
      <c r="D52" s="34" t="n"/>
      <c r="E52" s="20" t="n"/>
      <c r="F52" s="20" t="n"/>
    </row>
    <row r="53">
      <c r="A53" s="32" t="n"/>
      <c r="B53" s="20" t="n"/>
      <c r="C53" s="20" t="n"/>
      <c r="D53" s="34" t="n"/>
      <c r="E53" s="20" t="n"/>
      <c r="F53" s="20" t="n"/>
    </row>
    <row r="54">
      <c r="A54" s="32" t="n"/>
      <c r="B54" s="20" t="n"/>
      <c r="C54" s="20" t="n"/>
      <c r="D54" s="34" t="n"/>
      <c r="E54" s="20" t="n"/>
      <c r="F54" s="20" t="n"/>
    </row>
    <row r="55">
      <c r="A55" s="32" t="n"/>
      <c r="B55" s="20" t="n"/>
      <c r="C55" s="20" t="n"/>
      <c r="D55" s="34" t="n"/>
      <c r="E55" s="20" t="n"/>
      <c r="F55" s="20" t="n"/>
    </row>
    <row r="56">
      <c r="A56" s="32" t="n"/>
      <c r="B56" s="20" t="n"/>
      <c r="C56" s="20" t="n"/>
      <c r="D56" s="34" t="n"/>
      <c r="E56" s="20" t="n"/>
      <c r="F56" s="20" t="n"/>
    </row>
    <row r="57">
      <c r="A57" s="32" t="n"/>
      <c r="B57" s="20" t="n"/>
      <c r="C57" s="20" t="n"/>
      <c r="D57" s="34" t="n"/>
      <c r="E57" s="20" t="n"/>
      <c r="F57" s="20" t="n"/>
    </row>
    <row r="58">
      <c r="A58" s="32" t="n"/>
      <c r="B58" s="20" t="n"/>
      <c r="C58" s="20" t="n"/>
      <c r="D58" s="34" t="n"/>
      <c r="E58" s="20" t="n"/>
      <c r="F58" s="20" t="n"/>
    </row>
    <row r="59">
      <c r="A59" s="32" t="n"/>
      <c r="B59" s="20" t="n"/>
      <c r="C59" s="20" t="n"/>
      <c r="D59" s="34" t="n"/>
      <c r="E59" s="20" t="n"/>
      <c r="F59" s="20" t="n"/>
    </row>
    <row r="60">
      <c r="A60" s="32" t="n"/>
      <c r="B60" s="20" t="n"/>
      <c r="C60" s="20" t="n"/>
      <c r="D60" s="34" t="n"/>
      <c r="E60" s="20" t="n"/>
      <c r="F60" s="20" t="n"/>
    </row>
    <row r="61">
      <c r="A61" s="32" t="n"/>
      <c r="B61" s="20" t="n"/>
      <c r="C61" s="20" t="n"/>
      <c r="D61" s="34" t="n"/>
      <c r="E61" s="20" t="n"/>
      <c r="F61" s="20" t="n"/>
    </row>
    <row r="62">
      <c r="A62" s="32" t="n"/>
      <c r="B62" s="20" t="n"/>
      <c r="C62" s="20" t="n"/>
      <c r="D62" s="34" t="n"/>
      <c r="E62" s="20" t="n"/>
      <c r="F62" s="20" t="n"/>
    </row>
    <row r="63">
      <c r="A63" s="32" t="n"/>
      <c r="B63" s="20" t="n"/>
      <c r="C63" s="20" t="n"/>
      <c r="D63" s="34" t="n"/>
      <c r="E63" s="20" t="n"/>
      <c r="F63" s="20" t="n"/>
    </row>
    <row r="64">
      <c r="A64" s="32" t="n"/>
      <c r="B64" s="20" t="n"/>
      <c r="C64" s="20" t="n"/>
      <c r="D64" s="34" t="n"/>
      <c r="E64" s="20" t="n"/>
      <c r="F64" s="20" t="n"/>
    </row>
    <row r="65">
      <c r="A65" s="32" t="n"/>
      <c r="B65" s="20" t="n"/>
      <c r="C65" s="20" t="n"/>
      <c r="D65" s="34" t="n"/>
      <c r="E65" s="20" t="n"/>
      <c r="F65" s="20" t="n"/>
    </row>
    <row r="66">
      <c r="A66" s="32" t="n"/>
      <c r="B66" s="20" t="n"/>
      <c r="C66" s="20" t="n"/>
      <c r="D66" s="34" t="n"/>
      <c r="E66" s="20" t="n"/>
      <c r="F66" s="20" t="n"/>
    </row>
    <row r="67">
      <c r="A67" s="32" t="n"/>
      <c r="B67" s="20" t="n"/>
      <c r="C67" s="20" t="n"/>
      <c r="D67" s="34" t="n"/>
      <c r="E67" s="20" t="n"/>
      <c r="F67" s="20" t="n"/>
    </row>
    <row r="68">
      <c r="A68" s="32" t="n"/>
      <c r="B68" s="20" t="n"/>
      <c r="C68" s="20" t="n"/>
      <c r="D68" s="34" t="n"/>
      <c r="E68" s="20" t="n"/>
      <c r="F68" s="20" t="n"/>
    </row>
    <row r="69">
      <c r="A69" s="32" t="n"/>
      <c r="B69" s="20" t="n"/>
      <c r="C69" s="20" t="n"/>
      <c r="D69" s="34" t="n"/>
      <c r="E69" s="20" t="n"/>
      <c r="F69" s="20" t="n"/>
    </row>
    <row r="70">
      <c r="A70" s="32" t="n"/>
      <c r="B70" s="20" t="n"/>
      <c r="C70" s="20" t="n"/>
      <c r="D70" s="34" t="n"/>
      <c r="E70" s="20" t="n"/>
      <c r="F70" s="20" t="n"/>
    </row>
    <row r="71">
      <c r="A71" s="32" t="n"/>
      <c r="B71" s="20" t="n"/>
      <c r="C71" s="20" t="n"/>
      <c r="D71" s="34" t="n"/>
      <c r="E71" s="20" t="n"/>
      <c r="F71" s="20" t="n"/>
    </row>
    <row r="72">
      <c r="A72" s="32" t="n"/>
      <c r="B72" s="20" t="n"/>
      <c r="C72" s="20" t="n"/>
      <c r="D72" s="34" t="n"/>
      <c r="E72" s="20" t="n"/>
      <c r="F72" s="20" t="n"/>
    </row>
    <row r="73">
      <c r="A73" s="32" t="n"/>
      <c r="B73" s="20" t="n"/>
      <c r="C73" s="20" t="n"/>
      <c r="D73" s="34" t="n"/>
      <c r="E73" s="20" t="n"/>
      <c r="F73" s="20" t="n"/>
    </row>
    <row r="74">
      <c r="A74" s="32" t="n"/>
      <c r="B74" s="20" t="n"/>
      <c r="C74" s="20" t="n"/>
      <c r="D74" s="34" t="n"/>
      <c r="E74" s="20" t="n"/>
      <c r="F74" s="20" t="n"/>
    </row>
    <row r="75">
      <c r="A75" s="32" t="n"/>
      <c r="B75" s="20" t="n"/>
      <c r="C75" s="20" t="n"/>
      <c r="D75" s="34" t="n"/>
      <c r="E75" s="20" t="n"/>
      <c r="F75" s="20" t="n"/>
    </row>
    <row r="76">
      <c r="A76" s="32" t="n"/>
      <c r="B76" s="20" t="n"/>
      <c r="C76" s="20" t="n"/>
      <c r="D76" s="34" t="n"/>
      <c r="E76" s="20" t="n"/>
      <c r="F76" s="20" t="n"/>
    </row>
    <row r="77">
      <c r="A77" s="32" t="n"/>
      <c r="B77" s="20" t="n"/>
      <c r="C77" s="20" t="n"/>
      <c r="D77" s="34" t="n"/>
      <c r="E77" s="20" t="n"/>
      <c r="F77" s="20" t="n"/>
    </row>
    <row r="78">
      <c r="A78" s="32" t="n"/>
      <c r="B78" s="20" t="n"/>
      <c r="C78" s="20" t="n"/>
      <c r="D78" s="34" t="n"/>
      <c r="E78" s="20" t="n"/>
      <c r="F78" s="20" t="n"/>
    </row>
    <row r="79">
      <c r="A79" s="32" t="n"/>
      <c r="B79" s="20" t="n"/>
      <c r="C79" s="20" t="n"/>
      <c r="D79" s="34" t="n"/>
      <c r="E79" s="20" t="n"/>
      <c r="F79" s="20" t="n"/>
    </row>
    <row r="80">
      <c r="A80" s="32" t="n"/>
      <c r="B80" s="20" t="n"/>
      <c r="C80" s="20" t="n"/>
      <c r="D80" s="34" t="n"/>
      <c r="E80" s="20" t="n"/>
      <c r="F80" s="20" t="n"/>
    </row>
    <row r="81">
      <c r="A81" s="32" t="n"/>
      <c r="B81" s="20" t="n"/>
      <c r="C81" s="20" t="n"/>
      <c r="D81" s="34" t="n"/>
      <c r="E81" s="20" t="n"/>
      <c r="F81" s="20" t="n"/>
    </row>
    <row r="82">
      <c r="A82" s="32" t="n"/>
      <c r="B82" s="20" t="n"/>
      <c r="C82" s="20" t="n"/>
      <c r="D82" s="34" t="n"/>
      <c r="E82" s="20" t="n"/>
      <c r="F82" s="20" t="n"/>
    </row>
    <row r="83">
      <c r="A83" s="32" t="n"/>
      <c r="B83" s="20" t="n"/>
      <c r="C83" s="20" t="n"/>
      <c r="D83" s="34" t="n"/>
      <c r="E83" s="20" t="n"/>
      <c r="F83" s="20" t="n"/>
    </row>
    <row r="84">
      <c r="A84" s="32" t="n"/>
      <c r="B84" s="20" t="n"/>
      <c r="C84" s="20" t="n"/>
      <c r="D84" s="34" t="n"/>
      <c r="E84" s="20" t="n"/>
      <c r="F84" s="20" t="n"/>
    </row>
    <row r="85">
      <c r="A85" s="32" t="n"/>
      <c r="B85" s="20" t="n"/>
      <c r="C85" s="20" t="n"/>
      <c r="D85" s="34" t="n"/>
      <c r="E85" s="20" t="n"/>
      <c r="F85" s="20" t="n"/>
    </row>
    <row r="86">
      <c r="A86" s="32" t="n"/>
      <c r="B86" s="20" t="n"/>
      <c r="C86" s="20" t="n"/>
      <c r="D86" s="34" t="n"/>
      <c r="E86" s="20" t="n"/>
      <c r="F86" s="20" t="n"/>
    </row>
    <row r="87">
      <c r="A87" s="32" t="n"/>
      <c r="B87" s="20" t="n"/>
      <c r="C87" s="20" t="n"/>
      <c r="D87" s="34" t="n"/>
      <c r="E87" s="20" t="n"/>
      <c r="F87" s="20" t="n"/>
    </row>
    <row r="88">
      <c r="A88" s="32" t="n"/>
      <c r="B88" s="20" t="n"/>
      <c r="C88" s="20" t="n"/>
      <c r="D88" s="34" t="n"/>
      <c r="E88" s="20" t="n"/>
      <c r="F88" s="20" t="n"/>
    </row>
    <row r="89">
      <c r="A89" s="32" t="n"/>
      <c r="B89" s="20" t="n"/>
      <c r="C89" s="20" t="n"/>
      <c r="D89" s="34" t="n"/>
      <c r="E89" s="20" t="n"/>
      <c r="F89" s="20" t="n"/>
    </row>
    <row r="90">
      <c r="A90" s="32" t="n"/>
      <c r="B90" s="20" t="n"/>
      <c r="C90" s="20" t="n"/>
      <c r="D90" s="34" t="n"/>
      <c r="E90" s="20" t="n"/>
      <c r="F90" s="20" t="n"/>
    </row>
    <row r="91">
      <c r="A91" s="32" t="n"/>
      <c r="B91" s="20" t="n"/>
      <c r="C91" s="20" t="n"/>
      <c r="D91" s="34" t="n"/>
      <c r="E91" s="20" t="n"/>
      <c r="F91" s="20" t="n"/>
    </row>
    <row r="92">
      <c r="A92" s="32" t="n"/>
      <c r="B92" s="20" t="n"/>
      <c r="C92" s="20" t="n"/>
      <c r="D92" s="34" t="n"/>
      <c r="E92" s="20" t="n"/>
      <c r="F92" s="20" t="n"/>
    </row>
    <row r="93">
      <c r="A93" s="32" t="n"/>
      <c r="B93" s="20" t="n"/>
      <c r="C93" s="20" t="n"/>
      <c r="D93" s="34" t="n"/>
      <c r="E93" s="20" t="n"/>
      <c r="F93" s="20" t="n"/>
    </row>
    <row r="94">
      <c r="A94" s="32" t="n"/>
      <c r="B94" s="20" t="n"/>
      <c r="C94" s="20" t="n"/>
      <c r="D94" s="34" t="n"/>
      <c r="E94" s="20" t="n"/>
      <c r="F94" s="20" t="n"/>
    </row>
    <row r="95">
      <c r="A95" s="32" t="n"/>
      <c r="B95" s="20" t="n"/>
      <c r="C95" s="20" t="n"/>
      <c r="D95" s="34" t="n"/>
      <c r="E95" s="20" t="n"/>
      <c r="F95" s="20" t="n"/>
    </row>
    <row r="96">
      <c r="A96" s="32" t="n"/>
      <c r="B96" s="20" t="n"/>
      <c r="C96" s="20" t="n"/>
      <c r="D96" s="34" t="n"/>
      <c r="E96" s="20" t="n"/>
      <c r="F96" s="20" t="n"/>
    </row>
    <row r="97">
      <c r="A97" s="32" t="n"/>
      <c r="B97" s="20" t="n"/>
      <c r="C97" s="20" t="n"/>
      <c r="D97" s="34" t="n"/>
      <c r="E97" s="20" t="n"/>
      <c r="F97" s="20" t="n"/>
    </row>
    <row r="98">
      <c r="A98" s="32" t="n"/>
      <c r="B98" s="20" t="n"/>
      <c r="C98" s="20" t="n"/>
      <c r="D98" s="34" t="n"/>
      <c r="E98" s="20" t="n"/>
      <c r="F98" s="20" t="n"/>
    </row>
    <row r="99">
      <c r="A99" s="32" t="n"/>
      <c r="B99" s="20" t="n"/>
      <c r="C99" s="20" t="n"/>
      <c r="D99" s="34" t="n"/>
      <c r="E99" s="20" t="n"/>
      <c r="F99" s="20" t="n"/>
    </row>
    <row r="100">
      <c r="A100" s="32" t="n"/>
      <c r="B100" s="20" t="n"/>
      <c r="C100" s="20" t="n"/>
      <c r="D100" s="34" t="n"/>
      <c r="E100" s="20" t="n"/>
      <c r="F100" s="20" t="n"/>
    </row>
    <row r="101">
      <c r="A101" s="32" t="n"/>
      <c r="B101" s="20" t="n"/>
      <c r="C101" s="20" t="n"/>
      <c r="D101" s="34" t="n"/>
      <c r="E101" s="20" t="n"/>
      <c r="F101" s="20" t="n"/>
    </row>
    <row r="102">
      <c r="A102" s="32" t="n"/>
      <c r="B102" s="20" t="n"/>
      <c r="C102" s="20" t="n"/>
      <c r="D102" s="34" t="n"/>
      <c r="E102" s="20" t="n"/>
      <c r="F102" s="20" t="n"/>
    </row>
    <row r="103">
      <c r="A103" s="32" t="n"/>
      <c r="B103" s="20" t="n"/>
      <c r="C103" s="20" t="n"/>
      <c r="D103" s="34" t="n"/>
      <c r="E103" s="20" t="n"/>
      <c r="F103" s="20" t="n"/>
    </row>
    <row r="104">
      <c r="A104" s="32" t="n"/>
      <c r="B104" s="20" t="n"/>
      <c r="C104" s="20" t="n"/>
      <c r="D104" s="34" t="n"/>
      <c r="E104" s="20" t="n"/>
      <c r="F104" s="20" t="n"/>
    </row>
    <row r="105">
      <c r="A105" s="32" t="n"/>
      <c r="B105" s="20" t="n"/>
      <c r="C105" s="20" t="n"/>
      <c r="D105" s="34" t="n"/>
      <c r="E105" s="20" t="n"/>
      <c r="F105" s="20" t="n"/>
    </row>
    <row r="106">
      <c r="A106" s="32" t="n"/>
      <c r="B106" s="20" t="n"/>
      <c r="C106" s="20" t="n"/>
      <c r="D106" s="34" t="n"/>
      <c r="E106" s="20" t="n"/>
      <c r="F106" s="20" t="n"/>
    </row>
    <row r="107">
      <c r="A107" s="32" t="n"/>
      <c r="B107" s="20" t="n"/>
      <c r="C107" s="20" t="n"/>
      <c r="D107" s="34" t="n"/>
      <c r="E107" s="20" t="n"/>
      <c r="F107" s="20" t="n"/>
    </row>
    <row r="108">
      <c r="A108" s="32" t="n"/>
      <c r="B108" s="20" t="n"/>
      <c r="C108" s="20" t="n"/>
      <c r="D108" s="34" t="n"/>
      <c r="E108" s="20" t="n"/>
      <c r="F108" s="20" t="n"/>
    </row>
    <row r="109">
      <c r="A109" s="32" t="n"/>
      <c r="B109" s="20" t="n"/>
      <c r="C109" s="20" t="n"/>
      <c r="D109" s="34" t="n"/>
      <c r="E109" s="20" t="n"/>
      <c r="F109" s="20" t="n"/>
    </row>
    <row r="110">
      <c r="A110" s="32" t="n"/>
      <c r="B110" s="20" t="n"/>
      <c r="C110" s="20" t="n"/>
      <c r="D110" s="34" t="n"/>
      <c r="E110" s="20" t="n"/>
      <c r="F110" s="20" t="n"/>
    </row>
    <row r="111">
      <c r="A111" s="32" t="n"/>
      <c r="B111" s="20" t="n"/>
      <c r="C111" s="20" t="n"/>
      <c r="D111" s="34" t="n"/>
      <c r="E111" s="20" t="n"/>
      <c r="F111" s="20" t="n"/>
    </row>
    <row r="112">
      <c r="A112" s="32" t="n"/>
      <c r="B112" s="20" t="n"/>
      <c r="C112" s="20" t="n"/>
      <c r="D112" s="34" t="n"/>
      <c r="E112" s="20" t="n"/>
      <c r="F112" s="20" t="n"/>
    </row>
    <row r="113">
      <c r="A113" s="32" t="n"/>
      <c r="B113" s="20" t="n"/>
      <c r="C113" s="20" t="n"/>
      <c r="D113" s="34" t="n"/>
      <c r="E113" s="20" t="n"/>
      <c r="F113" s="20" t="n"/>
    </row>
    <row r="114">
      <c r="A114" s="32" t="n"/>
      <c r="B114" s="20" t="n"/>
      <c r="C114" s="20" t="n"/>
      <c r="D114" s="34" t="n"/>
      <c r="E114" s="20" t="n"/>
      <c r="F114" s="20" t="n"/>
    </row>
    <row r="115">
      <c r="A115" s="32" t="n"/>
      <c r="B115" s="20" t="n"/>
      <c r="C115" s="20" t="n"/>
      <c r="D115" s="34" t="n"/>
      <c r="E115" s="20" t="n"/>
      <c r="F115" s="20" t="n"/>
    </row>
    <row r="116">
      <c r="A116" s="32" t="n"/>
      <c r="B116" s="20" t="n"/>
      <c r="C116" s="20" t="n"/>
      <c r="D116" s="34" t="n"/>
      <c r="E116" s="20" t="n"/>
      <c r="F116" s="20" t="n"/>
    </row>
    <row r="117">
      <c r="A117" s="32" t="n"/>
      <c r="B117" s="20" t="n"/>
      <c r="C117" s="20" t="n"/>
      <c r="D117" s="34" t="n"/>
      <c r="E117" s="20" t="n"/>
      <c r="F117" s="20" t="n"/>
    </row>
    <row r="118">
      <c r="A118" s="32" t="n"/>
      <c r="B118" s="20" t="n"/>
      <c r="C118" s="20" t="n"/>
      <c r="D118" s="34" t="n"/>
      <c r="E118" s="20" t="n"/>
      <c r="F118" s="20" t="n"/>
    </row>
    <row r="119">
      <c r="A119" s="32" t="n"/>
      <c r="B119" s="20" t="n"/>
      <c r="C119" s="20" t="n"/>
      <c r="D119" s="34" t="n"/>
      <c r="E119" s="20" t="n"/>
      <c r="F119" s="20" t="n"/>
    </row>
    <row r="120">
      <c r="A120" s="32" t="n"/>
      <c r="B120" s="20" t="n"/>
      <c r="C120" s="20" t="n"/>
      <c r="D120" s="34" t="n"/>
      <c r="E120" s="20" t="n"/>
      <c r="F120" s="20" t="n"/>
    </row>
    <row r="121">
      <c r="A121" s="32" t="n"/>
      <c r="B121" s="20" t="n"/>
      <c r="C121" s="20" t="n"/>
      <c r="D121" s="34" t="n"/>
      <c r="E121" s="20" t="n"/>
      <c r="F121" s="20" t="n"/>
    </row>
    <row r="122">
      <c r="A122" s="32" t="n"/>
      <c r="B122" s="20" t="n"/>
      <c r="C122" s="20" t="n"/>
      <c r="D122" s="34" t="n"/>
      <c r="E122" s="20" t="n"/>
      <c r="F122" s="20" t="n"/>
    </row>
    <row r="123">
      <c r="A123" s="32" t="n"/>
      <c r="B123" s="20" t="n"/>
      <c r="C123" s="20" t="n"/>
      <c r="D123" s="34" t="n"/>
      <c r="E123" s="20" t="n"/>
      <c r="F123" s="20" t="n"/>
    </row>
    <row r="124">
      <c r="A124" s="32" t="n"/>
      <c r="B124" s="20" t="n"/>
      <c r="C124" s="20" t="n"/>
      <c r="D124" s="34" t="n"/>
      <c r="E124" s="20" t="n"/>
      <c r="F124" s="20" t="n"/>
    </row>
    <row r="125">
      <c r="A125" s="32" t="n"/>
      <c r="B125" s="20" t="n"/>
      <c r="C125" s="20" t="n"/>
      <c r="D125" s="34" t="n"/>
      <c r="E125" s="20" t="n"/>
      <c r="F125" s="20" t="n"/>
    </row>
    <row r="126">
      <c r="A126" s="32" t="n"/>
      <c r="B126" s="20" t="n"/>
      <c r="C126" s="20" t="n"/>
      <c r="D126" s="34" t="n"/>
      <c r="E126" s="20" t="n"/>
      <c r="F126" s="20" t="n"/>
    </row>
    <row r="127">
      <c r="A127" s="32" t="n"/>
      <c r="B127" s="20" t="n"/>
      <c r="C127" s="20" t="n"/>
      <c r="D127" s="34" t="n"/>
      <c r="E127" s="20" t="n"/>
      <c r="F127" s="20" t="n"/>
    </row>
    <row r="128">
      <c r="A128" s="32" t="n"/>
      <c r="B128" s="20" t="n"/>
      <c r="C128" s="20" t="n"/>
      <c r="D128" s="34" t="n"/>
      <c r="E128" s="20" t="n"/>
      <c r="F128" s="20" t="n"/>
    </row>
    <row r="129">
      <c r="A129" s="32" t="n"/>
      <c r="B129" s="20" t="n"/>
      <c r="C129" s="20" t="n"/>
      <c r="D129" s="34" t="n"/>
      <c r="E129" s="20" t="n"/>
      <c r="F129" s="20" t="n"/>
    </row>
    <row r="130">
      <c r="A130" s="32" t="n"/>
      <c r="B130" s="20" t="n"/>
      <c r="C130" s="20" t="n"/>
      <c r="D130" s="34" t="n"/>
      <c r="E130" s="20" t="n"/>
      <c r="F130" s="20" t="n"/>
    </row>
    <row r="131">
      <c r="A131" s="32" t="n"/>
      <c r="B131" s="20" t="n"/>
      <c r="C131" s="20" t="n"/>
      <c r="D131" s="34" t="n"/>
      <c r="E131" s="20" t="n"/>
      <c r="F131" s="20" t="n"/>
    </row>
    <row r="132">
      <c r="A132" s="32" t="n"/>
      <c r="B132" s="20" t="n"/>
      <c r="C132" s="20" t="n"/>
      <c r="D132" s="34" t="n"/>
      <c r="E132" s="20" t="n"/>
      <c r="F132" s="20" t="n"/>
    </row>
    <row r="133">
      <c r="A133" s="32" t="n"/>
      <c r="B133" s="20" t="n"/>
      <c r="C133" s="20" t="n"/>
      <c r="D133" s="34" t="n"/>
      <c r="E133" s="20" t="n"/>
      <c r="F133" s="20" t="n"/>
    </row>
    <row r="134">
      <c r="A134" s="32" t="n"/>
      <c r="B134" s="20" t="n"/>
      <c r="C134" s="20" t="n"/>
      <c r="D134" s="34" t="n"/>
      <c r="E134" s="20" t="n"/>
      <c r="F134" s="20" t="n"/>
    </row>
    <row r="135">
      <c r="A135" s="32" t="n"/>
      <c r="B135" s="20" t="n"/>
      <c r="C135" s="20" t="n"/>
      <c r="D135" s="34" t="n"/>
      <c r="E135" s="20" t="n"/>
      <c r="F135" s="20" t="n"/>
    </row>
    <row r="136">
      <c r="A136" s="32" t="n"/>
      <c r="B136" s="20" t="n"/>
      <c r="C136" s="20" t="n"/>
      <c r="D136" s="34" t="n"/>
      <c r="E136" s="20" t="n"/>
      <c r="F136" s="20" t="n"/>
    </row>
    <row r="137">
      <c r="A137" s="32" t="n"/>
      <c r="B137" s="20" t="n"/>
      <c r="C137" s="20" t="n"/>
      <c r="D137" s="34" t="n"/>
      <c r="E137" s="20" t="n"/>
      <c r="F137" s="20" t="n"/>
    </row>
    <row r="138">
      <c r="A138" s="32" t="n"/>
      <c r="B138" s="20" t="n"/>
      <c r="C138" s="20" t="n"/>
      <c r="D138" s="34" t="n"/>
      <c r="E138" s="20" t="n"/>
      <c r="F138" s="20" t="n"/>
    </row>
    <row r="139">
      <c r="A139" s="32" t="n"/>
      <c r="B139" s="20" t="n"/>
      <c r="C139" s="20" t="n"/>
      <c r="D139" s="34" t="n"/>
      <c r="E139" s="20" t="n"/>
      <c r="F139" s="20" t="n"/>
    </row>
    <row r="140">
      <c r="A140" s="32" t="n"/>
      <c r="B140" s="20" t="n"/>
      <c r="C140" s="20" t="n"/>
      <c r="D140" s="34" t="n"/>
      <c r="E140" s="20" t="n"/>
      <c r="F140" s="20" t="n"/>
    </row>
    <row r="141">
      <c r="A141" s="32" t="n"/>
      <c r="B141" s="20" t="n"/>
      <c r="C141" s="20" t="n"/>
      <c r="D141" s="34" t="n"/>
      <c r="E141" s="20" t="n"/>
      <c r="F141" s="20" t="n"/>
    </row>
    <row r="142">
      <c r="A142" s="32" t="n"/>
      <c r="B142" s="20" t="n"/>
      <c r="C142" s="20" t="n"/>
      <c r="D142" s="34" t="n"/>
      <c r="E142" s="20" t="n"/>
      <c r="F142" s="20" t="n"/>
    </row>
    <row r="143">
      <c r="A143" s="32" t="n"/>
      <c r="B143" s="20" t="n"/>
      <c r="C143" s="20" t="n"/>
      <c r="D143" s="34" t="n"/>
      <c r="E143" s="20" t="n"/>
      <c r="F143" s="20" t="n"/>
    </row>
    <row r="144">
      <c r="A144" s="32" t="n"/>
      <c r="B144" s="20" t="n"/>
      <c r="C144" s="20" t="n"/>
      <c r="D144" s="34" t="n"/>
      <c r="E144" s="20" t="n"/>
      <c r="F144" s="20" t="n"/>
    </row>
    <row r="145">
      <c r="A145" s="32" t="n"/>
      <c r="B145" s="20" t="n"/>
      <c r="C145" s="20" t="n"/>
      <c r="D145" s="34" t="n"/>
      <c r="E145" s="20" t="n"/>
      <c r="F145" s="20" t="n"/>
    </row>
    <row r="146">
      <c r="A146" s="32" t="n"/>
      <c r="B146" s="20" t="n"/>
      <c r="C146" s="20" t="n"/>
      <c r="D146" s="34" t="n"/>
      <c r="E146" s="20" t="n"/>
      <c r="F146" s="20" t="n"/>
    </row>
    <row r="147">
      <c r="A147" s="32" t="n"/>
      <c r="B147" s="20" t="n"/>
      <c r="C147" s="20" t="n"/>
      <c r="D147" s="34" t="n"/>
      <c r="E147" s="20" t="n"/>
      <c r="F147" s="20" t="n"/>
    </row>
    <row r="148">
      <c r="A148" s="32" t="n"/>
      <c r="B148" s="20" t="n"/>
      <c r="C148" s="20" t="n"/>
      <c r="D148" s="34" t="n"/>
      <c r="E148" s="20" t="n"/>
      <c r="F148" s="20" t="n"/>
    </row>
    <row r="149">
      <c r="A149" s="32" t="n"/>
      <c r="B149" s="20" t="n"/>
      <c r="C149" s="20" t="n"/>
      <c r="D149" s="34" t="n"/>
      <c r="E149" s="20" t="n"/>
      <c r="F149" s="20" t="n"/>
    </row>
    <row r="150">
      <c r="A150" s="32" t="n"/>
      <c r="B150" s="20" t="n"/>
      <c r="C150" s="20" t="n"/>
      <c r="D150" s="34" t="n"/>
      <c r="E150" s="20" t="n"/>
      <c r="F150" s="20" t="n"/>
    </row>
    <row r="151">
      <c r="A151" s="32" t="n"/>
      <c r="B151" s="20" t="n"/>
      <c r="C151" s="20" t="n"/>
      <c r="D151" s="34" t="n"/>
      <c r="E151" s="20" t="n"/>
      <c r="F151" s="20" t="n"/>
    </row>
    <row r="152">
      <c r="A152" s="32" t="n"/>
      <c r="B152" s="20" t="n"/>
      <c r="C152" s="20" t="n"/>
      <c r="D152" s="34" t="n"/>
      <c r="E152" s="20" t="n"/>
      <c r="F152" s="20" t="n"/>
    </row>
    <row r="153">
      <c r="A153" s="32" t="n"/>
      <c r="B153" s="20" t="n"/>
      <c r="C153" s="20" t="n"/>
      <c r="D153" s="34" t="n"/>
      <c r="E153" s="20" t="n"/>
      <c r="F153" s="20" t="n"/>
    </row>
    <row r="154">
      <c r="A154" s="32" t="n"/>
      <c r="B154" s="20" t="n"/>
      <c r="C154" s="20" t="n"/>
      <c r="D154" s="34" t="n"/>
      <c r="E154" s="20" t="n"/>
      <c r="F154" s="20" t="n"/>
    </row>
    <row r="155">
      <c r="A155" s="32" t="n"/>
      <c r="B155" s="20" t="n"/>
      <c r="C155" s="20" t="n"/>
      <c r="D155" s="34" t="n"/>
      <c r="E155" s="20" t="n"/>
      <c r="F155" s="20" t="n"/>
    </row>
    <row r="156">
      <c r="A156" s="32" t="n"/>
      <c r="B156" s="20" t="n"/>
      <c r="C156" s="20" t="n"/>
      <c r="D156" s="34" t="n"/>
      <c r="E156" s="20" t="n"/>
      <c r="F156" s="20" t="n"/>
    </row>
    <row r="157">
      <c r="A157" s="32" t="n"/>
      <c r="B157" s="20" t="n"/>
      <c r="C157" s="20" t="n"/>
      <c r="D157" s="34" t="n"/>
      <c r="E157" s="20" t="n"/>
      <c r="F157" s="20" t="n"/>
    </row>
    <row r="158">
      <c r="A158" s="32" t="n"/>
      <c r="B158" s="20" t="n"/>
      <c r="C158" s="20" t="n"/>
      <c r="D158" s="34" t="n"/>
      <c r="E158" s="20" t="n"/>
      <c r="F158" s="20" t="n"/>
    </row>
    <row r="159">
      <c r="A159" s="32" t="n"/>
      <c r="B159" s="20" t="n"/>
      <c r="C159" s="20" t="n"/>
      <c r="D159" s="34" t="n"/>
      <c r="E159" s="20" t="n"/>
      <c r="F159" s="20" t="n"/>
    </row>
    <row r="160">
      <c r="A160" s="32" t="n"/>
      <c r="B160" s="20" t="n"/>
      <c r="C160" s="20" t="n"/>
      <c r="D160" s="34" t="n"/>
      <c r="E160" s="20" t="n"/>
      <c r="F160" s="20" t="n"/>
    </row>
    <row r="161">
      <c r="A161" s="32" t="n"/>
      <c r="B161" s="20" t="n"/>
      <c r="C161" s="20" t="n"/>
      <c r="D161" s="34" t="n"/>
      <c r="E161" s="20" t="n"/>
      <c r="F161" s="20" t="n"/>
    </row>
    <row r="162">
      <c r="A162" s="32" t="n"/>
      <c r="B162" s="20" t="n"/>
      <c r="C162" s="20" t="n"/>
      <c r="D162" s="34" t="n"/>
      <c r="E162" s="20" t="n"/>
      <c r="F162" s="20" t="n"/>
    </row>
    <row r="163">
      <c r="A163" s="32" t="n"/>
      <c r="B163" s="20" t="n"/>
      <c r="C163" s="20" t="n"/>
      <c r="D163" s="34" t="n"/>
      <c r="E163" s="20" t="n"/>
      <c r="F163" s="20" t="n"/>
    </row>
    <row r="164">
      <c r="A164" s="32" t="n"/>
      <c r="B164" s="20" t="n"/>
      <c r="C164" s="20" t="n"/>
      <c r="D164" s="34" t="n"/>
      <c r="E164" s="20" t="n"/>
      <c r="F164" s="20" t="n"/>
    </row>
    <row r="165">
      <c r="A165" s="32" t="n"/>
      <c r="B165" s="20" t="n"/>
      <c r="C165" s="20" t="n"/>
      <c r="D165" s="34" t="n"/>
      <c r="E165" s="20" t="n"/>
      <c r="F165" s="20" t="n"/>
    </row>
    <row r="166">
      <c r="A166" s="32" t="n"/>
      <c r="B166" s="20" t="n"/>
      <c r="C166" s="20" t="n"/>
      <c r="D166" s="34" t="n"/>
      <c r="E166" s="20" t="n"/>
      <c r="F166" s="20" t="n"/>
    </row>
    <row r="167">
      <c r="A167" s="32" t="n"/>
      <c r="B167" s="20" t="n"/>
      <c r="C167" s="20" t="n"/>
      <c r="D167" s="34" t="n"/>
      <c r="E167" s="20" t="n"/>
      <c r="F167" s="20" t="n"/>
    </row>
    <row r="168">
      <c r="A168" s="32" t="n"/>
      <c r="B168" s="20" t="n"/>
      <c r="C168" s="20" t="n"/>
      <c r="D168" s="34" t="n"/>
      <c r="E168" s="20" t="n"/>
      <c r="F168" s="20" t="n"/>
    </row>
    <row r="169">
      <c r="A169" s="32" t="n"/>
      <c r="B169" s="20" t="n"/>
      <c r="C169" s="20" t="n"/>
      <c r="D169" s="34" t="n"/>
      <c r="E169" s="20" t="n"/>
      <c r="F169" s="20" t="n"/>
    </row>
    <row r="170">
      <c r="A170" s="32" t="n"/>
      <c r="B170" s="20" t="n"/>
      <c r="C170" s="20" t="n"/>
      <c r="D170" s="34" t="n"/>
      <c r="E170" s="20" t="n"/>
      <c r="F170" s="20" t="n"/>
    </row>
    <row r="171">
      <c r="A171" s="32" t="n"/>
      <c r="B171" s="20" t="n"/>
      <c r="C171" s="20" t="n"/>
      <c r="D171" s="34" t="n"/>
      <c r="E171" s="20" t="n"/>
      <c r="F171" s="20" t="n"/>
    </row>
    <row r="172">
      <c r="A172" s="32" t="n"/>
      <c r="B172" s="20" t="n"/>
      <c r="C172" s="20" t="n"/>
      <c r="D172" s="34" t="n"/>
      <c r="E172" s="20" t="n"/>
      <c r="F172" s="20" t="n"/>
    </row>
    <row r="173">
      <c r="A173" s="32" t="n"/>
      <c r="B173" s="20" t="n"/>
      <c r="C173" s="20" t="n"/>
      <c r="D173" s="34" t="n"/>
      <c r="E173" s="20" t="n"/>
      <c r="F173" s="20" t="n"/>
    </row>
    <row r="174">
      <c r="A174" s="32" t="n"/>
      <c r="B174" s="20" t="n"/>
      <c r="C174" s="20" t="n"/>
      <c r="D174" s="34" t="n"/>
      <c r="E174" s="20" t="n"/>
      <c r="F174" s="20" t="n"/>
    </row>
    <row r="175">
      <c r="A175" s="32" t="n"/>
      <c r="B175" s="20" t="n"/>
      <c r="C175" s="20" t="n"/>
      <c r="D175" s="34" t="n"/>
      <c r="E175" s="20" t="n"/>
      <c r="F175" s="20" t="n"/>
    </row>
    <row r="176">
      <c r="A176" s="32" t="n"/>
      <c r="B176" s="20" t="n"/>
      <c r="C176" s="20" t="n"/>
      <c r="D176" s="34" t="n"/>
      <c r="E176" s="20" t="n"/>
      <c r="F176" s="20" t="n"/>
    </row>
    <row r="177">
      <c r="A177" s="32" t="n"/>
      <c r="B177" s="20" t="n"/>
      <c r="C177" s="20" t="n"/>
      <c r="D177" s="34" t="n"/>
      <c r="E177" s="20" t="n"/>
      <c r="F177" s="20" t="n"/>
    </row>
    <row r="178">
      <c r="A178" s="32" t="n"/>
      <c r="B178" s="20" t="n"/>
      <c r="C178" s="20" t="n"/>
      <c r="D178" s="34" t="n"/>
      <c r="E178" s="20" t="n"/>
      <c r="F178" s="20" t="n"/>
    </row>
    <row r="179">
      <c r="A179" s="32" t="n"/>
      <c r="B179" s="20" t="n"/>
      <c r="C179" s="20" t="n"/>
      <c r="D179" s="34" t="n"/>
      <c r="E179" s="20" t="n"/>
      <c r="F179" s="20" t="n"/>
    </row>
    <row r="180">
      <c r="A180" s="32" t="n"/>
      <c r="B180" s="20" t="n"/>
      <c r="C180" s="20" t="n"/>
      <c r="D180" s="34" t="n"/>
      <c r="E180" s="20" t="n"/>
      <c r="F180" s="20" t="n"/>
    </row>
    <row r="181">
      <c r="A181" s="32" t="n"/>
      <c r="B181" s="20" t="n"/>
      <c r="C181" s="20" t="n"/>
      <c r="D181" s="34" t="n"/>
      <c r="E181" s="20" t="n"/>
      <c r="F181" s="20" t="n"/>
    </row>
    <row r="182">
      <c r="A182" s="32" t="n"/>
      <c r="B182" s="20" t="n"/>
      <c r="C182" s="20" t="n"/>
      <c r="D182" s="34" t="n"/>
      <c r="E182" s="20" t="n"/>
      <c r="F182" s="20" t="n"/>
    </row>
    <row r="183">
      <c r="A183" s="32" t="n"/>
      <c r="B183" s="20" t="n"/>
      <c r="C183" s="20" t="n"/>
      <c r="D183" s="34" t="n"/>
      <c r="E183" s="20" t="n"/>
      <c r="F183" s="20" t="n"/>
    </row>
    <row r="184">
      <c r="A184" s="32" t="n"/>
      <c r="B184" s="20" t="n"/>
      <c r="C184" s="20" t="n"/>
      <c r="D184" s="34" t="n"/>
      <c r="E184" s="20" t="n"/>
      <c r="F184" s="20" t="n"/>
    </row>
    <row r="185">
      <c r="A185" s="32" t="n"/>
      <c r="B185" s="20" t="n"/>
      <c r="C185" s="20" t="n"/>
      <c r="D185" s="34" t="n"/>
      <c r="E185" s="20" t="n"/>
      <c r="F185" s="20" t="n"/>
    </row>
    <row r="186">
      <c r="A186" s="32" t="n"/>
      <c r="B186" s="20" t="n"/>
      <c r="C186" s="20" t="n"/>
      <c r="D186" s="34" t="n"/>
      <c r="E186" s="20" t="n"/>
      <c r="F186" s="20" t="n"/>
    </row>
    <row r="187">
      <c r="A187" s="32" t="n"/>
      <c r="B187" s="20" t="n"/>
      <c r="C187" s="20" t="n"/>
      <c r="D187" s="34" t="n"/>
      <c r="E187" s="20" t="n"/>
      <c r="F187" s="20" t="n"/>
    </row>
    <row r="188">
      <c r="A188" s="32" t="n"/>
      <c r="B188" s="20" t="n"/>
      <c r="C188" s="20" t="n"/>
      <c r="D188" s="34" t="n"/>
      <c r="E188" s="20" t="n"/>
      <c r="F188" s="20" t="n"/>
    </row>
    <row r="189">
      <c r="A189" s="32" t="n"/>
      <c r="B189" s="20" t="n"/>
      <c r="C189" s="20" t="n"/>
      <c r="D189" s="34" t="n"/>
      <c r="E189" s="20" t="n"/>
      <c r="F189" s="20" t="n"/>
    </row>
    <row r="190">
      <c r="A190" s="32" t="n"/>
      <c r="B190" s="20" t="n"/>
      <c r="C190" s="20" t="n"/>
      <c r="D190" s="34" t="n"/>
      <c r="E190" s="20" t="n"/>
      <c r="F190" s="20" t="n"/>
    </row>
    <row r="191">
      <c r="A191" s="32" t="n"/>
      <c r="B191" s="20" t="n"/>
      <c r="C191" s="20" t="n"/>
      <c r="D191" s="34" t="n"/>
      <c r="E191" s="20" t="n"/>
      <c r="F191" s="20" t="n"/>
    </row>
    <row r="192">
      <c r="A192" s="32" t="n"/>
      <c r="B192" s="20" t="n"/>
      <c r="C192" s="20" t="n"/>
      <c r="D192" s="34" t="n"/>
      <c r="E192" s="20" t="n"/>
      <c r="F192" s="20" t="n"/>
    </row>
    <row r="193">
      <c r="A193" s="32" t="n"/>
      <c r="B193" s="20" t="n"/>
      <c r="C193" s="20" t="n"/>
      <c r="D193" s="34" t="n"/>
      <c r="E193" s="20" t="n"/>
      <c r="F193" s="20" t="n"/>
    </row>
    <row r="194">
      <c r="A194" s="32" t="n"/>
      <c r="B194" s="20" t="n"/>
      <c r="C194" s="20" t="n"/>
      <c r="D194" s="34" t="n"/>
      <c r="E194" s="20" t="n"/>
      <c r="F194" s="20" t="n"/>
    </row>
    <row r="195">
      <c r="A195" s="32" t="n"/>
      <c r="B195" s="20" t="n"/>
      <c r="C195" s="20" t="n"/>
      <c r="D195" s="34" t="n"/>
      <c r="E195" s="20" t="n"/>
      <c r="F195" s="20" t="n"/>
    </row>
    <row r="196">
      <c r="A196" s="32" t="n"/>
      <c r="B196" s="20" t="n"/>
      <c r="C196" s="20" t="n"/>
      <c r="D196" s="34" t="n"/>
      <c r="E196" s="20" t="n"/>
      <c r="F196" s="20" t="n"/>
    </row>
    <row r="197">
      <c r="A197" s="32" t="n"/>
      <c r="B197" s="20" t="n"/>
      <c r="C197" s="20" t="n"/>
      <c r="D197" s="34" t="n"/>
      <c r="E197" s="20" t="n"/>
      <c r="F197" s="20" t="n"/>
    </row>
    <row r="198">
      <c r="A198" s="32" t="n"/>
      <c r="B198" s="20" t="n"/>
      <c r="C198" s="20" t="n"/>
      <c r="D198" s="34" t="n"/>
      <c r="E198" s="20" t="n"/>
      <c r="F198" s="20" t="n"/>
    </row>
    <row r="199">
      <c r="A199" s="32" t="n"/>
      <c r="B199" s="20" t="n"/>
      <c r="C199" s="20" t="n"/>
      <c r="D199" s="34" t="n"/>
      <c r="E199" s="20" t="n"/>
      <c r="F199" s="20" t="n"/>
    </row>
    <row r="200">
      <c r="A200" s="32" t="n"/>
      <c r="B200" s="20" t="n"/>
      <c r="C200" s="20" t="n"/>
      <c r="D200" s="34" t="n"/>
      <c r="E200" s="20" t="n"/>
      <c r="F200" s="20" t="n"/>
    </row>
    <row r="201">
      <c r="A201" s="32" t="n"/>
      <c r="B201" s="20" t="n"/>
      <c r="C201" s="20" t="n"/>
      <c r="D201" s="34" t="n"/>
      <c r="E201" s="20" t="n"/>
      <c r="F201" s="20" t="n"/>
    </row>
    <row r="202">
      <c r="A202" s="32" t="n"/>
      <c r="B202" s="20" t="n"/>
      <c r="C202" s="20" t="n"/>
      <c r="D202" s="34" t="n"/>
      <c r="E202" s="20" t="n"/>
      <c r="F202" s="20" t="n"/>
    </row>
  </sheetData>
  <dataValidations count="2">
    <dataValidation sqref="C3:C202" showDropDown="0" showInputMessage="0" showErrorMessage="0" allowBlank="1" type="list">
      <formula1>=Setup!$B$13:$B$20</formula1>
    </dataValidation>
    <dataValidation sqref="E3:E202" showDropDown="0" showInputMessage="0" showErrorMessage="0" allowBlank="1" type="list">
      <formula1>"CC,ND,WQ,DP,CO,OT"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50" customWidth="1" min="3" max="3"/>
    <col width="10" customWidth="1" min="4" max="4"/>
    <col width="40" customWidth="1" min="5" max="5"/>
    <col width="10" customWidth="1" min="6" max="6"/>
  </cols>
  <sheetData>
    <row r="1">
      <c r="A1" s="31" t="inlineStr">
        <is>
          <t>Log 4 · Complaints and errors   |   Cause: AM PG SB PO CU OT · Status: O Open, C Closed</t>
        </is>
      </c>
    </row>
    <row r="2" ht="32" customHeight="1">
      <c r="A2" s="15" t="inlineStr">
        <is>
          <t>Date</t>
        </is>
      </c>
      <c r="B2" s="15" t="inlineStr">
        <is>
          <t>Agent</t>
        </is>
      </c>
      <c r="C2" s="15" t="inlineStr">
        <is>
          <t>What happened</t>
        </is>
      </c>
      <c r="D2" s="15" t="inlineStr">
        <is>
          <t>Cause code</t>
        </is>
      </c>
      <c r="E2" s="15" t="inlineStr">
        <is>
          <t>How it was fixed</t>
        </is>
      </c>
      <c r="F2" s="15" t="inlineStr">
        <is>
          <t>Status</t>
        </is>
      </c>
    </row>
    <row r="3">
      <c r="A3" s="32" t="n"/>
      <c r="B3" s="20" t="n"/>
      <c r="C3" s="20" t="n"/>
      <c r="D3" s="20" t="n"/>
      <c r="E3" s="20" t="n"/>
      <c r="F3" s="20" t="n"/>
    </row>
    <row r="4">
      <c r="A4" s="32" t="n"/>
      <c r="B4" s="20" t="n"/>
      <c r="C4" s="20" t="n"/>
      <c r="D4" s="20" t="n"/>
      <c r="E4" s="20" t="n"/>
      <c r="F4" s="20" t="n"/>
    </row>
    <row r="5">
      <c r="A5" s="32" t="n"/>
      <c r="B5" s="20" t="n"/>
      <c r="C5" s="20" t="n"/>
      <c r="D5" s="20" t="n"/>
      <c r="E5" s="20" t="n"/>
      <c r="F5" s="20" t="n"/>
    </row>
    <row r="6">
      <c r="A6" s="32" t="n"/>
      <c r="B6" s="20" t="n"/>
      <c r="C6" s="20" t="n"/>
      <c r="D6" s="20" t="n"/>
      <c r="E6" s="20" t="n"/>
      <c r="F6" s="20" t="n"/>
    </row>
    <row r="7">
      <c r="A7" s="32" t="n"/>
      <c r="B7" s="20" t="n"/>
      <c r="C7" s="20" t="n"/>
      <c r="D7" s="20" t="n"/>
      <c r="E7" s="20" t="n"/>
      <c r="F7" s="20" t="n"/>
    </row>
    <row r="8">
      <c r="A8" s="32" t="n"/>
      <c r="B8" s="20" t="n"/>
      <c r="C8" s="20" t="n"/>
      <c r="D8" s="20" t="n"/>
      <c r="E8" s="20" t="n"/>
      <c r="F8" s="20" t="n"/>
    </row>
    <row r="9">
      <c r="A9" s="32" t="n"/>
      <c r="B9" s="20" t="n"/>
      <c r="C9" s="20" t="n"/>
      <c r="D9" s="20" t="n"/>
      <c r="E9" s="20" t="n"/>
      <c r="F9" s="20" t="n"/>
    </row>
    <row r="10">
      <c r="A10" s="32" t="n"/>
      <c r="B10" s="20" t="n"/>
      <c r="C10" s="20" t="n"/>
      <c r="D10" s="20" t="n"/>
      <c r="E10" s="20" t="n"/>
      <c r="F10" s="20" t="n"/>
    </row>
    <row r="11">
      <c r="A11" s="32" t="n"/>
      <c r="B11" s="20" t="n"/>
      <c r="C11" s="20" t="n"/>
      <c r="D11" s="20" t="n"/>
      <c r="E11" s="20" t="n"/>
      <c r="F11" s="20" t="n"/>
    </row>
    <row r="12">
      <c r="A12" s="32" t="n"/>
      <c r="B12" s="20" t="n"/>
      <c r="C12" s="20" t="n"/>
      <c r="D12" s="20" t="n"/>
      <c r="E12" s="20" t="n"/>
      <c r="F12" s="20" t="n"/>
    </row>
    <row r="13">
      <c r="A13" s="32" t="n"/>
      <c r="B13" s="20" t="n"/>
      <c r="C13" s="20" t="n"/>
      <c r="D13" s="20" t="n"/>
      <c r="E13" s="20" t="n"/>
      <c r="F13" s="20" t="n"/>
    </row>
    <row r="14">
      <c r="A14" s="32" t="n"/>
      <c r="B14" s="20" t="n"/>
      <c r="C14" s="20" t="n"/>
      <c r="D14" s="20" t="n"/>
      <c r="E14" s="20" t="n"/>
      <c r="F14" s="20" t="n"/>
    </row>
    <row r="15">
      <c r="A15" s="32" t="n"/>
      <c r="B15" s="20" t="n"/>
      <c r="C15" s="20" t="n"/>
      <c r="D15" s="20" t="n"/>
      <c r="E15" s="20" t="n"/>
      <c r="F15" s="20" t="n"/>
    </row>
    <row r="16">
      <c r="A16" s="32" t="n"/>
      <c r="B16" s="20" t="n"/>
      <c r="C16" s="20" t="n"/>
      <c r="D16" s="20" t="n"/>
      <c r="E16" s="20" t="n"/>
      <c r="F16" s="20" t="n"/>
    </row>
    <row r="17">
      <c r="A17" s="32" t="n"/>
      <c r="B17" s="20" t="n"/>
      <c r="C17" s="20" t="n"/>
      <c r="D17" s="20" t="n"/>
      <c r="E17" s="20" t="n"/>
      <c r="F17" s="20" t="n"/>
    </row>
    <row r="18">
      <c r="A18" s="32" t="n"/>
      <c r="B18" s="20" t="n"/>
      <c r="C18" s="20" t="n"/>
      <c r="D18" s="20" t="n"/>
      <c r="E18" s="20" t="n"/>
      <c r="F18" s="20" t="n"/>
    </row>
    <row r="19">
      <c r="A19" s="32" t="n"/>
      <c r="B19" s="20" t="n"/>
      <c r="C19" s="20" t="n"/>
      <c r="D19" s="20" t="n"/>
      <c r="E19" s="20" t="n"/>
      <c r="F19" s="20" t="n"/>
    </row>
    <row r="20">
      <c r="A20" s="32" t="n"/>
      <c r="B20" s="20" t="n"/>
      <c r="C20" s="20" t="n"/>
      <c r="D20" s="20" t="n"/>
      <c r="E20" s="20" t="n"/>
      <c r="F20" s="20" t="n"/>
    </row>
    <row r="21">
      <c r="A21" s="32" t="n"/>
      <c r="B21" s="20" t="n"/>
      <c r="C21" s="20" t="n"/>
      <c r="D21" s="20" t="n"/>
      <c r="E21" s="20" t="n"/>
      <c r="F21" s="20" t="n"/>
    </row>
    <row r="22">
      <c r="A22" s="32" t="n"/>
      <c r="B22" s="20" t="n"/>
      <c r="C22" s="20" t="n"/>
      <c r="D22" s="20" t="n"/>
      <c r="E22" s="20" t="n"/>
      <c r="F22" s="20" t="n"/>
    </row>
    <row r="23">
      <c r="A23" s="32" t="n"/>
      <c r="B23" s="20" t="n"/>
      <c r="C23" s="20" t="n"/>
      <c r="D23" s="20" t="n"/>
      <c r="E23" s="20" t="n"/>
      <c r="F23" s="20" t="n"/>
    </row>
    <row r="24">
      <c r="A24" s="32" t="n"/>
      <c r="B24" s="20" t="n"/>
      <c r="C24" s="20" t="n"/>
      <c r="D24" s="20" t="n"/>
      <c r="E24" s="20" t="n"/>
      <c r="F24" s="20" t="n"/>
    </row>
    <row r="25">
      <c r="A25" s="32" t="n"/>
      <c r="B25" s="20" t="n"/>
      <c r="C25" s="20" t="n"/>
      <c r="D25" s="20" t="n"/>
      <c r="E25" s="20" t="n"/>
      <c r="F25" s="20" t="n"/>
    </row>
    <row r="26">
      <c r="A26" s="32" t="n"/>
      <c r="B26" s="20" t="n"/>
      <c r="C26" s="20" t="n"/>
      <c r="D26" s="20" t="n"/>
      <c r="E26" s="20" t="n"/>
      <c r="F26" s="20" t="n"/>
    </row>
    <row r="27">
      <c r="A27" s="32" t="n"/>
      <c r="B27" s="20" t="n"/>
      <c r="C27" s="20" t="n"/>
      <c r="D27" s="20" t="n"/>
      <c r="E27" s="20" t="n"/>
      <c r="F27" s="20" t="n"/>
    </row>
    <row r="28">
      <c r="A28" s="32" t="n"/>
      <c r="B28" s="20" t="n"/>
      <c r="C28" s="20" t="n"/>
      <c r="D28" s="20" t="n"/>
      <c r="E28" s="20" t="n"/>
      <c r="F28" s="20" t="n"/>
    </row>
    <row r="29">
      <c r="A29" s="32" t="n"/>
      <c r="B29" s="20" t="n"/>
      <c r="C29" s="20" t="n"/>
      <c r="D29" s="20" t="n"/>
      <c r="E29" s="20" t="n"/>
      <c r="F29" s="20" t="n"/>
    </row>
    <row r="30">
      <c r="A30" s="32" t="n"/>
      <c r="B30" s="20" t="n"/>
      <c r="C30" s="20" t="n"/>
      <c r="D30" s="20" t="n"/>
      <c r="E30" s="20" t="n"/>
      <c r="F30" s="20" t="n"/>
    </row>
    <row r="31">
      <c r="A31" s="32" t="n"/>
      <c r="B31" s="20" t="n"/>
      <c r="C31" s="20" t="n"/>
      <c r="D31" s="20" t="n"/>
      <c r="E31" s="20" t="n"/>
      <c r="F31" s="20" t="n"/>
    </row>
    <row r="32">
      <c r="A32" s="32" t="n"/>
      <c r="B32" s="20" t="n"/>
      <c r="C32" s="20" t="n"/>
      <c r="D32" s="20" t="n"/>
      <c r="E32" s="20" t="n"/>
      <c r="F32" s="20" t="n"/>
    </row>
    <row r="33">
      <c r="A33" s="32" t="n"/>
      <c r="B33" s="20" t="n"/>
      <c r="C33" s="20" t="n"/>
      <c r="D33" s="20" t="n"/>
      <c r="E33" s="20" t="n"/>
      <c r="F33" s="20" t="n"/>
    </row>
    <row r="34">
      <c r="A34" s="32" t="n"/>
      <c r="B34" s="20" t="n"/>
      <c r="C34" s="20" t="n"/>
      <c r="D34" s="20" t="n"/>
      <c r="E34" s="20" t="n"/>
      <c r="F34" s="20" t="n"/>
    </row>
    <row r="35">
      <c r="A35" s="32" t="n"/>
      <c r="B35" s="20" t="n"/>
      <c r="C35" s="20" t="n"/>
      <c r="D35" s="20" t="n"/>
      <c r="E35" s="20" t="n"/>
      <c r="F35" s="20" t="n"/>
    </row>
    <row r="36">
      <c r="A36" s="32" t="n"/>
      <c r="B36" s="20" t="n"/>
      <c r="C36" s="20" t="n"/>
      <c r="D36" s="20" t="n"/>
      <c r="E36" s="20" t="n"/>
      <c r="F36" s="20" t="n"/>
    </row>
    <row r="37">
      <c r="A37" s="32" t="n"/>
      <c r="B37" s="20" t="n"/>
      <c r="C37" s="20" t="n"/>
      <c r="D37" s="20" t="n"/>
      <c r="E37" s="20" t="n"/>
      <c r="F37" s="20" t="n"/>
    </row>
    <row r="38">
      <c r="A38" s="32" t="n"/>
      <c r="B38" s="20" t="n"/>
      <c r="C38" s="20" t="n"/>
      <c r="D38" s="20" t="n"/>
      <c r="E38" s="20" t="n"/>
      <c r="F38" s="20" t="n"/>
    </row>
    <row r="39">
      <c r="A39" s="32" t="n"/>
      <c r="B39" s="20" t="n"/>
      <c r="C39" s="20" t="n"/>
      <c r="D39" s="20" t="n"/>
      <c r="E39" s="20" t="n"/>
      <c r="F39" s="20" t="n"/>
    </row>
    <row r="40">
      <c r="A40" s="32" t="n"/>
      <c r="B40" s="20" t="n"/>
      <c r="C40" s="20" t="n"/>
      <c r="D40" s="20" t="n"/>
      <c r="E40" s="20" t="n"/>
      <c r="F40" s="20" t="n"/>
    </row>
    <row r="41">
      <c r="A41" s="32" t="n"/>
      <c r="B41" s="20" t="n"/>
      <c r="C41" s="20" t="n"/>
      <c r="D41" s="20" t="n"/>
      <c r="E41" s="20" t="n"/>
      <c r="F41" s="20" t="n"/>
    </row>
    <row r="42">
      <c r="A42" s="32" t="n"/>
      <c r="B42" s="20" t="n"/>
      <c r="C42" s="20" t="n"/>
      <c r="D42" s="20" t="n"/>
      <c r="E42" s="20" t="n"/>
      <c r="F42" s="20" t="n"/>
    </row>
    <row r="43">
      <c r="A43" s="32" t="n"/>
      <c r="B43" s="20" t="n"/>
      <c r="C43" s="20" t="n"/>
      <c r="D43" s="20" t="n"/>
      <c r="E43" s="20" t="n"/>
      <c r="F43" s="20" t="n"/>
    </row>
    <row r="44">
      <c r="A44" s="32" t="n"/>
      <c r="B44" s="20" t="n"/>
      <c r="C44" s="20" t="n"/>
      <c r="D44" s="20" t="n"/>
      <c r="E44" s="20" t="n"/>
      <c r="F44" s="20" t="n"/>
    </row>
    <row r="45">
      <c r="A45" s="32" t="n"/>
      <c r="B45" s="20" t="n"/>
      <c r="C45" s="20" t="n"/>
      <c r="D45" s="20" t="n"/>
      <c r="E45" s="20" t="n"/>
      <c r="F45" s="20" t="n"/>
    </row>
    <row r="46">
      <c r="A46" s="32" t="n"/>
      <c r="B46" s="20" t="n"/>
      <c r="C46" s="20" t="n"/>
      <c r="D46" s="20" t="n"/>
      <c r="E46" s="20" t="n"/>
      <c r="F46" s="20" t="n"/>
    </row>
    <row r="47">
      <c r="A47" s="32" t="n"/>
      <c r="B47" s="20" t="n"/>
      <c r="C47" s="20" t="n"/>
      <c r="D47" s="20" t="n"/>
      <c r="E47" s="20" t="n"/>
      <c r="F47" s="20" t="n"/>
    </row>
    <row r="48">
      <c r="A48" s="32" t="n"/>
      <c r="B48" s="20" t="n"/>
      <c r="C48" s="20" t="n"/>
      <c r="D48" s="20" t="n"/>
      <c r="E48" s="20" t="n"/>
      <c r="F48" s="20" t="n"/>
    </row>
    <row r="49">
      <c r="A49" s="32" t="n"/>
      <c r="B49" s="20" t="n"/>
      <c r="C49" s="20" t="n"/>
      <c r="D49" s="20" t="n"/>
      <c r="E49" s="20" t="n"/>
      <c r="F49" s="20" t="n"/>
    </row>
    <row r="50">
      <c r="A50" s="32" t="n"/>
      <c r="B50" s="20" t="n"/>
      <c r="C50" s="20" t="n"/>
      <c r="D50" s="20" t="n"/>
      <c r="E50" s="20" t="n"/>
      <c r="F50" s="20" t="n"/>
    </row>
    <row r="51">
      <c r="A51" s="32" t="n"/>
      <c r="B51" s="20" t="n"/>
      <c r="C51" s="20" t="n"/>
      <c r="D51" s="20" t="n"/>
      <c r="E51" s="20" t="n"/>
      <c r="F51" s="20" t="n"/>
    </row>
    <row r="52">
      <c r="A52" s="32" t="n"/>
      <c r="B52" s="20" t="n"/>
      <c r="C52" s="20" t="n"/>
      <c r="D52" s="20" t="n"/>
      <c r="E52" s="20" t="n"/>
      <c r="F52" s="20" t="n"/>
    </row>
    <row r="53">
      <c r="A53" s="32" t="n"/>
      <c r="B53" s="20" t="n"/>
      <c r="C53" s="20" t="n"/>
      <c r="D53" s="20" t="n"/>
      <c r="E53" s="20" t="n"/>
      <c r="F53" s="20" t="n"/>
    </row>
    <row r="54">
      <c r="A54" s="32" t="n"/>
      <c r="B54" s="20" t="n"/>
      <c r="C54" s="20" t="n"/>
      <c r="D54" s="20" t="n"/>
      <c r="E54" s="20" t="n"/>
      <c r="F54" s="20" t="n"/>
    </row>
    <row r="55">
      <c r="A55" s="32" t="n"/>
      <c r="B55" s="20" t="n"/>
      <c r="C55" s="20" t="n"/>
      <c r="D55" s="20" t="n"/>
      <c r="E55" s="20" t="n"/>
      <c r="F55" s="20" t="n"/>
    </row>
    <row r="56">
      <c r="A56" s="32" t="n"/>
      <c r="B56" s="20" t="n"/>
      <c r="C56" s="20" t="n"/>
      <c r="D56" s="20" t="n"/>
      <c r="E56" s="20" t="n"/>
      <c r="F56" s="20" t="n"/>
    </row>
    <row r="57">
      <c r="A57" s="32" t="n"/>
      <c r="B57" s="20" t="n"/>
      <c r="C57" s="20" t="n"/>
      <c r="D57" s="20" t="n"/>
      <c r="E57" s="20" t="n"/>
      <c r="F57" s="20" t="n"/>
    </row>
    <row r="58">
      <c r="A58" s="32" t="n"/>
      <c r="B58" s="20" t="n"/>
      <c r="C58" s="20" t="n"/>
      <c r="D58" s="20" t="n"/>
      <c r="E58" s="20" t="n"/>
      <c r="F58" s="20" t="n"/>
    </row>
    <row r="59">
      <c r="A59" s="32" t="n"/>
      <c r="B59" s="20" t="n"/>
      <c r="C59" s="20" t="n"/>
      <c r="D59" s="20" t="n"/>
      <c r="E59" s="20" t="n"/>
      <c r="F59" s="20" t="n"/>
    </row>
    <row r="60">
      <c r="A60" s="32" t="n"/>
      <c r="B60" s="20" t="n"/>
      <c r="C60" s="20" t="n"/>
      <c r="D60" s="20" t="n"/>
      <c r="E60" s="20" t="n"/>
      <c r="F60" s="20" t="n"/>
    </row>
    <row r="61">
      <c r="A61" s="32" t="n"/>
      <c r="B61" s="20" t="n"/>
      <c r="C61" s="20" t="n"/>
      <c r="D61" s="20" t="n"/>
      <c r="E61" s="20" t="n"/>
      <c r="F61" s="20" t="n"/>
    </row>
    <row r="62">
      <c r="A62" s="32" t="n"/>
      <c r="B62" s="20" t="n"/>
      <c r="C62" s="20" t="n"/>
      <c r="D62" s="20" t="n"/>
      <c r="E62" s="20" t="n"/>
      <c r="F62" s="20" t="n"/>
    </row>
    <row r="63">
      <c r="A63" s="32" t="n"/>
      <c r="B63" s="20" t="n"/>
      <c r="C63" s="20" t="n"/>
      <c r="D63" s="20" t="n"/>
      <c r="E63" s="20" t="n"/>
      <c r="F63" s="20" t="n"/>
    </row>
    <row r="64">
      <c r="A64" s="32" t="n"/>
      <c r="B64" s="20" t="n"/>
      <c r="C64" s="20" t="n"/>
      <c r="D64" s="20" t="n"/>
      <c r="E64" s="20" t="n"/>
      <c r="F64" s="20" t="n"/>
    </row>
    <row r="65">
      <c r="A65" s="32" t="n"/>
      <c r="B65" s="20" t="n"/>
      <c r="C65" s="20" t="n"/>
      <c r="D65" s="20" t="n"/>
      <c r="E65" s="20" t="n"/>
      <c r="F65" s="20" t="n"/>
    </row>
    <row r="66">
      <c r="A66" s="32" t="n"/>
      <c r="B66" s="20" t="n"/>
      <c r="C66" s="20" t="n"/>
      <c r="D66" s="20" t="n"/>
      <c r="E66" s="20" t="n"/>
      <c r="F66" s="20" t="n"/>
    </row>
    <row r="67">
      <c r="A67" s="32" t="n"/>
      <c r="B67" s="20" t="n"/>
      <c r="C67" s="20" t="n"/>
      <c r="D67" s="20" t="n"/>
      <c r="E67" s="20" t="n"/>
      <c r="F67" s="20" t="n"/>
    </row>
    <row r="68">
      <c r="A68" s="32" t="n"/>
      <c r="B68" s="20" t="n"/>
      <c r="C68" s="20" t="n"/>
      <c r="D68" s="20" t="n"/>
      <c r="E68" s="20" t="n"/>
      <c r="F68" s="20" t="n"/>
    </row>
    <row r="69">
      <c r="A69" s="32" t="n"/>
      <c r="B69" s="20" t="n"/>
      <c r="C69" s="20" t="n"/>
      <c r="D69" s="20" t="n"/>
      <c r="E69" s="20" t="n"/>
      <c r="F69" s="20" t="n"/>
    </row>
    <row r="70">
      <c r="A70" s="32" t="n"/>
      <c r="B70" s="20" t="n"/>
      <c r="C70" s="20" t="n"/>
      <c r="D70" s="20" t="n"/>
      <c r="E70" s="20" t="n"/>
      <c r="F70" s="20" t="n"/>
    </row>
    <row r="71">
      <c r="A71" s="32" t="n"/>
      <c r="B71" s="20" t="n"/>
      <c r="C71" s="20" t="n"/>
      <c r="D71" s="20" t="n"/>
      <c r="E71" s="20" t="n"/>
      <c r="F71" s="20" t="n"/>
    </row>
    <row r="72">
      <c r="A72" s="32" t="n"/>
      <c r="B72" s="20" t="n"/>
      <c r="C72" s="20" t="n"/>
      <c r="D72" s="20" t="n"/>
      <c r="E72" s="20" t="n"/>
      <c r="F72" s="20" t="n"/>
    </row>
    <row r="73">
      <c r="A73" s="32" t="n"/>
      <c r="B73" s="20" t="n"/>
      <c r="C73" s="20" t="n"/>
      <c r="D73" s="20" t="n"/>
      <c r="E73" s="20" t="n"/>
      <c r="F73" s="20" t="n"/>
    </row>
    <row r="74">
      <c r="A74" s="32" t="n"/>
      <c r="B74" s="20" t="n"/>
      <c r="C74" s="20" t="n"/>
      <c r="D74" s="20" t="n"/>
      <c r="E74" s="20" t="n"/>
      <c r="F74" s="20" t="n"/>
    </row>
    <row r="75">
      <c r="A75" s="32" t="n"/>
      <c r="B75" s="20" t="n"/>
      <c r="C75" s="20" t="n"/>
      <c r="D75" s="20" t="n"/>
      <c r="E75" s="20" t="n"/>
      <c r="F75" s="20" t="n"/>
    </row>
    <row r="76">
      <c r="A76" s="32" t="n"/>
      <c r="B76" s="20" t="n"/>
      <c r="C76" s="20" t="n"/>
      <c r="D76" s="20" t="n"/>
      <c r="E76" s="20" t="n"/>
      <c r="F76" s="20" t="n"/>
    </row>
    <row r="77">
      <c r="A77" s="32" t="n"/>
      <c r="B77" s="20" t="n"/>
      <c r="C77" s="20" t="n"/>
      <c r="D77" s="20" t="n"/>
      <c r="E77" s="20" t="n"/>
      <c r="F77" s="20" t="n"/>
    </row>
    <row r="78">
      <c r="A78" s="32" t="n"/>
      <c r="B78" s="20" t="n"/>
      <c r="C78" s="20" t="n"/>
      <c r="D78" s="20" t="n"/>
      <c r="E78" s="20" t="n"/>
      <c r="F78" s="20" t="n"/>
    </row>
    <row r="79">
      <c r="A79" s="32" t="n"/>
      <c r="B79" s="20" t="n"/>
      <c r="C79" s="20" t="n"/>
      <c r="D79" s="20" t="n"/>
      <c r="E79" s="20" t="n"/>
      <c r="F79" s="20" t="n"/>
    </row>
    <row r="80">
      <c r="A80" s="32" t="n"/>
      <c r="B80" s="20" t="n"/>
      <c r="C80" s="20" t="n"/>
      <c r="D80" s="20" t="n"/>
      <c r="E80" s="20" t="n"/>
      <c r="F80" s="20" t="n"/>
    </row>
    <row r="81">
      <c r="A81" s="32" t="n"/>
      <c r="B81" s="20" t="n"/>
      <c r="C81" s="20" t="n"/>
      <c r="D81" s="20" t="n"/>
      <c r="E81" s="20" t="n"/>
      <c r="F81" s="20" t="n"/>
    </row>
    <row r="82">
      <c r="A82" s="32" t="n"/>
      <c r="B82" s="20" t="n"/>
      <c r="C82" s="20" t="n"/>
      <c r="D82" s="20" t="n"/>
      <c r="E82" s="20" t="n"/>
      <c r="F82" s="20" t="n"/>
    </row>
    <row r="83">
      <c r="A83" s="32" t="n"/>
      <c r="B83" s="20" t="n"/>
      <c r="C83" s="20" t="n"/>
      <c r="D83" s="20" t="n"/>
      <c r="E83" s="20" t="n"/>
      <c r="F83" s="20" t="n"/>
    </row>
    <row r="84">
      <c r="A84" s="32" t="n"/>
      <c r="B84" s="20" t="n"/>
      <c r="C84" s="20" t="n"/>
      <c r="D84" s="20" t="n"/>
      <c r="E84" s="20" t="n"/>
      <c r="F84" s="20" t="n"/>
    </row>
    <row r="85">
      <c r="A85" s="32" t="n"/>
      <c r="B85" s="20" t="n"/>
      <c r="C85" s="20" t="n"/>
      <c r="D85" s="20" t="n"/>
      <c r="E85" s="20" t="n"/>
      <c r="F85" s="20" t="n"/>
    </row>
    <row r="86">
      <c r="A86" s="32" t="n"/>
      <c r="B86" s="20" t="n"/>
      <c r="C86" s="20" t="n"/>
      <c r="D86" s="20" t="n"/>
      <c r="E86" s="20" t="n"/>
      <c r="F86" s="20" t="n"/>
    </row>
    <row r="87">
      <c r="A87" s="32" t="n"/>
      <c r="B87" s="20" t="n"/>
      <c r="C87" s="20" t="n"/>
      <c r="D87" s="20" t="n"/>
      <c r="E87" s="20" t="n"/>
      <c r="F87" s="20" t="n"/>
    </row>
    <row r="88">
      <c r="A88" s="32" t="n"/>
      <c r="B88" s="20" t="n"/>
      <c r="C88" s="20" t="n"/>
      <c r="D88" s="20" t="n"/>
      <c r="E88" s="20" t="n"/>
      <c r="F88" s="20" t="n"/>
    </row>
    <row r="89">
      <c r="A89" s="32" t="n"/>
      <c r="B89" s="20" t="n"/>
      <c r="C89" s="20" t="n"/>
      <c r="D89" s="20" t="n"/>
      <c r="E89" s="20" t="n"/>
      <c r="F89" s="20" t="n"/>
    </row>
    <row r="90">
      <c r="A90" s="32" t="n"/>
      <c r="B90" s="20" t="n"/>
      <c r="C90" s="20" t="n"/>
      <c r="D90" s="20" t="n"/>
      <c r="E90" s="20" t="n"/>
      <c r="F90" s="20" t="n"/>
    </row>
    <row r="91">
      <c r="A91" s="32" t="n"/>
      <c r="B91" s="20" t="n"/>
      <c r="C91" s="20" t="n"/>
      <c r="D91" s="20" t="n"/>
      <c r="E91" s="20" t="n"/>
      <c r="F91" s="20" t="n"/>
    </row>
    <row r="92">
      <c r="A92" s="32" t="n"/>
      <c r="B92" s="20" t="n"/>
      <c r="C92" s="20" t="n"/>
      <c r="D92" s="20" t="n"/>
      <c r="E92" s="20" t="n"/>
      <c r="F92" s="20" t="n"/>
    </row>
    <row r="93">
      <c r="A93" s="32" t="n"/>
      <c r="B93" s="20" t="n"/>
      <c r="C93" s="20" t="n"/>
      <c r="D93" s="20" t="n"/>
      <c r="E93" s="20" t="n"/>
      <c r="F93" s="20" t="n"/>
    </row>
    <row r="94">
      <c r="A94" s="32" t="n"/>
      <c r="B94" s="20" t="n"/>
      <c r="C94" s="20" t="n"/>
      <c r="D94" s="20" t="n"/>
      <c r="E94" s="20" t="n"/>
      <c r="F94" s="20" t="n"/>
    </row>
    <row r="95">
      <c r="A95" s="32" t="n"/>
      <c r="B95" s="20" t="n"/>
      <c r="C95" s="20" t="n"/>
      <c r="D95" s="20" t="n"/>
      <c r="E95" s="20" t="n"/>
      <c r="F95" s="20" t="n"/>
    </row>
    <row r="96">
      <c r="A96" s="32" t="n"/>
      <c r="B96" s="20" t="n"/>
      <c r="C96" s="20" t="n"/>
      <c r="D96" s="20" t="n"/>
      <c r="E96" s="20" t="n"/>
      <c r="F96" s="20" t="n"/>
    </row>
    <row r="97">
      <c r="A97" s="32" t="n"/>
      <c r="B97" s="20" t="n"/>
      <c r="C97" s="20" t="n"/>
      <c r="D97" s="20" t="n"/>
      <c r="E97" s="20" t="n"/>
      <c r="F97" s="20" t="n"/>
    </row>
    <row r="98">
      <c r="A98" s="32" t="n"/>
      <c r="B98" s="20" t="n"/>
      <c r="C98" s="20" t="n"/>
      <c r="D98" s="20" t="n"/>
      <c r="E98" s="20" t="n"/>
      <c r="F98" s="20" t="n"/>
    </row>
    <row r="99">
      <c r="A99" s="32" t="n"/>
      <c r="B99" s="20" t="n"/>
      <c r="C99" s="20" t="n"/>
      <c r="D99" s="20" t="n"/>
      <c r="E99" s="20" t="n"/>
      <c r="F99" s="20" t="n"/>
    </row>
    <row r="100">
      <c r="A100" s="32" t="n"/>
      <c r="B100" s="20" t="n"/>
      <c r="C100" s="20" t="n"/>
      <c r="D100" s="20" t="n"/>
      <c r="E100" s="20" t="n"/>
      <c r="F100" s="20" t="n"/>
    </row>
    <row r="101">
      <c r="A101" s="32" t="n"/>
      <c r="B101" s="20" t="n"/>
      <c r="C101" s="20" t="n"/>
      <c r="D101" s="20" t="n"/>
      <c r="E101" s="20" t="n"/>
      <c r="F101" s="20" t="n"/>
    </row>
    <row r="102">
      <c r="A102" s="32" t="n"/>
      <c r="B102" s="20" t="n"/>
      <c r="C102" s="20" t="n"/>
      <c r="D102" s="20" t="n"/>
      <c r="E102" s="20" t="n"/>
      <c r="F102" s="20" t="n"/>
    </row>
    <row r="103">
      <c r="A103" s="32" t="n"/>
      <c r="B103" s="20" t="n"/>
      <c r="C103" s="20" t="n"/>
      <c r="D103" s="20" t="n"/>
      <c r="E103" s="20" t="n"/>
      <c r="F103" s="20" t="n"/>
    </row>
    <row r="104">
      <c r="A104" s="32" t="n"/>
      <c r="B104" s="20" t="n"/>
      <c r="C104" s="20" t="n"/>
      <c r="D104" s="20" t="n"/>
      <c r="E104" s="20" t="n"/>
      <c r="F104" s="20" t="n"/>
    </row>
    <row r="105">
      <c r="A105" s="32" t="n"/>
      <c r="B105" s="20" t="n"/>
      <c r="C105" s="20" t="n"/>
      <c r="D105" s="20" t="n"/>
      <c r="E105" s="20" t="n"/>
      <c r="F105" s="20" t="n"/>
    </row>
    <row r="106">
      <c r="A106" s="32" t="n"/>
      <c r="B106" s="20" t="n"/>
      <c r="C106" s="20" t="n"/>
      <c r="D106" s="20" t="n"/>
      <c r="E106" s="20" t="n"/>
      <c r="F106" s="20" t="n"/>
    </row>
    <row r="107">
      <c r="A107" s="32" t="n"/>
      <c r="B107" s="20" t="n"/>
      <c r="C107" s="20" t="n"/>
      <c r="D107" s="20" t="n"/>
      <c r="E107" s="20" t="n"/>
      <c r="F107" s="20" t="n"/>
    </row>
    <row r="108">
      <c r="A108" s="32" t="n"/>
      <c r="B108" s="20" t="n"/>
      <c r="C108" s="20" t="n"/>
      <c r="D108" s="20" t="n"/>
      <c r="E108" s="20" t="n"/>
      <c r="F108" s="20" t="n"/>
    </row>
    <row r="109">
      <c r="A109" s="32" t="n"/>
      <c r="B109" s="20" t="n"/>
      <c r="C109" s="20" t="n"/>
      <c r="D109" s="20" t="n"/>
      <c r="E109" s="20" t="n"/>
      <c r="F109" s="20" t="n"/>
    </row>
    <row r="110">
      <c r="A110" s="32" t="n"/>
      <c r="B110" s="20" t="n"/>
      <c r="C110" s="20" t="n"/>
      <c r="D110" s="20" t="n"/>
      <c r="E110" s="20" t="n"/>
      <c r="F110" s="20" t="n"/>
    </row>
    <row r="111">
      <c r="A111" s="32" t="n"/>
      <c r="B111" s="20" t="n"/>
      <c r="C111" s="20" t="n"/>
      <c r="D111" s="20" t="n"/>
      <c r="E111" s="20" t="n"/>
      <c r="F111" s="20" t="n"/>
    </row>
    <row r="112">
      <c r="A112" s="32" t="n"/>
      <c r="B112" s="20" t="n"/>
      <c r="C112" s="20" t="n"/>
      <c r="D112" s="20" t="n"/>
      <c r="E112" s="20" t="n"/>
      <c r="F112" s="20" t="n"/>
    </row>
    <row r="113">
      <c r="A113" s="32" t="n"/>
      <c r="B113" s="20" t="n"/>
      <c r="C113" s="20" t="n"/>
      <c r="D113" s="20" t="n"/>
      <c r="E113" s="20" t="n"/>
      <c r="F113" s="20" t="n"/>
    </row>
    <row r="114">
      <c r="A114" s="32" t="n"/>
      <c r="B114" s="20" t="n"/>
      <c r="C114" s="20" t="n"/>
      <c r="D114" s="20" t="n"/>
      <c r="E114" s="20" t="n"/>
      <c r="F114" s="20" t="n"/>
    </row>
    <row r="115">
      <c r="A115" s="32" t="n"/>
      <c r="B115" s="20" t="n"/>
      <c r="C115" s="20" t="n"/>
      <c r="D115" s="20" t="n"/>
      <c r="E115" s="20" t="n"/>
      <c r="F115" s="20" t="n"/>
    </row>
    <row r="116">
      <c r="A116" s="32" t="n"/>
      <c r="B116" s="20" t="n"/>
      <c r="C116" s="20" t="n"/>
      <c r="D116" s="20" t="n"/>
      <c r="E116" s="20" t="n"/>
      <c r="F116" s="20" t="n"/>
    </row>
    <row r="117">
      <c r="A117" s="32" t="n"/>
      <c r="B117" s="20" t="n"/>
      <c r="C117" s="20" t="n"/>
      <c r="D117" s="20" t="n"/>
      <c r="E117" s="20" t="n"/>
      <c r="F117" s="20" t="n"/>
    </row>
    <row r="118">
      <c r="A118" s="32" t="n"/>
      <c r="B118" s="20" t="n"/>
      <c r="C118" s="20" t="n"/>
      <c r="D118" s="20" t="n"/>
      <c r="E118" s="20" t="n"/>
      <c r="F118" s="20" t="n"/>
    </row>
    <row r="119">
      <c r="A119" s="32" t="n"/>
      <c r="B119" s="20" t="n"/>
      <c r="C119" s="20" t="n"/>
      <c r="D119" s="20" t="n"/>
      <c r="E119" s="20" t="n"/>
      <c r="F119" s="20" t="n"/>
    </row>
    <row r="120">
      <c r="A120" s="32" t="n"/>
      <c r="B120" s="20" t="n"/>
      <c r="C120" s="20" t="n"/>
      <c r="D120" s="20" t="n"/>
      <c r="E120" s="20" t="n"/>
      <c r="F120" s="20" t="n"/>
    </row>
    <row r="121">
      <c r="A121" s="32" t="n"/>
      <c r="B121" s="20" t="n"/>
      <c r="C121" s="20" t="n"/>
      <c r="D121" s="20" t="n"/>
      <c r="E121" s="20" t="n"/>
      <c r="F121" s="20" t="n"/>
    </row>
    <row r="122">
      <c r="A122" s="32" t="n"/>
      <c r="B122" s="20" t="n"/>
      <c r="C122" s="20" t="n"/>
      <c r="D122" s="20" t="n"/>
      <c r="E122" s="20" t="n"/>
      <c r="F122" s="20" t="n"/>
    </row>
    <row r="123">
      <c r="A123" s="32" t="n"/>
      <c r="B123" s="20" t="n"/>
      <c r="C123" s="20" t="n"/>
      <c r="D123" s="20" t="n"/>
      <c r="E123" s="20" t="n"/>
      <c r="F123" s="20" t="n"/>
    </row>
    <row r="124">
      <c r="A124" s="32" t="n"/>
      <c r="B124" s="20" t="n"/>
      <c r="C124" s="20" t="n"/>
      <c r="D124" s="20" t="n"/>
      <c r="E124" s="20" t="n"/>
      <c r="F124" s="20" t="n"/>
    </row>
    <row r="125">
      <c r="A125" s="32" t="n"/>
      <c r="B125" s="20" t="n"/>
      <c r="C125" s="20" t="n"/>
      <c r="D125" s="20" t="n"/>
      <c r="E125" s="20" t="n"/>
      <c r="F125" s="20" t="n"/>
    </row>
    <row r="126">
      <c r="A126" s="32" t="n"/>
      <c r="B126" s="20" t="n"/>
      <c r="C126" s="20" t="n"/>
      <c r="D126" s="20" t="n"/>
      <c r="E126" s="20" t="n"/>
      <c r="F126" s="20" t="n"/>
    </row>
    <row r="127">
      <c r="A127" s="32" t="n"/>
      <c r="B127" s="20" t="n"/>
      <c r="C127" s="20" t="n"/>
      <c r="D127" s="20" t="n"/>
      <c r="E127" s="20" t="n"/>
      <c r="F127" s="20" t="n"/>
    </row>
    <row r="128">
      <c r="A128" s="32" t="n"/>
      <c r="B128" s="20" t="n"/>
      <c r="C128" s="20" t="n"/>
      <c r="D128" s="20" t="n"/>
      <c r="E128" s="20" t="n"/>
      <c r="F128" s="20" t="n"/>
    </row>
    <row r="129">
      <c r="A129" s="32" t="n"/>
      <c r="B129" s="20" t="n"/>
      <c r="C129" s="20" t="n"/>
      <c r="D129" s="20" t="n"/>
      <c r="E129" s="20" t="n"/>
      <c r="F129" s="20" t="n"/>
    </row>
    <row r="130">
      <c r="A130" s="32" t="n"/>
      <c r="B130" s="20" t="n"/>
      <c r="C130" s="20" t="n"/>
      <c r="D130" s="20" t="n"/>
      <c r="E130" s="20" t="n"/>
      <c r="F130" s="20" t="n"/>
    </row>
    <row r="131">
      <c r="A131" s="32" t="n"/>
      <c r="B131" s="20" t="n"/>
      <c r="C131" s="20" t="n"/>
      <c r="D131" s="20" t="n"/>
      <c r="E131" s="20" t="n"/>
      <c r="F131" s="20" t="n"/>
    </row>
    <row r="132">
      <c r="A132" s="32" t="n"/>
      <c r="B132" s="20" t="n"/>
      <c r="C132" s="20" t="n"/>
      <c r="D132" s="20" t="n"/>
      <c r="E132" s="20" t="n"/>
      <c r="F132" s="20" t="n"/>
    </row>
    <row r="133">
      <c r="A133" s="32" t="n"/>
      <c r="B133" s="20" t="n"/>
      <c r="C133" s="20" t="n"/>
      <c r="D133" s="20" t="n"/>
      <c r="E133" s="20" t="n"/>
      <c r="F133" s="20" t="n"/>
    </row>
    <row r="134">
      <c r="A134" s="32" t="n"/>
      <c r="B134" s="20" t="n"/>
      <c r="C134" s="20" t="n"/>
      <c r="D134" s="20" t="n"/>
      <c r="E134" s="20" t="n"/>
      <c r="F134" s="20" t="n"/>
    </row>
    <row r="135">
      <c r="A135" s="32" t="n"/>
      <c r="B135" s="20" t="n"/>
      <c r="C135" s="20" t="n"/>
      <c r="D135" s="20" t="n"/>
      <c r="E135" s="20" t="n"/>
      <c r="F135" s="20" t="n"/>
    </row>
    <row r="136">
      <c r="A136" s="32" t="n"/>
      <c r="B136" s="20" t="n"/>
      <c r="C136" s="20" t="n"/>
      <c r="D136" s="20" t="n"/>
      <c r="E136" s="20" t="n"/>
      <c r="F136" s="20" t="n"/>
    </row>
    <row r="137">
      <c r="A137" s="32" t="n"/>
      <c r="B137" s="20" t="n"/>
      <c r="C137" s="20" t="n"/>
      <c r="D137" s="20" t="n"/>
      <c r="E137" s="20" t="n"/>
      <c r="F137" s="20" t="n"/>
    </row>
    <row r="138">
      <c r="A138" s="32" t="n"/>
      <c r="B138" s="20" t="n"/>
      <c r="C138" s="20" t="n"/>
      <c r="D138" s="20" t="n"/>
      <c r="E138" s="20" t="n"/>
      <c r="F138" s="20" t="n"/>
    </row>
    <row r="139">
      <c r="A139" s="32" t="n"/>
      <c r="B139" s="20" t="n"/>
      <c r="C139" s="20" t="n"/>
      <c r="D139" s="20" t="n"/>
      <c r="E139" s="20" t="n"/>
      <c r="F139" s="20" t="n"/>
    </row>
    <row r="140">
      <c r="A140" s="32" t="n"/>
      <c r="B140" s="20" t="n"/>
      <c r="C140" s="20" t="n"/>
      <c r="D140" s="20" t="n"/>
      <c r="E140" s="20" t="n"/>
      <c r="F140" s="20" t="n"/>
    </row>
    <row r="141">
      <c r="A141" s="32" t="n"/>
      <c r="B141" s="20" t="n"/>
      <c r="C141" s="20" t="n"/>
      <c r="D141" s="20" t="n"/>
      <c r="E141" s="20" t="n"/>
      <c r="F141" s="20" t="n"/>
    </row>
    <row r="142">
      <c r="A142" s="32" t="n"/>
      <c r="B142" s="20" t="n"/>
      <c r="C142" s="20" t="n"/>
      <c r="D142" s="20" t="n"/>
      <c r="E142" s="20" t="n"/>
      <c r="F142" s="20" t="n"/>
    </row>
    <row r="143">
      <c r="A143" s="32" t="n"/>
      <c r="B143" s="20" t="n"/>
      <c r="C143" s="20" t="n"/>
      <c r="D143" s="20" t="n"/>
      <c r="E143" s="20" t="n"/>
      <c r="F143" s="20" t="n"/>
    </row>
    <row r="144">
      <c r="A144" s="32" t="n"/>
      <c r="B144" s="20" t="n"/>
      <c r="C144" s="20" t="n"/>
      <c r="D144" s="20" t="n"/>
      <c r="E144" s="20" t="n"/>
      <c r="F144" s="20" t="n"/>
    </row>
    <row r="145">
      <c r="A145" s="32" t="n"/>
      <c r="B145" s="20" t="n"/>
      <c r="C145" s="20" t="n"/>
      <c r="D145" s="20" t="n"/>
      <c r="E145" s="20" t="n"/>
      <c r="F145" s="20" t="n"/>
    </row>
    <row r="146">
      <c r="A146" s="32" t="n"/>
      <c r="B146" s="20" t="n"/>
      <c r="C146" s="20" t="n"/>
      <c r="D146" s="20" t="n"/>
      <c r="E146" s="20" t="n"/>
      <c r="F146" s="20" t="n"/>
    </row>
    <row r="147">
      <c r="A147" s="32" t="n"/>
      <c r="B147" s="20" t="n"/>
      <c r="C147" s="20" t="n"/>
      <c r="D147" s="20" t="n"/>
      <c r="E147" s="20" t="n"/>
      <c r="F147" s="20" t="n"/>
    </row>
    <row r="148">
      <c r="A148" s="32" t="n"/>
      <c r="B148" s="20" t="n"/>
      <c r="C148" s="20" t="n"/>
      <c r="D148" s="20" t="n"/>
      <c r="E148" s="20" t="n"/>
      <c r="F148" s="20" t="n"/>
    </row>
    <row r="149">
      <c r="A149" s="32" t="n"/>
      <c r="B149" s="20" t="n"/>
      <c r="C149" s="20" t="n"/>
      <c r="D149" s="20" t="n"/>
      <c r="E149" s="20" t="n"/>
      <c r="F149" s="20" t="n"/>
    </row>
    <row r="150">
      <c r="A150" s="32" t="n"/>
      <c r="B150" s="20" t="n"/>
      <c r="C150" s="20" t="n"/>
      <c r="D150" s="20" t="n"/>
      <c r="E150" s="20" t="n"/>
      <c r="F150" s="20" t="n"/>
    </row>
    <row r="151">
      <c r="A151" s="32" t="n"/>
      <c r="B151" s="20" t="n"/>
      <c r="C151" s="20" t="n"/>
      <c r="D151" s="20" t="n"/>
      <c r="E151" s="20" t="n"/>
      <c r="F151" s="20" t="n"/>
    </row>
    <row r="152">
      <c r="A152" s="32" t="n"/>
      <c r="B152" s="20" t="n"/>
      <c r="C152" s="20" t="n"/>
      <c r="D152" s="20" t="n"/>
      <c r="E152" s="20" t="n"/>
      <c r="F152" s="20" t="n"/>
    </row>
    <row r="153">
      <c r="A153" s="32" t="n"/>
      <c r="B153" s="20" t="n"/>
      <c r="C153" s="20" t="n"/>
      <c r="D153" s="20" t="n"/>
      <c r="E153" s="20" t="n"/>
      <c r="F153" s="20" t="n"/>
    </row>
    <row r="154">
      <c r="A154" s="32" t="n"/>
      <c r="B154" s="20" t="n"/>
      <c r="C154" s="20" t="n"/>
      <c r="D154" s="20" t="n"/>
      <c r="E154" s="20" t="n"/>
      <c r="F154" s="20" t="n"/>
    </row>
    <row r="155">
      <c r="A155" s="32" t="n"/>
      <c r="B155" s="20" t="n"/>
      <c r="C155" s="20" t="n"/>
      <c r="D155" s="20" t="n"/>
      <c r="E155" s="20" t="n"/>
      <c r="F155" s="20" t="n"/>
    </row>
    <row r="156">
      <c r="A156" s="32" t="n"/>
      <c r="B156" s="20" t="n"/>
      <c r="C156" s="20" t="n"/>
      <c r="D156" s="20" t="n"/>
      <c r="E156" s="20" t="n"/>
      <c r="F156" s="20" t="n"/>
    </row>
    <row r="157">
      <c r="A157" s="32" t="n"/>
      <c r="B157" s="20" t="n"/>
      <c r="C157" s="20" t="n"/>
      <c r="D157" s="20" t="n"/>
      <c r="E157" s="20" t="n"/>
      <c r="F157" s="20" t="n"/>
    </row>
    <row r="158">
      <c r="A158" s="32" t="n"/>
      <c r="B158" s="20" t="n"/>
      <c r="C158" s="20" t="n"/>
      <c r="D158" s="20" t="n"/>
      <c r="E158" s="20" t="n"/>
      <c r="F158" s="20" t="n"/>
    </row>
    <row r="159">
      <c r="A159" s="32" t="n"/>
      <c r="B159" s="20" t="n"/>
      <c r="C159" s="20" t="n"/>
      <c r="D159" s="20" t="n"/>
      <c r="E159" s="20" t="n"/>
      <c r="F159" s="20" t="n"/>
    </row>
    <row r="160">
      <c r="A160" s="32" t="n"/>
      <c r="B160" s="20" t="n"/>
      <c r="C160" s="20" t="n"/>
      <c r="D160" s="20" t="n"/>
      <c r="E160" s="20" t="n"/>
      <c r="F160" s="20" t="n"/>
    </row>
    <row r="161">
      <c r="A161" s="32" t="n"/>
      <c r="B161" s="20" t="n"/>
      <c r="C161" s="20" t="n"/>
      <c r="D161" s="20" t="n"/>
      <c r="E161" s="20" t="n"/>
      <c r="F161" s="20" t="n"/>
    </row>
    <row r="162">
      <c r="A162" s="32" t="n"/>
      <c r="B162" s="20" t="n"/>
      <c r="C162" s="20" t="n"/>
      <c r="D162" s="20" t="n"/>
      <c r="E162" s="20" t="n"/>
      <c r="F162" s="20" t="n"/>
    </row>
    <row r="163">
      <c r="A163" s="32" t="n"/>
      <c r="B163" s="20" t="n"/>
      <c r="C163" s="20" t="n"/>
      <c r="D163" s="20" t="n"/>
      <c r="E163" s="20" t="n"/>
      <c r="F163" s="20" t="n"/>
    </row>
    <row r="164">
      <c r="A164" s="32" t="n"/>
      <c r="B164" s="20" t="n"/>
      <c r="C164" s="20" t="n"/>
      <c r="D164" s="20" t="n"/>
      <c r="E164" s="20" t="n"/>
      <c r="F164" s="20" t="n"/>
    </row>
    <row r="165">
      <c r="A165" s="32" t="n"/>
      <c r="B165" s="20" t="n"/>
      <c r="C165" s="20" t="n"/>
      <c r="D165" s="20" t="n"/>
      <c r="E165" s="20" t="n"/>
      <c r="F165" s="20" t="n"/>
    </row>
    <row r="166">
      <c r="A166" s="32" t="n"/>
      <c r="B166" s="20" t="n"/>
      <c r="C166" s="20" t="n"/>
      <c r="D166" s="20" t="n"/>
      <c r="E166" s="20" t="n"/>
      <c r="F166" s="20" t="n"/>
    </row>
    <row r="167">
      <c r="A167" s="32" t="n"/>
      <c r="B167" s="20" t="n"/>
      <c r="C167" s="20" t="n"/>
      <c r="D167" s="20" t="n"/>
      <c r="E167" s="20" t="n"/>
      <c r="F167" s="20" t="n"/>
    </row>
    <row r="168">
      <c r="A168" s="32" t="n"/>
      <c r="B168" s="20" t="n"/>
      <c r="C168" s="20" t="n"/>
      <c r="D168" s="20" t="n"/>
      <c r="E168" s="20" t="n"/>
      <c r="F168" s="20" t="n"/>
    </row>
    <row r="169">
      <c r="A169" s="32" t="n"/>
      <c r="B169" s="20" t="n"/>
      <c r="C169" s="20" t="n"/>
      <c r="D169" s="20" t="n"/>
      <c r="E169" s="20" t="n"/>
      <c r="F169" s="20" t="n"/>
    </row>
    <row r="170">
      <c r="A170" s="32" t="n"/>
      <c r="B170" s="20" t="n"/>
      <c r="C170" s="20" t="n"/>
      <c r="D170" s="20" t="n"/>
      <c r="E170" s="20" t="n"/>
      <c r="F170" s="20" t="n"/>
    </row>
    <row r="171">
      <c r="A171" s="32" t="n"/>
      <c r="B171" s="20" t="n"/>
      <c r="C171" s="20" t="n"/>
      <c r="D171" s="20" t="n"/>
      <c r="E171" s="20" t="n"/>
      <c r="F171" s="20" t="n"/>
    </row>
    <row r="172">
      <c r="A172" s="32" t="n"/>
      <c r="B172" s="20" t="n"/>
      <c r="C172" s="20" t="n"/>
      <c r="D172" s="20" t="n"/>
      <c r="E172" s="20" t="n"/>
      <c r="F172" s="20" t="n"/>
    </row>
    <row r="173">
      <c r="A173" s="32" t="n"/>
      <c r="B173" s="20" t="n"/>
      <c r="C173" s="20" t="n"/>
      <c r="D173" s="20" t="n"/>
      <c r="E173" s="20" t="n"/>
      <c r="F173" s="20" t="n"/>
    </row>
    <row r="174">
      <c r="A174" s="32" t="n"/>
      <c r="B174" s="20" t="n"/>
      <c r="C174" s="20" t="n"/>
      <c r="D174" s="20" t="n"/>
      <c r="E174" s="20" t="n"/>
      <c r="F174" s="20" t="n"/>
    </row>
    <row r="175">
      <c r="A175" s="32" t="n"/>
      <c r="B175" s="20" t="n"/>
      <c r="C175" s="20" t="n"/>
      <c r="D175" s="20" t="n"/>
      <c r="E175" s="20" t="n"/>
      <c r="F175" s="20" t="n"/>
    </row>
    <row r="176">
      <c r="A176" s="32" t="n"/>
      <c r="B176" s="20" t="n"/>
      <c r="C176" s="20" t="n"/>
      <c r="D176" s="20" t="n"/>
      <c r="E176" s="20" t="n"/>
      <c r="F176" s="20" t="n"/>
    </row>
    <row r="177">
      <c r="A177" s="32" t="n"/>
      <c r="B177" s="20" t="n"/>
      <c r="C177" s="20" t="n"/>
      <c r="D177" s="20" t="n"/>
      <c r="E177" s="20" t="n"/>
      <c r="F177" s="20" t="n"/>
    </row>
    <row r="178">
      <c r="A178" s="32" t="n"/>
      <c r="B178" s="20" t="n"/>
      <c r="C178" s="20" t="n"/>
      <c r="D178" s="20" t="n"/>
      <c r="E178" s="20" t="n"/>
      <c r="F178" s="20" t="n"/>
    </row>
    <row r="179">
      <c r="A179" s="32" t="n"/>
      <c r="B179" s="20" t="n"/>
      <c r="C179" s="20" t="n"/>
      <c r="D179" s="20" t="n"/>
      <c r="E179" s="20" t="n"/>
      <c r="F179" s="20" t="n"/>
    </row>
    <row r="180">
      <c r="A180" s="32" t="n"/>
      <c r="B180" s="20" t="n"/>
      <c r="C180" s="20" t="n"/>
      <c r="D180" s="20" t="n"/>
      <c r="E180" s="20" t="n"/>
      <c r="F180" s="20" t="n"/>
    </row>
    <row r="181">
      <c r="A181" s="32" t="n"/>
      <c r="B181" s="20" t="n"/>
      <c r="C181" s="20" t="n"/>
      <c r="D181" s="20" t="n"/>
      <c r="E181" s="20" t="n"/>
      <c r="F181" s="20" t="n"/>
    </row>
    <row r="182">
      <c r="A182" s="32" t="n"/>
      <c r="B182" s="20" t="n"/>
      <c r="C182" s="20" t="n"/>
      <c r="D182" s="20" t="n"/>
      <c r="E182" s="20" t="n"/>
      <c r="F182" s="20" t="n"/>
    </row>
    <row r="183">
      <c r="A183" s="32" t="n"/>
      <c r="B183" s="20" t="n"/>
      <c r="C183" s="20" t="n"/>
      <c r="D183" s="20" t="n"/>
      <c r="E183" s="20" t="n"/>
      <c r="F183" s="20" t="n"/>
    </row>
    <row r="184">
      <c r="A184" s="32" t="n"/>
      <c r="B184" s="20" t="n"/>
      <c r="C184" s="20" t="n"/>
      <c r="D184" s="20" t="n"/>
      <c r="E184" s="20" t="n"/>
      <c r="F184" s="20" t="n"/>
    </row>
    <row r="185">
      <c r="A185" s="32" t="n"/>
      <c r="B185" s="20" t="n"/>
      <c r="C185" s="20" t="n"/>
      <c r="D185" s="20" t="n"/>
      <c r="E185" s="20" t="n"/>
      <c r="F185" s="20" t="n"/>
    </row>
    <row r="186">
      <c r="A186" s="32" t="n"/>
      <c r="B186" s="20" t="n"/>
      <c r="C186" s="20" t="n"/>
      <c r="D186" s="20" t="n"/>
      <c r="E186" s="20" t="n"/>
      <c r="F186" s="20" t="n"/>
    </row>
    <row r="187">
      <c r="A187" s="32" t="n"/>
      <c r="B187" s="20" t="n"/>
      <c r="C187" s="20" t="n"/>
      <c r="D187" s="20" t="n"/>
      <c r="E187" s="20" t="n"/>
      <c r="F187" s="20" t="n"/>
    </row>
    <row r="188">
      <c r="A188" s="32" t="n"/>
      <c r="B188" s="20" t="n"/>
      <c r="C188" s="20" t="n"/>
      <c r="D188" s="20" t="n"/>
      <c r="E188" s="20" t="n"/>
      <c r="F188" s="20" t="n"/>
    </row>
    <row r="189">
      <c r="A189" s="32" t="n"/>
      <c r="B189" s="20" t="n"/>
      <c r="C189" s="20" t="n"/>
      <c r="D189" s="20" t="n"/>
      <c r="E189" s="20" t="n"/>
      <c r="F189" s="20" t="n"/>
    </row>
    <row r="190">
      <c r="A190" s="32" t="n"/>
      <c r="B190" s="20" t="n"/>
      <c r="C190" s="20" t="n"/>
      <c r="D190" s="20" t="n"/>
      <c r="E190" s="20" t="n"/>
      <c r="F190" s="20" t="n"/>
    </row>
    <row r="191">
      <c r="A191" s="32" t="n"/>
      <c r="B191" s="20" t="n"/>
      <c r="C191" s="20" t="n"/>
      <c r="D191" s="20" t="n"/>
      <c r="E191" s="20" t="n"/>
      <c r="F191" s="20" t="n"/>
    </row>
    <row r="192">
      <c r="A192" s="32" t="n"/>
      <c r="B192" s="20" t="n"/>
      <c r="C192" s="20" t="n"/>
      <c r="D192" s="20" t="n"/>
      <c r="E192" s="20" t="n"/>
      <c r="F192" s="20" t="n"/>
    </row>
    <row r="193">
      <c r="A193" s="32" t="n"/>
      <c r="B193" s="20" t="n"/>
      <c r="C193" s="20" t="n"/>
      <c r="D193" s="20" t="n"/>
      <c r="E193" s="20" t="n"/>
      <c r="F193" s="20" t="n"/>
    </row>
    <row r="194">
      <c r="A194" s="32" t="n"/>
      <c r="B194" s="20" t="n"/>
      <c r="C194" s="20" t="n"/>
      <c r="D194" s="20" t="n"/>
      <c r="E194" s="20" t="n"/>
      <c r="F194" s="20" t="n"/>
    </row>
    <row r="195">
      <c r="A195" s="32" t="n"/>
      <c r="B195" s="20" t="n"/>
      <c r="C195" s="20" t="n"/>
      <c r="D195" s="20" t="n"/>
      <c r="E195" s="20" t="n"/>
      <c r="F195" s="20" t="n"/>
    </row>
    <row r="196">
      <c r="A196" s="32" t="n"/>
      <c r="B196" s="20" t="n"/>
      <c r="C196" s="20" t="n"/>
      <c r="D196" s="20" t="n"/>
      <c r="E196" s="20" t="n"/>
      <c r="F196" s="20" t="n"/>
    </row>
    <row r="197">
      <c r="A197" s="32" t="n"/>
      <c r="B197" s="20" t="n"/>
      <c r="C197" s="20" t="n"/>
      <c r="D197" s="20" t="n"/>
      <c r="E197" s="20" t="n"/>
      <c r="F197" s="20" t="n"/>
    </row>
    <row r="198">
      <c r="A198" s="32" t="n"/>
      <c r="B198" s="20" t="n"/>
      <c r="C198" s="20" t="n"/>
      <c r="D198" s="20" t="n"/>
      <c r="E198" s="20" t="n"/>
      <c r="F198" s="20" t="n"/>
    </row>
    <row r="199">
      <c r="A199" s="32" t="n"/>
      <c r="B199" s="20" t="n"/>
      <c r="C199" s="20" t="n"/>
      <c r="D199" s="20" t="n"/>
      <c r="E199" s="20" t="n"/>
      <c r="F199" s="20" t="n"/>
    </row>
    <row r="200">
      <c r="A200" s="32" t="n"/>
      <c r="B200" s="20" t="n"/>
      <c r="C200" s="20" t="n"/>
      <c r="D200" s="20" t="n"/>
      <c r="E200" s="20" t="n"/>
      <c r="F200" s="20" t="n"/>
    </row>
    <row r="201">
      <c r="A201" s="32" t="n"/>
      <c r="B201" s="20" t="n"/>
      <c r="C201" s="20" t="n"/>
      <c r="D201" s="20" t="n"/>
      <c r="E201" s="20" t="n"/>
      <c r="F201" s="20" t="n"/>
    </row>
    <row r="202">
      <c r="A202" s="32" t="n"/>
      <c r="B202" s="20" t="n"/>
      <c r="C202" s="20" t="n"/>
      <c r="D202" s="20" t="n"/>
      <c r="E202" s="20" t="n"/>
      <c r="F202" s="20" t="n"/>
    </row>
  </sheetData>
  <dataValidations count="3">
    <dataValidation sqref="B3:B202" showDropDown="0" showInputMessage="0" showErrorMessage="0" allowBlank="1" type="list">
      <formula1>=Setup!$B$13:$B$20</formula1>
    </dataValidation>
    <dataValidation sqref="D3:D202" showDropDown="0" showInputMessage="0" showErrorMessage="0" allowBlank="1" type="list">
      <formula1>"AM,PG,SB,PO,CU,OT"</formula1>
    </dataValidation>
    <dataValidation sqref="F3:F202" showDropDown="0" showInputMessage="0" showErrorMessage="0" allowBlank="1" type="list">
      <formula1>"O,C"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2" customWidth="1" min="4" max="4"/>
    <col width="12" customWidth="1" min="5" max="5"/>
    <col width="10" customWidth="1" min="6" max="6"/>
    <col width="10" customWidth="1" min="7" max="7"/>
  </cols>
  <sheetData>
    <row r="1">
      <c r="A1" s="31" t="inlineStr">
        <is>
          <t>Log 5 · Discount requests   |   Write 0 in Approved % if rejected · Outcome: W Won, L Lost, O Open</t>
        </is>
      </c>
    </row>
    <row r="2" ht="32" customHeight="1">
      <c r="A2" s="15" t="inlineStr">
        <is>
          <t>Date</t>
        </is>
      </c>
      <c r="B2" s="15" t="inlineStr">
        <is>
          <t>Client name / Deal ID</t>
        </is>
      </c>
      <c r="C2" s="15" t="inlineStr">
        <is>
          <t>Agent</t>
        </is>
      </c>
      <c r="D2" s="15" t="inlineStr">
        <is>
          <t>Requested %</t>
        </is>
      </c>
      <c r="E2" s="15" t="inlineStr">
        <is>
          <t>Approved %</t>
        </is>
      </c>
      <c r="F2" s="15" t="inlineStr">
        <is>
          <t>Reason code</t>
        </is>
      </c>
      <c r="G2" s="15" t="inlineStr">
        <is>
          <t>Outcome</t>
        </is>
      </c>
    </row>
    <row r="3">
      <c r="A3" s="32" t="n"/>
      <c r="B3" s="20" t="n"/>
      <c r="C3" s="20" t="n"/>
      <c r="D3" s="20" t="n"/>
      <c r="E3" s="20" t="n"/>
      <c r="F3" s="20" t="n"/>
      <c r="G3" s="20" t="n"/>
    </row>
    <row r="4">
      <c r="A4" s="32" t="n"/>
      <c r="B4" s="20" t="n"/>
      <c r="C4" s="20" t="n"/>
      <c r="D4" s="20" t="n"/>
      <c r="E4" s="20" t="n"/>
      <c r="F4" s="20" t="n"/>
      <c r="G4" s="20" t="n"/>
    </row>
    <row r="5">
      <c r="A5" s="32" t="n"/>
      <c r="B5" s="20" t="n"/>
      <c r="C5" s="20" t="n"/>
      <c r="D5" s="20" t="n"/>
      <c r="E5" s="20" t="n"/>
      <c r="F5" s="20" t="n"/>
      <c r="G5" s="20" t="n"/>
    </row>
    <row r="6">
      <c r="A6" s="32" t="n"/>
      <c r="B6" s="20" t="n"/>
      <c r="C6" s="20" t="n"/>
      <c r="D6" s="20" t="n"/>
      <c r="E6" s="20" t="n"/>
      <c r="F6" s="20" t="n"/>
      <c r="G6" s="20" t="n"/>
    </row>
    <row r="7">
      <c r="A7" s="32" t="n"/>
      <c r="B7" s="20" t="n"/>
      <c r="C7" s="20" t="n"/>
      <c r="D7" s="20" t="n"/>
      <c r="E7" s="20" t="n"/>
      <c r="F7" s="20" t="n"/>
      <c r="G7" s="20" t="n"/>
    </row>
    <row r="8">
      <c r="A8" s="32" t="n"/>
      <c r="B8" s="20" t="n"/>
      <c r="C8" s="20" t="n"/>
      <c r="D8" s="20" t="n"/>
      <c r="E8" s="20" t="n"/>
      <c r="F8" s="20" t="n"/>
      <c r="G8" s="20" t="n"/>
    </row>
    <row r="9">
      <c r="A9" s="32" t="n"/>
      <c r="B9" s="20" t="n"/>
      <c r="C9" s="20" t="n"/>
      <c r="D9" s="20" t="n"/>
      <c r="E9" s="20" t="n"/>
      <c r="F9" s="20" t="n"/>
      <c r="G9" s="20" t="n"/>
    </row>
    <row r="10">
      <c r="A10" s="32" t="n"/>
      <c r="B10" s="20" t="n"/>
      <c r="C10" s="20" t="n"/>
      <c r="D10" s="20" t="n"/>
      <c r="E10" s="20" t="n"/>
      <c r="F10" s="20" t="n"/>
      <c r="G10" s="20" t="n"/>
    </row>
    <row r="11">
      <c r="A11" s="32" t="n"/>
      <c r="B11" s="20" t="n"/>
      <c r="C11" s="20" t="n"/>
      <c r="D11" s="20" t="n"/>
      <c r="E11" s="20" t="n"/>
      <c r="F11" s="20" t="n"/>
      <c r="G11" s="20" t="n"/>
    </row>
    <row r="12">
      <c r="A12" s="32" t="n"/>
      <c r="B12" s="20" t="n"/>
      <c r="C12" s="20" t="n"/>
      <c r="D12" s="20" t="n"/>
      <c r="E12" s="20" t="n"/>
      <c r="F12" s="20" t="n"/>
      <c r="G12" s="20" t="n"/>
    </row>
    <row r="13">
      <c r="A13" s="32" t="n"/>
      <c r="B13" s="20" t="n"/>
      <c r="C13" s="20" t="n"/>
      <c r="D13" s="20" t="n"/>
      <c r="E13" s="20" t="n"/>
      <c r="F13" s="20" t="n"/>
      <c r="G13" s="20" t="n"/>
    </row>
    <row r="14">
      <c r="A14" s="32" t="n"/>
      <c r="B14" s="20" t="n"/>
      <c r="C14" s="20" t="n"/>
      <c r="D14" s="20" t="n"/>
      <c r="E14" s="20" t="n"/>
      <c r="F14" s="20" t="n"/>
      <c r="G14" s="20" t="n"/>
    </row>
    <row r="15">
      <c r="A15" s="32" t="n"/>
      <c r="B15" s="20" t="n"/>
      <c r="C15" s="20" t="n"/>
      <c r="D15" s="20" t="n"/>
      <c r="E15" s="20" t="n"/>
      <c r="F15" s="20" t="n"/>
      <c r="G15" s="20" t="n"/>
    </row>
    <row r="16">
      <c r="A16" s="32" t="n"/>
      <c r="B16" s="20" t="n"/>
      <c r="C16" s="20" t="n"/>
      <c r="D16" s="20" t="n"/>
      <c r="E16" s="20" t="n"/>
      <c r="F16" s="20" t="n"/>
      <c r="G16" s="20" t="n"/>
    </row>
    <row r="17">
      <c r="A17" s="32" t="n"/>
      <c r="B17" s="20" t="n"/>
      <c r="C17" s="20" t="n"/>
      <c r="D17" s="20" t="n"/>
      <c r="E17" s="20" t="n"/>
      <c r="F17" s="20" t="n"/>
      <c r="G17" s="20" t="n"/>
    </row>
    <row r="18">
      <c r="A18" s="32" t="n"/>
      <c r="B18" s="20" t="n"/>
      <c r="C18" s="20" t="n"/>
      <c r="D18" s="20" t="n"/>
      <c r="E18" s="20" t="n"/>
      <c r="F18" s="20" t="n"/>
      <c r="G18" s="20" t="n"/>
    </row>
    <row r="19">
      <c r="A19" s="32" t="n"/>
      <c r="B19" s="20" t="n"/>
      <c r="C19" s="20" t="n"/>
      <c r="D19" s="20" t="n"/>
      <c r="E19" s="20" t="n"/>
      <c r="F19" s="20" t="n"/>
      <c r="G19" s="20" t="n"/>
    </row>
    <row r="20">
      <c r="A20" s="32" t="n"/>
      <c r="B20" s="20" t="n"/>
      <c r="C20" s="20" t="n"/>
      <c r="D20" s="20" t="n"/>
      <c r="E20" s="20" t="n"/>
      <c r="F20" s="20" t="n"/>
      <c r="G20" s="20" t="n"/>
    </row>
    <row r="21">
      <c r="A21" s="32" t="n"/>
      <c r="B21" s="20" t="n"/>
      <c r="C21" s="20" t="n"/>
      <c r="D21" s="20" t="n"/>
      <c r="E21" s="20" t="n"/>
      <c r="F21" s="20" t="n"/>
      <c r="G21" s="20" t="n"/>
    </row>
    <row r="22">
      <c r="A22" s="32" t="n"/>
      <c r="B22" s="20" t="n"/>
      <c r="C22" s="20" t="n"/>
      <c r="D22" s="20" t="n"/>
      <c r="E22" s="20" t="n"/>
      <c r="F22" s="20" t="n"/>
      <c r="G22" s="20" t="n"/>
    </row>
    <row r="23">
      <c r="A23" s="32" t="n"/>
      <c r="B23" s="20" t="n"/>
      <c r="C23" s="20" t="n"/>
      <c r="D23" s="20" t="n"/>
      <c r="E23" s="20" t="n"/>
      <c r="F23" s="20" t="n"/>
      <c r="G23" s="20" t="n"/>
    </row>
    <row r="24">
      <c r="A24" s="32" t="n"/>
      <c r="B24" s="20" t="n"/>
      <c r="C24" s="20" t="n"/>
      <c r="D24" s="20" t="n"/>
      <c r="E24" s="20" t="n"/>
      <c r="F24" s="20" t="n"/>
      <c r="G24" s="20" t="n"/>
    </row>
    <row r="25">
      <c r="A25" s="32" t="n"/>
      <c r="B25" s="20" t="n"/>
      <c r="C25" s="20" t="n"/>
      <c r="D25" s="20" t="n"/>
      <c r="E25" s="20" t="n"/>
      <c r="F25" s="20" t="n"/>
      <c r="G25" s="20" t="n"/>
    </row>
    <row r="26">
      <c r="A26" s="32" t="n"/>
      <c r="B26" s="20" t="n"/>
      <c r="C26" s="20" t="n"/>
      <c r="D26" s="20" t="n"/>
      <c r="E26" s="20" t="n"/>
      <c r="F26" s="20" t="n"/>
      <c r="G26" s="20" t="n"/>
    </row>
    <row r="27">
      <c r="A27" s="32" t="n"/>
      <c r="B27" s="20" t="n"/>
      <c r="C27" s="20" t="n"/>
      <c r="D27" s="20" t="n"/>
      <c r="E27" s="20" t="n"/>
      <c r="F27" s="20" t="n"/>
      <c r="G27" s="20" t="n"/>
    </row>
    <row r="28">
      <c r="A28" s="32" t="n"/>
      <c r="B28" s="20" t="n"/>
      <c r="C28" s="20" t="n"/>
      <c r="D28" s="20" t="n"/>
      <c r="E28" s="20" t="n"/>
      <c r="F28" s="20" t="n"/>
      <c r="G28" s="20" t="n"/>
    </row>
    <row r="29">
      <c r="A29" s="32" t="n"/>
      <c r="B29" s="20" t="n"/>
      <c r="C29" s="20" t="n"/>
      <c r="D29" s="20" t="n"/>
      <c r="E29" s="20" t="n"/>
      <c r="F29" s="20" t="n"/>
      <c r="G29" s="20" t="n"/>
    </row>
    <row r="30">
      <c r="A30" s="32" t="n"/>
      <c r="B30" s="20" t="n"/>
      <c r="C30" s="20" t="n"/>
      <c r="D30" s="20" t="n"/>
      <c r="E30" s="20" t="n"/>
      <c r="F30" s="20" t="n"/>
      <c r="G30" s="20" t="n"/>
    </row>
    <row r="31">
      <c r="A31" s="32" t="n"/>
      <c r="B31" s="20" t="n"/>
      <c r="C31" s="20" t="n"/>
      <c r="D31" s="20" t="n"/>
      <c r="E31" s="20" t="n"/>
      <c r="F31" s="20" t="n"/>
      <c r="G31" s="20" t="n"/>
    </row>
    <row r="32">
      <c r="A32" s="32" t="n"/>
      <c r="B32" s="20" t="n"/>
      <c r="C32" s="20" t="n"/>
      <c r="D32" s="20" t="n"/>
      <c r="E32" s="20" t="n"/>
      <c r="F32" s="20" t="n"/>
      <c r="G32" s="20" t="n"/>
    </row>
    <row r="33">
      <c r="A33" s="32" t="n"/>
      <c r="B33" s="20" t="n"/>
      <c r="C33" s="20" t="n"/>
      <c r="D33" s="20" t="n"/>
      <c r="E33" s="20" t="n"/>
      <c r="F33" s="20" t="n"/>
      <c r="G33" s="20" t="n"/>
    </row>
    <row r="34">
      <c r="A34" s="32" t="n"/>
      <c r="B34" s="20" t="n"/>
      <c r="C34" s="20" t="n"/>
      <c r="D34" s="20" t="n"/>
      <c r="E34" s="20" t="n"/>
      <c r="F34" s="20" t="n"/>
      <c r="G34" s="20" t="n"/>
    </row>
    <row r="35">
      <c r="A35" s="32" t="n"/>
      <c r="B35" s="20" t="n"/>
      <c r="C35" s="20" t="n"/>
      <c r="D35" s="20" t="n"/>
      <c r="E35" s="20" t="n"/>
      <c r="F35" s="20" t="n"/>
      <c r="G35" s="20" t="n"/>
    </row>
    <row r="36">
      <c r="A36" s="32" t="n"/>
      <c r="B36" s="20" t="n"/>
      <c r="C36" s="20" t="n"/>
      <c r="D36" s="20" t="n"/>
      <c r="E36" s="20" t="n"/>
      <c r="F36" s="20" t="n"/>
      <c r="G36" s="20" t="n"/>
    </row>
    <row r="37">
      <c r="A37" s="32" t="n"/>
      <c r="B37" s="20" t="n"/>
      <c r="C37" s="20" t="n"/>
      <c r="D37" s="20" t="n"/>
      <c r="E37" s="20" t="n"/>
      <c r="F37" s="20" t="n"/>
      <c r="G37" s="20" t="n"/>
    </row>
    <row r="38">
      <c r="A38" s="32" t="n"/>
      <c r="B38" s="20" t="n"/>
      <c r="C38" s="20" t="n"/>
      <c r="D38" s="20" t="n"/>
      <c r="E38" s="20" t="n"/>
      <c r="F38" s="20" t="n"/>
      <c r="G38" s="20" t="n"/>
    </row>
    <row r="39">
      <c r="A39" s="32" t="n"/>
      <c r="B39" s="20" t="n"/>
      <c r="C39" s="20" t="n"/>
      <c r="D39" s="20" t="n"/>
      <c r="E39" s="20" t="n"/>
      <c r="F39" s="20" t="n"/>
      <c r="G39" s="20" t="n"/>
    </row>
    <row r="40">
      <c r="A40" s="32" t="n"/>
      <c r="B40" s="20" t="n"/>
      <c r="C40" s="20" t="n"/>
      <c r="D40" s="20" t="n"/>
      <c r="E40" s="20" t="n"/>
      <c r="F40" s="20" t="n"/>
      <c r="G40" s="20" t="n"/>
    </row>
    <row r="41">
      <c r="A41" s="32" t="n"/>
      <c r="B41" s="20" t="n"/>
      <c r="C41" s="20" t="n"/>
      <c r="D41" s="20" t="n"/>
      <c r="E41" s="20" t="n"/>
      <c r="F41" s="20" t="n"/>
      <c r="G41" s="20" t="n"/>
    </row>
    <row r="42">
      <c r="A42" s="32" t="n"/>
      <c r="B42" s="20" t="n"/>
      <c r="C42" s="20" t="n"/>
      <c r="D42" s="20" t="n"/>
      <c r="E42" s="20" t="n"/>
      <c r="F42" s="20" t="n"/>
      <c r="G42" s="20" t="n"/>
    </row>
    <row r="43">
      <c r="A43" s="32" t="n"/>
      <c r="B43" s="20" t="n"/>
      <c r="C43" s="20" t="n"/>
      <c r="D43" s="20" t="n"/>
      <c r="E43" s="20" t="n"/>
      <c r="F43" s="20" t="n"/>
      <c r="G43" s="20" t="n"/>
    </row>
    <row r="44">
      <c r="A44" s="32" t="n"/>
      <c r="B44" s="20" t="n"/>
      <c r="C44" s="20" t="n"/>
      <c r="D44" s="20" t="n"/>
      <c r="E44" s="20" t="n"/>
      <c r="F44" s="20" t="n"/>
      <c r="G44" s="20" t="n"/>
    </row>
    <row r="45">
      <c r="A45" s="32" t="n"/>
      <c r="B45" s="20" t="n"/>
      <c r="C45" s="20" t="n"/>
      <c r="D45" s="20" t="n"/>
      <c r="E45" s="20" t="n"/>
      <c r="F45" s="20" t="n"/>
      <c r="G45" s="20" t="n"/>
    </row>
    <row r="46">
      <c r="A46" s="32" t="n"/>
      <c r="B46" s="20" t="n"/>
      <c r="C46" s="20" t="n"/>
      <c r="D46" s="20" t="n"/>
      <c r="E46" s="20" t="n"/>
      <c r="F46" s="20" t="n"/>
      <c r="G46" s="20" t="n"/>
    </row>
    <row r="47">
      <c r="A47" s="32" t="n"/>
      <c r="B47" s="20" t="n"/>
      <c r="C47" s="20" t="n"/>
      <c r="D47" s="20" t="n"/>
      <c r="E47" s="20" t="n"/>
      <c r="F47" s="20" t="n"/>
      <c r="G47" s="20" t="n"/>
    </row>
    <row r="48">
      <c r="A48" s="32" t="n"/>
      <c r="B48" s="20" t="n"/>
      <c r="C48" s="20" t="n"/>
      <c r="D48" s="20" t="n"/>
      <c r="E48" s="20" t="n"/>
      <c r="F48" s="20" t="n"/>
      <c r="G48" s="20" t="n"/>
    </row>
    <row r="49">
      <c r="A49" s="32" t="n"/>
      <c r="B49" s="20" t="n"/>
      <c r="C49" s="20" t="n"/>
      <c r="D49" s="20" t="n"/>
      <c r="E49" s="20" t="n"/>
      <c r="F49" s="20" t="n"/>
      <c r="G49" s="20" t="n"/>
    </row>
    <row r="50">
      <c r="A50" s="32" t="n"/>
      <c r="B50" s="20" t="n"/>
      <c r="C50" s="20" t="n"/>
      <c r="D50" s="20" t="n"/>
      <c r="E50" s="20" t="n"/>
      <c r="F50" s="20" t="n"/>
      <c r="G50" s="20" t="n"/>
    </row>
    <row r="51">
      <c r="A51" s="32" t="n"/>
      <c r="B51" s="20" t="n"/>
      <c r="C51" s="20" t="n"/>
      <c r="D51" s="20" t="n"/>
      <c r="E51" s="20" t="n"/>
      <c r="F51" s="20" t="n"/>
      <c r="G51" s="20" t="n"/>
    </row>
    <row r="52">
      <c r="A52" s="32" t="n"/>
      <c r="B52" s="20" t="n"/>
      <c r="C52" s="20" t="n"/>
      <c r="D52" s="20" t="n"/>
      <c r="E52" s="20" t="n"/>
      <c r="F52" s="20" t="n"/>
      <c r="G52" s="20" t="n"/>
    </row>
    <row r="53">
      <c r="A53" s="32" t="n"/>
      <c r="B53" s="20" t="n"/>
      <c r="C53" s="20" t="n"/>
      <c r="D53" s="20" t="n"/>
      <c r="E53" s="20" t="n"/>
      <c r="F53" s="20" t="n"/>
      <c r="G53" s="20" t="n"/>
    </row>
    <row r="54">
      <c r="A54" s="32" t="n"/>
      <c r="B54" s="20" t="n"/>
      <c r="C54" s="20" t="n"/>
      <c r="D54" s="20" t="n"/>
      <c r="E54" s="20" t="n"/>
      <c r="F54" s="20" t="n"/>
      <c r="G54" s="20" t="n"/>
    </row>
    <row r="55">
      <c r="A55" s="32" t="n"/>
      <c r="B55" s="20" t="n"/>
      <c r="C55" s="20" t="n"/>
      <c r="D55" s="20" t="n"/>
      <c r="E55" s="20" t="n"/>
      <c r="F55" s="20" t="n"/>
      <c r="G55" s="20" t="n"/>
    </row>
    <row r="56">
      <c r="A56" s="32" t="n"/>
      <c r="B56" s="20" t="n"/>
      <c r="C56" s="20" t="n"/>
      <c r="D56" s="20" t="n"/>
      <c r="E56" s="20" t="n"/>
      <c r="F56" s="20" t="n"/>
      <c r="G56" s="20" t="n"/>
    </row>
    <row r="57">
      <c r="A57" s="32" t="n"/>
      <c r="B57" s="20" t="n"/>
      <c r="C57" s="20" t="n"/>
      <c r="D57" s="20" t="n"/>
      <c r="E57" s="20" t="n"/>
      <c r="F57" s="20" t="n"/>
      <c r="G57" s="20" t="n"/>
    </row>
    <row r="58">
      <c r="A58" s="32" t="n"/>
      <c r="B58" s="20" t="n"/>
      <c r="C58" s="20" t="n"/>
      <c r="D58" s="20" t="n"/>
      <c r="E58" s="20" t="n"/>
      <c r="F58" s="20" t="n"/>
      <c r="G58" s="20" t="n"/>
    </row>
    <row r="59">
      <c r="A59" s="32" t="n"/>
      <c r="B59" s="20" t="n"/>
      <c r="C59" s="20" t="n"/>
      <c r="D59" s="20" t="n"/>
      <c r="E59" s="20" t="n"/>
      <c r="F59" s="20" t="n"/>
      <c r="G59" s="20" t="n"/>
    </row>
    <row r="60">
      <c r="A60" s="32" t="n"/>
      <c r="B60" s="20" t="n"/>
      <c r="C60" s="20" t="n"/>
      <c r="D60" s="20" t="n"/>
      <c r="E60" s="20" t="n"/>
      <c r="F60" s="20" t="n"/>
      <c r="G60" s="20" t="n"/>
    </row>
    <row r="61">
      <c r="A61" s="32" t="n"/>
      <c r="B61" s="20" t="n"/>
      <c r="C61" s="20" t="n"/>
      <c r="D61" s="20" t="n"/>
      <c r="E61" s="20" t="n"/>
      <c r="F61" s="20" t="n"/>
      <c r="G61" s="20" t="n"/>
    </row>
    <row r="62">
      <c r="A62" s="32" t="n"/>
      <c r="B62" s="20" t="n"/>
      <c r="C62" s="20" t="n"/>
      <c r="D62" s="20" t="n"/>
      <c r="E62" s="20" t="n"/>
      <c r="F62" s="20" t="n"/>
      <c r="G62" s="20" t="n"/>
    </row>
    <row r="63">
      <c r="A63" s="32" t="n"/>
      <c r="B63" s="20" t="n"/>
      <c r="C63" s="20" t="n"/>
      <c r="D63" s="20" t="n"/>
      <c r="E63" s="20" t="n"/>
      <c r="F63" s="20" t="n"/>
      <c r="G63" s="20" t="n"/>
    </row>
    <row r="64">
      <c r="A64" s="32" t="n"/>
      <c r="B64" s="20" t="n"/>
      <c r="C64" s="20" t="n"/>
      <c r="D64" s="20" t="n"/>
      <c r="E64" s="20" t="n"/>
      <c r="F64" s="20" t="n"/>
      <c r="G64" s="20" t="n"/>
    </row>
    <row r="65">
      <c r="A65" s="32" t="n"/>
      <c r="B65" s="20" t="n"/>
      <c r="C65" s="20" t="n"/>
      <c r="D65" s="20" t="n"/>
      <c r="E65" s="20" t="n"/>
      <c r="F65" s="20" t="n"/>
      <c r="G65" s="20" t="n"/>
    </row>
    <row r="66">
      <c r="A66" s="32" t="n"/>
      <c r="B66" s="20" t="n"/>
      <c r="C66" s="20" t="n"/>
      <c r="D66" s="20" t="n"/>
      <c r="E66" s="20" t="n"/>
      <c r="F66" s="20" t="n"/>
      <c r="G66" s="20" t="n"/>
    </row>
    <row r="67">
      <c r="A67" s="32" t="n"/>
      <c r="B67" s="20" t="n"/>
      <c r="C67" s="20" t="n"/>
      <c r="D67" s="20" t="n"/>
      <c r="E67" s="20" t="n"/>
      <c r="F67" s="20" t="n"/>
      <c r="G67" s="20" t="n"/>
    </row>
    <row r="68">
      <c r="A68" s="32" t="n"/>
      <c r="B68" s="20" t="n"/>
      <c r="C68" s="20" t="n"/>
      <c r="D68" s="20" t="n"/>
      <c r="E68" s="20" t="n"/>
      <c r="F68" s="20" t="n"/>
      <c r="G68" s="20" t="n"/>
    </row>
    <row r="69">
      <c r="A69" s="32" t="n"/>
      <c r="B69" s="20" t="n"/>
      <c r="C69" s="20" t="n"/>
      <c r="D69" s="20" t="n"/>
      <c r="E69" s="20" t="n"/>
      <c r="F69" s="20" t="n"/>
      <c r="G69" s="20" t="n"/>
    </row>
    <row r="70">
      <c r="A70" s="32" t="n"/>
      <c r="B70" s="20" t="n"/>
      <c r="C70" s="20" t="n"/>
      <c r="D70" s="20" t="n"/>
      <c r="E70" s="20" t="n"/>
      <c r="F70" s="20" t="n"/>
      <c r="G70" s="20" t="n"/>
    </row>
    <row r="71">
      <c r="A71" s="32" t="n"/>
      <c r="B71" s="20" t="n"/>
      <c r="C71" s="20" t="n"/>
      <c r="D71" s="20" t="n"/>
      <c r="E71" s="20" t="n"/>
      <c r="F71" s="20" t="n"/>
      <c r="G71" s="20" t="n"/>
    </row>
    <row r="72">
      <c r="A72" s="32" t="n"/>
      <c r="B72" s="20" t="n"/>
      <c r="C72" s="20" t="n"/>
      <c r="D72" s="20" t="n"/>
      <c r="E72" s="20" t="n"/>
      <c r="F72" s="20" t="n"/>
      <c r="G72" s="20" t="n"/>
    </row>
    <row r="73">
      <c r="A73" s="32" t="n"/>
      <c r="B73" s="20" t="n"/>
      <c r="C73" s="20" t="n"/>
      <c r="D73" s="20" t="n"/>
      <c r="E73" s="20" t="n"/>
      <c r="F73" s="20" t="n"/>
      <c r="G73" s="20" t="n"/>
    </row>
    <row r="74">
      <c r="A74" s="32" t="n"/>
      <c r="B74" s="20" t="n"/>
      <c r="C74" s="20" t="n"/>
      <c r="D74" s="20" t="n"/>
      <c r="E74" s="20" t="n"/>
      <c r="F74" s="20" t="n"/>
      <c r="G74" s="20" t="n"/>
    </row>
    <row r="75">
      <c r="A75" s="32" t="n"/>
      <c r="B75" s="20" t="n"/>
      <c r="C75" s="20" t="n"/>
      <c r="D75" s="20" t="n"/>
      <c r="E75" s="20" t="n"/>
      <c r="F75" s="20" t="n"/>
      <c r="G75" s="20" t="n"/>
    </row>
    <row r="76">
      <c r="A76" s="32" t="n"/>
      <c r="B76" s="20" t="n"/>
      <c r="C76" s="20" t="n"/>
      <c r="D76" s="20" t="n"/>
      <c r="E76" s="20" t="n"/>
      <c r="F76" s="20" t="n"/>
      <c r="G76" s="20" t="n"/>
    </row>
    <row r="77">
      <c r="A77" s="32" t="n"/>
      <c r="B77" s="20" t="n"/>
      <c r="C77" s="20" t="n"/>
      <c r="D77" s="20" t="n"/>
      <c r="E77" s="20" t="n"/>
      <c r="F77" s="20" t="n"/>
      <c r="G77" s="20" t="n"/>
    </row>
    <row r="78">
      <c r="A78" s="32" t="n"/>
      <c r="B78" s="20" t="n"/>
      <c r="C78" s="20" t="n"/>
      <c r="D78" s="20" t="n"/>
      <c r="E78" s="20" t="n"/>
      <c r="F78" s="20" t="n"/>
      <c r="G78" s="20" t="n"/>
    </row>
    <row r="79">
      <c r="A79" s="32" t="n"/>
      <c r="B79" s="20" t="n"/>
      <c r="C79" s="20" t="n"/>
      <c r="D79" s="20" t="n"/>
      <c r="E79" s="20" t="n"/>
      <c r="F79" s="20" t="n"/>
      <c r="G79" s="20" t="n"/>
    </row>
    <row r="80">
      <c r="A80" s="32" t="n"/>
      <c r="B80" s="20" t="n"/>
      <c r="C80" s="20" t="n"/>
      <c r="D80" s="20" t="n"/>
      <c r="E80" s="20" t="n"/>
      <c r="F80" s="20" t="n"/>
      <c r="G80" s="20" t="n"/>
    </row>
    <row r="81">
      <c r="A81" s="32" t="n"/>
      <c r="B81" s="20" t="n"/>
      <c r="C81" s="20" t="n"/>
      <c r="D81" s="20" t="n"/>
      <c r="E81" s="20" t="n"/>
      <c r="F81" s="20" t="n"/>
      <c r="G81" s="20" t="n"/>
    </row>
    <row r="82">
      <c r="A82" s="32" t="n"/>
      <c r="B82" s="20" t="n"/>
      <c r="C82" s="20" t="n"/>
      <c r="D82" s="20" t="n"/>
      <c r="E82" s="20" t="n"/>
      <c r="F82" s="20" t="n"/>
      <c r="G82" s="20" t="n"/>
    </row>
    <row r="83">
      <c r="A83" s="32" t="n"/>
      <c r="B83" s="20" t="n"/>
      <c r="C83" s="20" t="n"/>
      <c r="D83" s="20" t="n"/>
      <c r="E83" s="20" t="n"/>
      <c r="F83" s="20" t="n"/>
      <c r="G83" s="20" t="n"/>
    </row>
    <row r="84">
      <c r="A84" s="32" t="n"/>
      <c r="B84" s="20" t="n"/>
      <c r="C84" s="20" t="n"/>
      <c r="D84" s="20" t="n"/>
      <c r="E84" s="20" t="n"/>
      <c r="F84" s="20" t="n"/>
      <c r="G84" s="20" t="n"/>
    </row>
    <row r="85">
      <c r="A85" s="32" t="n"/>
      <c r="B85" s="20" t="n"/>
      <c r="C85" s="20" t="n"/>
      <c r="D85" s="20" t="n"/>
      <c r="E85" s="20" t="n"/>
      <c r="F85" s="20" t="n"/>
      <c r="G85" s="20" t="n"/>
    </row>
    <row r="86">
      <c r="A86" s="32" t="n"/>
      <c r="B86" s="20" t="n"/>
      <c r="C86" s="20" t="n"/>
      <c r="D86" s="20" t="n"/>
      <c r="E86" s="20" t="n"/>
      <c r="F86" s="20" t="n"/>
      <c r="G86" s="20" t="n"/>
    </row>
    <row r="87">
      <c r="A87" s="32" t="n"/>
      <c r="B87" s="20" t="n"/>
      <c r="C87" s="20" t="n"/>
      <c r="D87" s="20" t="n"/>
      <c r="E87" s="20" t="n"/>
      <c r="F87" s="20" t="n"/>
      <c r="G87" s="20" t="n"/>
    </row>
    <row r="88">
      <c r="A88" s="32" t="n"/>
      <c r="B88" s="20" t="n"/>
      <c r="C88" s="20" t="n"/>
      <c r="D88" s="20" t="n"/>
      <c r="E88" s="20" t="n"/>
      <c r="F88" s="20" t="n"/>
      <c r="G88" s="20" t="n"/>
    </row>
    <row r="89">
      <c r="A89" s="32" t="n"/>
      <c r="B89" s="20" t="n"/>
      <c r="C89" s="20" t="n"/>
      <c r="D89" s="20" t="n"/>
      <c r="E89" s="20" t="n"/>
      <c r="F89" s="20" t="n"/>
      <c r="G89" s="20" t="n"/>
    </row>
    <row r="90">
      <c r="A90" s="32" t="n"/>
      <c r="B90" s="20" t="n"/>
      <c r="C90" s="20" t="n"/>
      <c r="D90" s="20" t="n"/>
      <c r="E90" s="20" t="n"/>
      <c r="F90" s="20" t="n"/>
      <c r="G90" s="20" t="n"/>
    </row>
    <row r="91">
      <c r="A91" s="32" t="n"/>
      <c r="B91" s="20" t="n"/>
      <c r="C91" s="20" t="n"/>
      <c r="D91" s="20" t="n"/>
      <c r="E91" s="20" t="n"/>
      <c r="F91" s="20" t="n"/>
      <c r="G91" s="20" t="n"/>
    </row>
    <row r="92">
      <c r="A92" s="32" t="n"/>
      <c r="B92" s="20" t="n"/>
      <c r="C92" s="20" t="n"/>
      <c r="D92" s="20" t="n"/>
      <c r="E92" s="20" t="n"/>
      <c r="F92" s="20" t="n"/>
      <c r="G92" s="20" t="n"/>
    </row>
    <row r="93">
      <c r="A93" s="32" t="n"/>
      <c r="B93" s="20" t="n"/>
      <c r="C93" s="20" t="n"/>
      <c r="D93" s="20" t="n"/>
      <c r="E93" s="20" t="n"/>
      <c r="F93" s="20" t="n"/>
      <c r="G93" s="20" t="n"/>
    </row>
    <row r="94">
      <c r="A94" s="32" t="n"/>
      <c r="B94" s="20" t="n"/>
      <c r="C94" s="20" t="n"/>
      <c r="D94" s="20" t="n"/>
      <c r="E94" s="20" t="n"/>
      <c r="F94" s="20" t="n"/>
      <c r="G94" s="20" t="n"/>
    </row>
    <row r="95">
      <c r="A95" s="32" t="n"/>
      <c r="B95" s="20" t="n"/>
      <c r="C95" s="20" t="n"/>
      <c r="D95" s="20" t="n"/>
      <c r="E95" s="20" t="n"/>
      <c r="F95" s="20" t="n"/>
      <c r="G95" s="20" t="n"/>
    </row>
    <row r="96">
      <c r="A96" s="32" t="n"/>
      <c r="B96" s="20" t="n"/>
      <c r="C96" s="20" t="n"/>
      <c r="D96" s="20" t="n"/>
      <c r="E96" s="20" t="n"/>
      <c r="F96" s="20" t="n"/>
      <c r="G96" s="20" t="n"/>
    </row>
    <row r="97">
      <c r="A97" s="32" t="n"/>
      <c r="B97" s="20" t="n"/>
      <c r="C97" s="20" t="n"/>
      <c r="D97" s="20" t="n"/>
      <c r="E97" s="20" t="n"/>
      <c r="F97" s="20" t="n"/>
      <c r="G97" s="20" t="n"/>
    </row>
    <row r="98">
      <c r="A98" s="32" t="n"/>
      <c r="B98" s="20" t="n"/>
      <c r="C98" s="20" t="n"/>
      <c r="D98" s="20" t="n"/>
      <c r="E98" s="20" t="n"/>
      <c r="F98" s="20" t="n"/>
      <c r="G98" s="20" t="n"/>
    </row>
    <row r="99">
      <c r="A99" s="32" t="n"/>
      <c r="B99" s="20" t="n"/>
      <c r="C99" s="20" t="n"/>
      <c r="D99" s="20" t="n"/>
      <c r="E99" s="20" t="n"/>
      <c r="F99" s="20" t="n"/>
      <c r="G99" s="20" t="n"/>
    </row>
    <row r="100">
      <c r="A100" s="32" t="n"/>
      <c r="B100" s="20" t="n"/>
      <c r="C100" s="20" t="n"/>
      <c r="D100" s="20" t="n"/>
      <c r="E100" s="20" t="n"/>
      <c r="F100" s="20" t="n"/>
      <c r="G100" s="20" t="n"/>
    </row>
    <row r="101">
      <c r="A101" s="32" t="n"/>
      <c r="B101" s="20" t="n"/>
      <c r="C101" s="20" t="n"/>
      <c r="D101" s="20" t="n"/>
      <c r="E101" s="20" t="n"/>
      <c r="F101" s="20" t="n"/>
      <c r="G101" s="20" t="n"/>
    </row>
    <row r="102">
      <c r="A102" s="32" t="n"/>
      <c r="B102" s="20" t="n"/>
      <c r="C102" s="20" t="n"/>
      <c r="D102" s="20" t="n"/>
      <c r="E102" s="20" t="n"/>
      <c r="F102" s="20" t="n"/>
      <c r="G102" s="20" t="n"/>
    </row>
    <row r="103">
      <c r="A103" s="32" t="n"/>
      <c r="B103" s="20" t="n"/>
      <c r="C103" s="20" t="n"/>
      <c r="D103" s="20" t="n"/>
      <c r="E103" s="20" t="n"/>
      <c r="F103" s="20" t="n"/>
      <c r="G103" s="20" t="n"/>
    </row>
    <row r="104">
      <c r="A104" s="32" t="n"/>
      <c r="B104" s="20" t="n"/>
      <c r="C104" s="20" t="n"/>
      <c r="D104" s="20" t="n"/>
      <c r="E104" s="20" t="n"/>
      <c r="F104" s="20" t="n"/>
      <c r="G104" s="20" t="n"/>
    </row>
    <row r="105">
      <c r="A105" s="32" t="n"/>
      <c r="B105" s="20" t="n"/>
      <c r="C105" s="20" t="n"/>
      <c r="D105" s="20" t="n"/>
      <c r="E105" s="20" t="n"/>
      <c r="F105" s="20" t="n"/>
      <c r="G105" s="20" t="n"/>
    </row>
    <row r="106">
      <c r="A106" s="32" t="n"/>
      <c r="B106" s="20" t="n"/>
      <c r="C106" s="20" t="n"/>
      <c r="D106" s="20" t="n"/>
      <c r="E106" s="20" t="n"/>
      <c r="F106" s="20" t="n"/>
      <c r="G106" s="20" t="n"/>
    </row>
    <row r="107">
      <c r="A107" s="32" t="n"/>
      <c r="B107" s="20" t="n"/>
      <c r="C107" s="20" t="n"/>
      <c r="D107" s="20" t="n"/>
      <c r="E107" s="20" t="n"/>
      <c r="F107" s="20" t="n"/>
      <c r="G107" s="20" t="n"/>
    </row>
    <row r="108">
      <c r="A108" s="32" t="n"/>
      <c r="B108" s="20" t="n"/>
      <c r="C108" s="20" t="n"/>
      <c r="D108" s="20" t="n"/>
      <c r="E108" s="20" t="n"/>
      <c r="F108" s="20" t="n"/>
      <c r="G108" s="20" t="n"/>
    </row>
    <row r="109">
      <c r="A109" s="32" t="n"/>
      <c r="B109" s="20" t="n"/>
      <c r="C109" s="20" t="n"/>
      <c r="D109" s="20" t="n"/>
      <c r="E109" s="20" t="n"/>
      <c r="F109" s="20" t="n"/>
      <c r="G109" s="20" t="n"/>
    </row>
    <row r="110">
      <c r="A110" s="32" t="n"/>
      <c r="B110" s="20" t="n"/>
      <c r="C110" s="20" t="n"/>
      <c r="D110" s="20" t="n"/>
      <c r="E110" s="20" t="n"/>
      <c r="F110" s="20" t="n"/>
      <c r="G110" s="20" t="n"/>
    </row>
    <row r="111">
      <c r="A111" s="32" t="n"/>
      <c r="B111" s="20" t="n"/>
      <c r="C111" s="20" t="n"/>
      <c r="D111" s="20" t="n"/>
      <c r="E111" s="20" t="n"/>
      <c r="F111" s="20" t="n"/>
      <c r="G111" s="20" t="n"/>
    </row>
    <row r="112">
      <c r="A112" s="32" t="n"/>
      <c r="B112" s="20" t="n"/>
      <c r="C112" s="20" t="n"/>
      <c r="D112" s="20" t="n"/>
      <c r="E112" s="20" t="n"/>
      <c r="F112" s="20" t="n"/>
      <c r="G112" s="20" t="n"/>
    </row>
    <row r="113">
      <c r="A113" s="32" t="n"/>
      <c r="B113" s="20" t="n"/>
      <c r="C113" s="20" t="n"/>
      <c r="D113" s="20" t="n"/>
      <c r="E113" s="20" t="n"/>
      <c r="F113" s="20" t="n"/>
      <c r="G113" s="20" t="n"/>
    </row>
    <row r="114">
      <c r="A114" s="32" t="n"/>
      <c r="B114" s="20" t="n"/>
      <c r="C114" s="20" t="n"/>
      <c r="D114" s="20" t="n"/>
      <c r="E114" s="20" t="n"/>
      <c r="F114" s="20" t="n"/>
      <c r="G114" s="20" t="n"/>
    </row>
    <row r="115">
      <c r="A115" s="32" t="n"/>
      <c r="B115" s="20" t="n"/>
      <c r="C115" s="20" t="n"/>
      <c r="D115" s="20" t="n"/>
      <c r="E115" s="20" t="n"/>
      <c r="F115" s="20" t="n"/>
      <c r="G115" s="20" t="n"/>
    </row>
    <row r="116">
      <c r="A116" s="32" t="n"/>
      <c r="B116" s="20" t="n"/>
      <c r="C116" s="20" t="n"/>
      <c r="D116" s="20" t="n"/>
      <c r="E116" s="20" t="n"/>
      <c r="F116" s="20" t="n"/>
      <c r="G116" s="20" t="n"/>
    </row>
    <row r="117">
      <c r="A117" s="32" t="n"/>
      <c r="B117" s="20" t="n"/>
      <c r="C117" s="20" t="n"/>
      <c r="D117" s="20" t="n"/>
      <c r="E117" s="20" t="n"/>
      <c r="F117" s="20" t="n"/>
      <c r="G117" s="20" t="n"/>
    </row>
    <row r="118">
      <c r="A118" s="32" t="n"/>
      <c r="B118" s="20" t="n"/>
      <c r="C118" s="20" t="n"/>
      <c r="D118" s="20" t="n"/>
      <c r="E118" s="20" t="n"/>
      <c r="F118" s="20" t="n"/>
      <c r="G118" s="20" t="n"/>
    </row>
    <row r="119">
      <c r="A119" s="32" t="n"/>
      <c r="B119" s="20" t="n"/>
      <c r="C119" s="20" t="n"/>
      <c r="D119" s="20" t="n"/>
      <c r="E119" s="20" t="n"/>
      <c r="F119" s="20" t="n"/>
      <c r="G119" s="20" t="n"/>
    </row>
    <row r="120">
      <c r="A120" s="32" t="n"/>
      <c r="B120" s="20" t="n"/>
      <c r="C120" s="20" t="n"/>
      <c r="D120" s="20" t="n"/>
      <c r="E120" s="20" t="n"/>
      <c r="F120" s="20" t="n"/>
      <c r="G120" s="20" t="n"/>
    </row>
    <row r="121">
      <c r="A121" s="32" t="n"/>
      <c r="B121" s="20" t="n"/>
      <c r="C121" s="20" t="n"/>
      <c r="D121" s="20" t="n"/>
      <c r="E121" s="20" t="n"/>
      <c r="F121" s="20" t="n"/>
      <c r="G121" s="20" t="n"/>
    </row>
    <row r="122">
      <c r="A122" s="32" t="n"/>
      <c r="B122" s="20" t="n"/>
      <c r="C122" s="20" t="n"/>
      <c r="D122" s="20" t="n"/>
      <c r="E122" s="20" t="n"/>
      <c r="F122" s="20" t="n"/>
      <c r="G122" s="20" t="n"/>
    </row>
    <row r="123">
      <c r="A123" s="32" t="n"/>
      <c r="B123" s="20" t="n"/>
      <c r="C123" s="20" t="n"/>
      <c r="D123" s="20" t="n"/>
      <c r="E123" s="20" t="n"/>
      <c r="F123" s="20" t="n"/>
      <c r="G123" s="20" t="n"/>
    </row>
    <row r="124">
      <c r="A124" s="32" t="n"/>
      <c r="B124" s="20" t="n"/>
      <c r="C124" s="20" t="n"/>
      <c r="D124" s="20" t="n"/>
      <c r="E124" s="20" t="n"/>
      <c r="F124" s="20" t="n"/>
      <c r="G124" s="20" t="n"/>
    </row>
    <row r="125">
      <c r="A125" s="32" t="n"/>
      <c r="B125" s="20" t="n"/>
      <c r="C125" s="20" t="n"/>
      <c r="D125" s="20" t="n"/>
      <c r="E125" s="20" t="n"/>
      <c r="F125" s="20" t="n"/>
      <c r="G125" s="20" t="n"/>
    </row>
    <row r="126">
      <c r="A126" s="32" t="n"/>
      <c r="B126" s="20" t="n"/>
      <c r="C126" s="20" t="n"/>
      <c r="D126" s="20" t="n"/>
      <c r="E126" s="20" t="n"/>
      <c r="F126" s="20" t="n"/>
      <c r="G126" s="20" t="n"/>
    </row>
    <row r="127">
      <c r="A127" s="32" t="n"/>
      <c r="B127" s="20" t="n"/>
      <c r="C127" s="20" t="n"/>
      <c r="D127" s="20" t="n"/>
      <c r="E127" s="20" t="n"/>
      <c r="F127" s="20" t="n"/>
      <c r="G127" s="20" t="n"/>
    </row>
    <row r="128">
      <c r="A128" s="32" t="n"/>
      <c r="B128" s="20" t="n"/>
      <c r="C128" s="20" t="n"/>
      <c r="D128" s="20" t="n"/>
      <c r="E128" s="20" t="n"/>
      <c r="F128" s="20" t="n"/>
      <c r="G128" s="20" t="n"/>
    </row>
    <row r="129">
      <c r="A129" s="32" t="n"/>
      <c r="B129" s="20" t="n"/>
      <c r="C129" s="20" t="n"/>
      <c r="D129" s="20" t="n"/>
      <c r="E129" s="20" t="n"/>
      <c r="F129" s="20" t="n"/>
      <c r="G129" s="20" t="n"/>
    </row>
    <row r="130">
      <c r="A130" s="32" t="n"/>
      <c r="B130" s="20" t="n"/>
      <c r="C130" s="20" t="n"/>
      <c r="D130" s="20" t="n"/>
      <c r="E130" s="20" t="n"/>
      <c r="F130" s="20" t="n"/>
      <c r="G130" s="20" t="n"/>
    </row>
    <row r="131">
      <c r="A131" s="32" t="n"/>
      <c r="B131" s="20" t="n"/>
      <c r="C131" s="20" t="n"/>
      <c r="D131" s="20" t="n"/>
      <c r="E131" s="20" t="n"/>
      <c r="F131" s="20" t="n"/>
      <c r="G131" s="20" t="n"/>
    </row>
    <row r="132">
      <c r="A132" s="32" t="n"/>
      <c r="B132" s="20" t="n"/>
      <c r="C132" s="20" t="n"/>
      <c r="D132" s="20" t="n"/>
      <c r="E132" s="20" t="n"/>
      <c r="F132" s="20" t="n"/>
      <c r="G132" s="20" t="n"/>
    </row>
    <row r="133">
      <c r="A133" s="32" t="n"/>
      <c r="B133" s="20" t="n"/>
      <c r="C133" s="20" t="n"/>
      <c r="D133" s="20" t="n"/>
      <c r="E133" s="20" t="n"/>
      <c r="F133" s="20" t="n"/>
      <c r="G133" s="20" t="n"/>
    </row>
    <row r="134">
      <c r="A134" s="32" t="n"/>
      <c r="B134" s="20" t="n"/>
      <c r="C134" s="20" t="n"/>
      <c r="D134" s="20" t="n"/>
      <c r="E134" s="20" t="n"/>
      <c r="F134" s="20" t="n"/>
      <c r="G134" s="20" t="n"/>
    </row>
    <row r="135">
      <c r="A135" s="32" t="n"/>
      <c r="B135" s="20" t="n"/>
      <c r="C135" s="20" t="n"/>
      <c r="D135" s="20" t="n"/>
      <c r="E135" s="20" t="n"/>
      <c r="F135" s="20" t="n"/>
      <c r="G135" s="20" t="n"/>
    </row>
    <row r="136">
      <c r="A136" s="32" t="n"/>
      <c r="B136" s="20" t="n"/>
      <c r="C136" s="20" t="n"/>
      <c r="D136" s="20" t="n"/>
      <c r="E136" s="20" t="n"/>
      <c r="F136" s="20" t="n"/>
      <c r="G136" s="20" t="n"/>
    </row>
    <row r="137">
      <c r="A137" s="32" t="n"/>
      <c r="B137" s="20" t="n"/>
      <c r="C137" s="20" t="n"/>
      <c r="D137" s="20" t="n"/>
      <c r="E137" s="20" t="n"/>
      <c r="F137" s="20" t="n"/>
      <c r="G137" s="20" t="n"/>
    </row>
    <row r="138">
      <c r="A138" s="32" t="n"/>
      <c r="B138" s="20" t="n"/>
      <c r="C138" s="20" t="n"/>
      <c r="D138" s="20" t="n"/>
      <c r="E138" s="20" t="n"/>
      <c r="F138" s="20" t="n"/>
      <c r="G138" s="20" t="n"/>
    </row>
    <row r="139">
      <c r="A139" s="32" t="n"/>
      <c r="B139" s="20" t="n"/>
      <c r="C139" s="20" t="n"/>
      <c r="D139" s="20" t="n"/>
      <c r="E139" s="20" t="n"/>
      <c r="F139" s="20" t="n"/>
      <c r="G139" s="20" t="n"/>
    </row>
    <row r="140">
      <c r="A140" s="32" t="n"/>
      <c r="B140" s="20" t="n"/>
      <c r="C140" s="20" t="n"/>
      <c r="D140" s="20" t="n"/>
      <c r="E140" s="20" t="n"/>
      <c r="F140" s="20" t="n"/>
      <c r="G140" s="20" t="n"/>
    </row>
    <row r="141">
      <c r="A141" s="32" t="n"/>
      <c r="B141" s="20" t="n"/>
      <c r="C141" s="20" t="n"/>
      <c r="D141" s="20" t="n"/>
      <c r="E141" s="20" t="n"/>
      <c r="F141" s="20" t="n"/>
      <c r="G141" s="20" t="n"/>
    </row>
    <row r="142">
      <c r="A142" s="32" t="n"/>
      <c r="B142" s="20" t="n"/>
      <c r="C142" s="20" t="n"/>
      <c r="D142" s="20" t="n"/>
      <c r="E142" s="20" t="n"/>
      <c r="F142" s="20" t="n"/>
      <c r="G142" s="20" t="n"/>
    </row>
    <row r="143">
      <c r="A143" s="32" t="n"/>
      <c r="B143" s="20" t="n"/>
      <c r="C143" s="20" t="n"/>
      <c r="D143" s="20" t="n"/>
      <c r="E143" s="20" t="n"/>
      <c r="F143" s="20" t="n"/>
      <c r="G143" s="20" t="n"/>
    </row>
    <row r="144">
      <c r="A144" s="32" t="n"/>
      <c r="B144" s="20" t="n"/>
      <c r="C144" s="20" t="n"/>
      <c r="D144" s="20" t="n"/>
      <c r="E144" s="20" t="n"/>
      <c r="F144" s="20" t="n"/>
      <c r="G144" s="20" t="n"/>
    </row>
    <row r="145">
      <c r="A145" s="32" t="n"/>
      <c r="B145" s="20" t="n"/>
      <c r="C145" s="20" t="n"/>
      <c r="D145" s="20" t="n"/>
      <c r="E145" s="20" t="n"/>
      <c r="F145" s="20" t="n"/>
      <c r="G145" s="20" t="n"/>
    </row>
    <row r="146">
      <c r="A146" s="32" t="n"/>
      <c r="B146" s="20" t="n"/>
      <c r="C146" s="20" t="n"/>
      <c r="D146" s="20" t="n"/>
      <c r="E146" s="20" t="n"/>
      <c r="F146" s="20" t="n"/>
      <c r="G146" s="20" t="n"/>
    </row>
    <row r="147">
      <c r="A147" s="32" t="n"/>
      <c r="B147" s="20" t="n"/>
      <c r="C147" s="20" t="n"/>
      <c r="D147" s="20" t="n"/>
      <c r="E147" s="20" t="n"/>
      <c r="F147" s="20" t="n"/>
      <c r="G147" s="20" t="n"/>
    </row>
    <row r="148">
      <c r="A148" s="32" t="n"/>
      <c r="B148" s="20" t="n"/>
      <c r="C148" s="20" t="n"/>
      <c r="D148" s="20" t="n"/>
      <c r="E148" s="20" t="n"/>
      <c r="F148" s="20" t="n"/>
      <c r="G148" s="20" t="n"/>
    </row>
    <row r="149">
      <c r="A149" s="32" t="n"/>
      <c r="B149" s="20" t="n"/>
      <c r="C149" s="20" t="n"/>
      <c r="D149" s="20" t="n"/>
      <c r="E149" s="20" t="n"/>
      <c r="F149" s="20" t="n"/>
      <c r="G149" s="20" t="n"/>
    </row>
    <row r="150">
      <c r="A150" s="32" t="n"/>
      <c r="B150" s="20" t="n"/>
      <c r="C150" s="20" t="n"/>
      <c r="D150" s="20" t="n"/>
      <c r="E150" s="20" t="n"/>
      <c r="F150" s="20" t="n"/>
      <c r="G150" s="20" t="n"/>
    </row>
    <row r="151">
      <c r="A151" s="32" t="n"/>
      <c r="B151" s="20" t="n"/>
      <c r="C151" s="20" t="n"/>
      <c r="D151" s="20" t="n"/>
      <c r="E151" s="20" t="n"/>
      <c r="F151" s="20" t="n"/>
      <c r="G151" s="20" t="n"/>
    </row>
    <row r="152">
      <c r="A152" s="32" t="n"/>
      <c r="B152" s="20" t="n"/>
      <c r="C152" s="20" t="n"/>
      <c r="D152" s="20" t="n"/>
      <c r="E152" s="20" t="n"/>
      <c r="F152" s="20" t="n"/>
      <c r="G152" s="20" t="n"/>
    </row>
    <row r="153">
      <c r="A153" s="32" t="n"/>
      <c r="B153" s="20" t="n"/>
      <c r="C153" s="20" t="n"/>
      <c r="D153" s="20" t="n"/>
      <c r="E153" s="20" t="n"/>
      <c r="F153" s="20" t="n"/>
      <c r="G153" s="20" t="n"/>
    </row>
    <row r="154">
      <c r="A154" s="32" t="n"/>
      <c r="B154" s="20" t="n"/>
      <c r="C154" s="20" t="n"/>
      <c r="D154" s="20" t="n"/>
      <c r="E154" s="20" t="n"/>
      <c r="F154" s="20" t="n"/>
      <c r="G154" s="20" t="n"/>
    </row>
    <row r="155">
      <c r="A155" s="32" t="n"/>
      <c r="B155" s="20" t="n"/>
      <c r="C155" s="20" t="n"/>
      <c r="D155" s="20" t="n"/>
      <c r="E155" s="20" t="n"/>
      <c r="F155" s="20" t="n"/>
      <c r="G155" s="20" t="n"/>
    </row>
    <row r="156">
      <c r="A156" s="32" t="n"/>
      <c r="B156" s="20" t="n"/>
      <c r="C156" s="20" t="n"/>
      <c r="D156" s="20" t="n"/>
      <c r="E156" s="20" t="n"/>
      <c r="F156" s="20" t="n"/>
      <c r="G156" s="20" t="n"/>
    </row>
    <row r="157">
      <c r="A157" s="32" t="n"/>
      <c r="B157" s="20" t="n"/>
      <c r="C157" s="20" t="n"/>
      <c r="D157" s="20" t="n"/>
      <c r="E157" s="20" t="n"/>
      <c r="F157" s="20" t="n"/>
      <c r="G157" s="20" t="n"/>
    </row>
    <row r="158">
      <c r="A158" s="32" t="n"/>
      <c r="B158" s="20" t="n"/>
      <c r="C158" s="20" t="n"/>
      <c r="D158" s="20" t="n"/>
      <c r="E158" s="20" t="n"/>
      <c r="F158" s="20" t="n"/>
      <c r="G158" s="20" t="n"/>
    </row>
    <row r="159">
      <c r="A159" s="32" t="n"/>
      <c r="B159" s="20" t="n"/>
      <c r="C159" s="20" t="n"/>
      <c r="D159" s="20" t="n"/>
      <c r="E159" s="20" t="n"/>
      <c r="F159" s="20" t="n"/>
      <c r="G159" s="20" t="n"/>
    </row>
    <row r="160">
      <c r="A160" s="32" t="n"/>
      <c r="B160" s="20" t="n"/>
      <c r="C160" s="20" t="n"/>
      <c r="D160" s="20" t="n"/>
      <c r="E160" s="20" t="n"/>
      <c r="F160" s="20" t="n"/>
      <c r="G160" s="20" t="n"/>
    </row>
    <row r="161">
      <c r="A161" s="32" t="n"/>
      <c r="B161" s="20" t="n"/>
      <c r="C161" s="20" t="n"/>
      <c r="D161" s="20" t="n"/>
      <c r="E161" s="20" t="n"/>
      <c r="F161" s="20" t="n"/>
      <c r="G161" s="20" t="n"/>
    </row>
    <row r="162">
      <c r="A162" s="32" t="n"/>
      <c r="B162" s="20" t="n"/>
      <c r="C162" s="20" t="n"/>
      <c r="D162" s="20" t="n"/>
      <c r="E162" s="20" t="n"/>
      <c r="F162" s="20" t="n"/>
      <c r="G162" s="20" t="n"/>
    </row>
    <row r="163">
      <c r="A163" s="32" t="n"/>
      <c r="B163" s="20" t="n"/>
      <c r="C163" s="20" t="n"/>
      <c r="D163" s="20" t="n"/>
      <c r="E163" s="20" t="n"/>
      <c r="F163" s="20" t="n"/>
      <c r="G163" s="20" t="n"/>
    </row>
    <row r="164">
      <c r="A164" s="32" t="n"/>
      <c r="B164" s="20" t="n"/>
      <c r="C164" s="20" t="n"/>
      <c r="D164" s="20" t="n"/>
      <c r="E164" s="20" t="n"/>
      <c r="F164" s="20" t="n"/>
      <c r="G164" s="20" t="n"/>
    </row>
    <row r="165">
      <c r="A165" s="32" t="n"/>
      <c r="B165" s="20" t="n"/>
      <c r="C165" s="20" t="n"/>
      <c r="D165" s="20" t="n"/>
      <c r="E165" s="20" t="n"/>
      <c r="F165" s="20" t="n"/>
      <c r="G165" s="20" t="n"/>
    </row>
    <row r="166">
      <c r="A166" s="32" t="n"/>
      <c r="B166" s="20" t="n"/>
      <c r="C166" s="20" t="n"/>
      <c r="D166" s="20" t="n"/>
      <c r="E166" s="20" t="n"/>
      <c r="F166" s="20" t="n"/>
      <c r="G166" s="20" t="n"/>
    </row>
    <row r="167">
      <c r="A167" s="32" t="n"/>
      <c r="B167" s="20" t="n"/>
      <c r="C167" s="20" t="n"/>
      <c r="D167" s="20" t="n"/>
      <c r="E167" s="20" t="n"/>
      <c r="F167" s="20" t="n"/>
      <c r="G167" s="20" t="n"/>
    </row>
    <row r="168">
      <c r="A168" s="32" t="n"/>
      <c r="B168" s="20" t="n"/>
      <c r="C168" s="20" t="n"/>
      <c r="D168" s="20" t="n"/>
      <c r="E168" s="20" t="n"/>
      <c r="F168" s="20" t="n"/>
      <c r="G168" s="20" t="n"/>
    </row>
    <row r="169">
      <c r="A169" s="32" t="n"/>
      <c r="B169" s="20" t="n"/>
      <c r="C169" s="20" t="n"/>
      <c r="D169" s="20" t="n"/>
      <c r="E169" s="20" t="n"/>
      <c r="F169" s="20" t="n"/>
      <c r="G169" s="20" t="n"/>
    </row>
    <row r="170">
      <c r="A170" s="32" t="n"/>
      <c r="B170" s="20" t="n"/>
      <c r="C170" s="20" t="n"/>
      <c r="D170" s="20" t="n"/>
      <c r="E170" s="20" t="n"/>
      <c r="F170" s="20" t="n"/>
      <c r="G170" s="20" t="n"/>
    </row>
    <row r="171">
      <c r="A171" s="32" t="n"/>
      <c r="B171" s="20" t="n"/>
      <c r="C171" s="20" t="n"/>
      <c r="D171" s="20" t="n"/>
      <c r="E171" s="20" t="n"/>
      <c r="F171" s="20" t="n"/>
      <c r="G171" s="20" t="n"/>
    </row>
    <row r="172">
      <c r="A172" s="32" t="n"/>
      <c r="B172" s="20" t="n"/>
      <c r="C172" s="20" t="n"/>
      <c r="D172" s="20" t="n"/>
      <c r="E172" s="20" t="n"/>
      <c r="F172" s="20" t="n"/>
      <c r="G172" s="20" t="n"/>
    </row>
    <row r="173">
      <c r="A173" s="32" t="n"/>
      <c r="B173" s="20" t="n"/>
      <c r="C173" s="20" t="n"/>
      <c r="D173" s="20" t="n"/>
      <c r="E173" s="20" t="n"/>
      <c r="F173" s="20" t="n"/>
      <c r="G173" s="20" t="n"/>
    </row>
    <row r="174">
      <c r="A174" s="32" t="n"/>
      <c r="B174" s="20" t="n"/>
      <c r="C174" s="20" t="n"/>
      <c r="D174" s="20" t="n"/>
      <c r="E174" s="20" t="n"/>
      <c r="F174" s="20" t="n"/>
      <c r="G174" s="20" t="n"/>
    </row>
    <row r="175">
      <c r="A175" s="32" t="n"/>
      <c r="B175" s="20" t="n"/>
      <c r="C175" s="20" t="n"/>
      <c r="D175" s="20" t="n"/>
      <c r="E175" s="20" t="n"/>
      <c r="F175" s="20" t="n"/>
      <c r="G175" s="20" t="n"/>
    </row>
    <row r="176">
      <c r="A176" s="32" t="n"/>
      <c r="B176" s="20" t="n"/>
      <c r="C176" s="20" t="n"/>
      <c r="D176" s="20" t="n"/>
      <c r="E176" s="20" t="n"/>
      <c r="F176" s="20" t="n"/>
      <c r="G176" s="20" t="n"/>
    </row>
    <row r="177">
      <c r="A177" s="32" t="n"/>
      <c r="B177" s="20" t="n"/>
      <c r="C177" s="20" t="n"/>
      <c r="D177" s="20" t="n"/>
      <c r="E177" s="20" t="n"/>
      <c r="F177" s="20" t="n"/>
      <c r="G177" s="20" t="n"/>
    </row>
    <row r="178">
      <c r="A178" s="32" t="n"/>
      <c r="B178" s="20" t="n"/>
      <c r="C178" s="20" t="n"/>
      <c r="D178" s="20" t="n"/>
      <c r="E178" s="20" t="n"/>
      <c r="F178" s="20" t="n"/>
      <c r="G178" s="20" t="n"/>
    </row>
    <row r="179">
      <c r="A179" s="32" t="n"/>
      <c r="B179" s="20" t="n"/>
      <c r="C179" s="20" t="n"/>
      <c r="D179" s="20" t="n"/>
      <c r="E179" s="20" t="n"/>
      <c r="F179" s="20" t="n"/>
      <c r="G179" s="20" t="n"/>
    </row>
    <row r="180">
      <c r="A180" s="32" t="n"/>
      <c r="B180" s="20" t="n"/>
      <c r="C180" s="20" t="n"/>
      <c r="D180" s="20" t="n"/>
      <c r="E180" s="20" t="n"/>
      <c r="F180" s="20" t="n"/>
      <c r="G180" s="20" t="n"/>
    </row>
    <row r="181">
      <c r="A181" s="32" t="n"/>
      <c r="B181" s="20" t="n"/>
      <c r="C181" s="20" t="n"/>
      <c r="D181" s="20" t="n"/>
      <c r="E181" s="20" t="n"/>
      <c r="F181" s="20" t="n"/>
      <c r="G181" s="20" t="n"/>
    </row>
    <row r="182">
      <c r="A182" s="32" t="n"/>
      <c r="B182" s="20" t="n"/>
      <c r="C182" s="20" t="n"/>
      <c r="D182" s="20" t="n"/>
      <c r="E182" s="20" t="n"/>
      <c r="F182" s="20" t="n"/>
      <c r="G182" s="20" t="n"/>
    </row>
    <row r="183">
      <c r="A183" s="32" t="n"/>
      <c r="B183" s="20" t="n"/>
      <c r="C183" s="20" t="n"/>
      <c r="D183" s="20" t="n"/>
      <c r="E183" s="20" t="n"/>
      <c r="F183" s="20" t="n"/>
      <c r="G183" s="20" t="n"/>
    </row>
    <row r="184">
      <c r="A184" s="32" t="n"/>
      <c r="B184" s="20" t="n"/>
      <c r="C184" s="20" t="n"/>
      <c r="D184" s="20" t="n"/>
      <c r="E184" s="20" t="n"/>
      <c r="F184" s="20" t="n"/>
      <c r="G184" s="20" t="n"/>
    </row>
    <row r="185">
      <c r="A185" s="32" t="n"/>
      <c r="B185" s="20" t="n"/>
      <c r="C185" s="20" t="n"/>
      <c r="D185" s="20" t="n"/>
      <c r="E185" s="20" t="n"/>
      <c r="F185" s="20" t="n"/>
      <c r="G185" s="20" t="n"/>
    </row>
    <row r="186">
      <c r="A186" s="32" t="n"/>
      <c r="B186" s="20" t="n"/>
      <c r="C186" s="20" t="n"/>
      <c r="D186" s="20" t="n"/>
      <c r="E186" s="20" t="n"/>
      <c r="F186" s="20" t="n"/>
      <c r="G186" s="20" t="n"/>
    </row>
    <row r="187">
      <c r="A187" s="32" t="n"/>
      <c r="B187" s="20" t="n"/>
      <c r="C187" s="20" t="n"/>
      <c r="D187" s="20" t="n"/>
      <c r="E187" s="20" t="n"/>
      <c r="F187" s="20" t="n"/>
      <c r="G187" s="20" t="n"/>
    </row>
    <row r="188">
      <c r="A188" s="32" t="n"/>
      <c r="B188" s="20" t="n"/>
      <c r="C188" s="20" t="n"/>
      <c r="D188" s="20" t="n"/>
      <c r="E188" s="20" t="n"/>
      <c r="F188" s="20" t="n"/>
      <c r="G188" s="20" t="n"/>
    </row>
    <row r="189">
      <c r="A189" s="32" t="n"/>
      <c r="B189" s="20" t="n"/>
      <c r="C189" s="20" t="n"/>
      <c r="D189" s="20" t="n"/>
      <c r="E189" s="20" t="n"/>
      <c r="F189" s="20" t="n"/>
      <c r="G189" s="20" t="n"/>
    </row>
    <row r="190">
      <c r="A190" s="32" t="n"/>
      <c r="B190" s="20" t="n"/>
      <c r="C190" s="20" t="n"/>
      <c r="D190" s="20" t="n"/>
      <c r="E190" s="20" t="n"/>
      <c r="F190" s="20" t="n"/>
      <c r="G190" s="20" t="n"/>
    </row>
    <row r="191">
      <c r="A191" s="32" t="n"/>
      <c r="B191" s="20" t="n"/>
      <c r="C191" s="20" t="n"/>
      <c r="D191" s="20" t="n"/>
      <c r="E191" s="20" t="n"/>
      <c r="F191" s="20" t="n"/>
      <c r="G191" s="20" t="n"/>
    </row>
    <row r="192">
      <c r="A192" s="32" t="n"/>
      <c r="B192" s="20" t="n"/>
      <c r="C192" s="20" t="n"/>
      <c r="D192" s="20" t="n"/>
      <c r="E192" s="20" t="n"/>
      <c r="F192" s="20" t="n"/>
      <c r="G192" s="20" t="n"/>
    </row>
    <row r="193">
      <c r="A193" s="32" t="n"/>
      <c r="B193" s="20" t="n"/>
      <c r="C193" s="20" t="n"/>
      <c r="D193" s="20" t="n"/>
      <c r="E193" s="20" t="n"/>
      <c r="F193" s="20" t="n"/>
      <c r="G193" s="20" t="n"/>
    </row>
    <row r="194">
      <c r="A194" s="32" t="n"/>
      <c r="B194" s="20" t="n"/>
      <c r="C194" s="20" t="n"/>
      <c r="D194" s="20" t="n"/>
      <c r="E194" s="20" t="n"/>
      <c r="F194" s="20" t="n"/>
      <c r="G194" s="20" t="n"/>
    </row>
    <row r="195">
      <c r="A195" s="32" t="n"/>
      <c r="B195" s="20" t="n"/>
      <c r="C195" s="20" t="n"/>
      <c r="D195" s="20" t="n"/>
      <c r="E195" s="20" t="n"/>
      <c r="F195" s="20" t="n"/>
      <c r="G195" s="20" t="n"/>
    </row>
    <row r="196">
      <c r="A196" s="32" t="n"/>
      <c r="B196" s="20" t="n"/>
      <c r="C196" s="20" t="n"/>
      <c r="D196" s="20" t="n"/>
      <c r="E196" s="20" t="n"/>
      <c r="F196" s="20" t="n"/>
      <c r="G196" s="20" t="n"/>
    </row>
    <row r="197">
      <c r="A197" s="32" t="n"/>
      <c r="B197" s="20" t="n"/>
      <c r="C197" s="20" t="n"/>
      <c r="D197" s="20" t="n"/>
      <c r="E197" s="20" t="n"/>
      <c r="F197" s="20" t="n"/>
      <c r="G197" s="20" t="n"/>
    </row>
    <row r="198">
      <c r="A198" s="32" t="n"/>
      <c r="B198" s="20" t="n"/>
      <c r="C198" s="20" t="n"/>
      <c r="D198" s="20" t="n"/>
      <c r="E198" s="20" t="n"/>
      <c r="F198" s="20" t="n"/>
      <c r="G198" s="20" t="n"/>
    </row>
    <row r="199">
      <c r="A199" s="32" t="n"/>
      <c r="B199" s="20" t="n"/>
      <c r="C199" s="20" t="n"/>
      <c r="D199" s="20" t="n"/>
      <c r="E199" s="20" t="n"/>
      <c r="F199" s="20" t="n"/>
      <c r="G199" s="20" t="n"/>
    </row>
    <row r="200">
      <c r="A200" s="32" t="n"/>
      <c r="B200" s="20" t="n"/>
      <c r="C200" s="20" t="n"/>
      <c r="D200" s="20" t="n"/>
      <c r="E200" s="20" t="n"/>
      <c r="F200" s="20" t="n"/>
      <c r="G200" s="20" t="n"/>
    </row>
    <row r="201">
      <c r="A201" s="32" t="n"/>
      <c r="B201" s="20" t="n"/>
      <c r="C201" s="20" t="n"/>
      <c r="D201" s="20" t="n"/>
      <c r="E201" s="20" t="n"/>
      <c r="F201" s="20" t="n"/>
      <c r="G201" s="20" t="n"/>
    </row>
    <row r="202">
      <c r="A202" s="32" t="n"/>
      <c r="B202" s="20" t="n"/>
      <c r="C202" s="20" t="n"/>
      <c r="D202" s="20" t="n"/>
      <c r="E202" s="20" t="n"/>
      <c r="F202" s="20" t="n"/>
      <c r="G202" s="20" t="n"/>
    </row>
  </sheetData>
  <dataValidations count="3">
    <dataValidation sqref="C3:C202" showDropDown="0" showInputMessage="0" showErrorMessage="0" allowBlank="1" type="list">
      <formula1>=Setup!$B$13:$B$20</formula1>
    </dataValidation>
    <dataValidation sqref="F3:F202" showDropDown="0" showInputMessage="0" showErrorMessage="0" allowBlank="1" type="list">
      <formula1>"CP,BV,LC,CL,OT"</formula1>
    </dataValidation>
    <dataValidation sqref="G3:G202" showDropDown="0" showInputMessage="0" showErrorMessage="0" allowBlank="1" type="list">
      <formula1>"W,L,O"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60" customWidth="1" min="3" max="3"/>
    <col width="10" customWidth="1" min="4" max="4"/>
    <col width="20" customWidth="1" min="5" max="5"/>
    <col width="10" customWidth="1" min="6" max="6"/>
  </cols>
  <sheetData>
    <row r="1">
      <c r="A1" s="31" t="inlineStr">
        <is>
          <t>Log 6 · System issues   |   System: BOT CRM DB LD · Impact: B Blocking, S Slowing, M Minor · Status: O Open, F Fixed</t>
        </is>
      </c>
    </row>
    <row r="2" ht="32" customHeight="1">
      <c r="A2" s="15" t="inlineStr">
        <is>
          <t>Date</t>
        </is>
      </c>
      <c r="B2" s="15" t="inlineStr">
        <is>
          <t>System</t>
        </is>
      </c>
      <c r="C2" s="15" t="inlineStr">
        <is>
          <t>What happened</t>
        </is>
      </c>
      <c r="D2" s="15" t="inlineStr">
        <is>
          <t>Impact</t>
        </is>
      </c>
      <c r="E2" s="15" t="inlineStr">
        <is>
          <t>Reported to</t>
        </is>
      </c>
      <c r="F2" s="15" t="inlineStr">
        <is>
          <t>Status</t>
        </is>
      </c>
    </row>
    <row r="3">
      <c r="A3" s="32" t="n">
        <v>46296</v>
      </c>
      <c r="B3" s="20" t="n"/>
      <c r="C3" s="20" t="inlineStr">
        <is>
          <t>Technical and network issues (Instagram and TikTok leads not captured as contacts). Add system, impact and who it was reported to.</t>
        </is>
      </c>
      <c r="D3" s="20" t="n"/>
      <c r="E3" s="20" t="n"/>
      <c r="F3" s="20" t="n"/>
    </row>
    <row r="4">
      <c r="A4" s="32" t="n"/>
      <c r="B4" s="20" t="n"/>
      <c r="C4" s="20" t="n"/>
      <c r="D4" s="20" t="n"/>
      <c r="E4" s="20" t="n"/>
      <c r="F4" s="20" t="n"/>
    </row>
    <row r="5">
      <c r="A5" s="32" t="n"/>
      <c r="B5" s="20" t="n"/>
      <c r="C5" s="20" t="n"/>
      <c r="D5" s="20" t="n"/>
      <c r="E5" s="20" t="n"/>
      <c r="F5" s="20" t="n"/>
    </row>
    <row r="6">
      <c r="A6" s="32" t="n"/>
      <c r="B6" s="20" t="n"/>
      <c r="C6" s="20" t="n"/>
      <c r="D6" s="20" t="n"/>
      <c r="E6" s="20" t="n"/>
      <c r="F6" s="20" t="n"/>
    </row>
    <row r="7">
      <c r="A7" s="32" t="n"/>
      <c r="B7" s="20" t="n"/>
      <c r="C7" s="20" t="n"/>
      <c r="D7" s="20" t="n"/>
      <c r="E7" s="20" t="n"/>
      <c r="F7" s="20" t="n"/>
    </row>
    <row r="8">
      <c r="A8" s="32" t="n"/>
      <c r="B8" s="20" t="n"/>
      <c r="C8" s="20" t="n"/>
      <c r="D8" s="20" t="n"/>
      <c r="E8" s="20" t="n"/>
      <c r="F8" s="20" t="n"/>
    </row>
    <row r="9">
      <c r="A9" s="32" t="n"/>
      <c r="B9" s="20" t="n"/>
      <c r="C9" s="20" t="n"/>
      <c r="D9" s="20" t="n"/>
      <c r="E9" s="20" t="n"/>
      <c r="F9" s="20" t="n"/>
    </row>
    <row r="10">
      <c r="A10" s="32" t="n"/>
      <c r="B10" s="20" t="n"/>
      <c r="C10" s="20" t="n"/>
      <c r="D10" s="20" t="n"/>
      <c r="E10" s="20" t="n"/>
      <c r="F10" s="20" t="n"/>
    </row>
    <row r="11">
      <c r="A11" s="32" t="n"/>
      <c r="B11" s="20" t="n"/>
      <c r="C11" s="20" t="n"/>
      <c r="D11" s="20" t="n"/>
      <c r="E11" s="20" t="n"/>
      <c r="F11" s="20" t="n"/>
    </row>
    <row r="12">
      <c r="A12" s="32" t="n"/>
      <c r="B12" s="20" t="n"/>
      <c r="C12" s="20" t="n"/>
      <c r="D12" s="20" t="n"/>
      <c r="E12" s="20" t="n"/>
      <c r="F12" s="20" t="n"/>
    </row>
    <row r="13">
      <c r="A13" s="32" t="n"/>
      <c r="B13" s="20" t="n"/>
      <c r="C13" s="20" t="n"/>
      <c r="D13" s="20" t="n"/>
      <c r="E13" s="20" t="n"/>
      <c r="F13" s="20" t="n"/>
    </row>
    <row r="14">
      <c r="A14" s="32" t="n"/>
      <c r="B14" s="20" t="n"/>
      <c r="C14" s="20" t="n"/>
      <c r="D14" s="20" t="n"/>
      <c r="E14" s="20" t="n"/>
      <c r="F14" s="20" t="n"/>
    </row>
    <row r="15">
      <c r="A15" s="32" t="n"/>
      <c r="B15" s="20" t="n"/>
      <c r="C15" s="20" t="n"/>
      <c r="D15" s="20" t="n"/>
      <c r="E15" s="20" t="n"/>
      <c r="F15" s="20" t="n"/>
    </row>
    <row r="16">
      <c r="A16" s="32" t="n"/>
      <c r="B16" s="20" t="n"/>
      <c r="C16" s="20" t="n"/>
      <c r="D16" s="20" t="n"/>
      <c r="E16" s="20" t="n"/>
      <c r="F16" s="20" t="n"/>
    </row>
    <row r="17">
      <c r="A17" s="32" t="n"/>
      <c r="B17" s="20" t="n"/>
      <c r="C17" s="20" t="n"/>
      <c r="D17" s="20" t="n"/>
      <c r="E17" s="20" t="n"/>
      <c r="F17" s="20" t="n"/>
    </row>
    <row r="18">
      <c r="A18" s="32" t="n"/>
      <c r="B18" s="20" t="n"/>
      <c r="C18" s="20" t="n"/>
      <c r="D18" s="20" t="n"/>
      <c r="E18" s="20" t="n"/>
      <c r="F18" s="20" t="n"/>
    </row>
    <row r="19">
      <c r="A19" s="32" t="n"/>
      <c r="B19" s="20" t="n"/>
      <c r="C19" s="20" t="n"/>
      <c r="D19" s="20" t="n"/>
      <c r="E19" s="20" t="n"/>
      <c r="F19" s="20" t="n"/>
    </row>
    <row r="20">
      <c r="A20" s="32" t="n"/>
      <c r="B20" s="20" t="n"/>
      <c r="C20" s="20" t="n"/>
      <c r="D20" s="20" t="n"/>
      <c r="E20" s="20" t="n"/>
      <c r="F20" s="20" t="n"/>
    </row>
    <row r="21">
      <c r="A21" s="32" t="n"/>
      <c r="B21" s="20" t="n"/>
      <c r="C21" s="20" t="n"/>
      <c r="D21" s="20" t="n"/>
      <c r="E21" s="20" t="n"/>
      <c r="F21" s="20" t="n"/>
    </row>
    <row r="22">
      <c r="A22" s="32" t="n"/>
      <c r="B22" s="20" t="n"/>
      <c r="C22" s="20" t="n"/>
      <c r="D22" s="20" t="n"/>
      <c r="E22" s="20" t="n"/>
      <c r="F22" s="20" t="n"/>
    </row>
    <row r="23">
      <c r="A23" s="32" t="n"/>
      <c r="B23" s="20" t="n"/>
      <c r="C23" s="20" t="n"/>
      <c r="D23" s="20" t="n"/>
      <c r="E23" s="20" t="n"/>
      <c r="F23" s="20" t="n"/>
    </row>
    <row r="24">
      <c r="A24" s="32" t="n"/>
      <c r="B24" s="20" t="n"/>
      <c r="C24" s="20" t="n"/>
      <c r="D24" s="20" t="n"/>
      <c r="E24" s="20" t="n"/>
      <c r="F24" s="20" t="n"/>
    </row>
    <row r="25">
      <c r="A25" s="32" t="n"/>
      <c r="B25" s="20" t="n"/>
      <c r="C25" s="20" t="n"/>
      <c r="D25" s="20" t="n"/>
      <c r="E25" s="20" t="n"/>
      <c r="F25" s="20" t="n"/>
    </row>
    <row r="26">
      <c r="A26" s="32" t="n"/>
      <c r="B26" s="20" t="n"/>
      <c r="C26" s="20" t="n"/>
      <c r="D26" s="20" t="n"/>
      <c r="E26" s="20" t="n"/>
      <c r="F26" s="20" t="n"/>
    </row>
    <row r="27">
      <c r="A27" s="32" t="n"/>
      <c r="B27" s="20" t="n"/>
      <c r="C27" s="20" t="n"/>
      <c r="D27" s="20" t="n"/>
      <c r="E27" s="20" t="n"/>
      <c r="F27" s="20" t="n"/>
    </row>
    <row r="28">
      <c r="A28" s="32" t="n"/>
      <c r="B28" s="20" t="n"/>
      <c r="C28" s="20" t="n"/>
      <c r="D28" s="20" t="n"/>
      <c r="E28" s="20" t="n"/>
      <c r="F28" s="20" t="n"/>
    </row>
    <row r="29">
      <c r="A29" s="32" t="n"/>
      <c r="B29" s="20" t="n"/>
      <c r="C29" s="20" t="n"/>
      <c r="D29" s="20" t="n"/>
      <c r="E29" s="20" t="n"/>
      <c r="F29" s="20" t="n"/>
    </row>
    <row r="30">
      <c r="A30" s="32" t="n"/>
      <c r="B30" s="20" t="n"/>
      <c r="C30" s="20" t="n"/>
      <c r="D30" s="20" t="n"/>
      <c r="E30" s="20" t="n"/>
      <c r="F30" s="20" t="n"/>
    </row>
    <row r="31">
      <c r="A31" s="32" t="n"/>
      <c r="B31" s="20" t="n"/>
      <c r="C31" s="20" t="n"/>
      <c r="D31" s="20" t="n"/>
      <c r="E31" s="20" t="n"/>
      <c r="F31" s="20" t="n"/>
    </row>
    <row r="32">
      <c r="A32" s="32" t="n"/>
      <c r="B32" s="20" t="n"/>
      <c r="C32" s="20" t="n"/>
      <c r="D32" s="20" t="n"/>
      <c r="E32" s="20" t="n"/>
      <c r="F32" s="20" t="n"/>
    </row>
    <row r="33">
      <c r="A33" s="32" t="n"/>
      <c r="B33" s="20" t="n"/>
      <c r="C33" s="20" t="n"/>
      <c r="D33" s="20" t="n"/>
      <c r="E33" s="20" t="n"/>
      <c r="F33" s="20" t="n"/>
    </row>
    <row r="34">
      <c r="A34" s="32" t="n"/>
      <c r="B34" s="20" t="n"/>
      <c r="C34" s="20" t="n"/>
      <c r="D34" s="20" t="n"/>
      <c r="E34" s="20" t="n"/>
      <c r="F34" s="20" t="n"/>
    </row>
    <row r="35">
      <c r="A35" s="32" t="n"/>
      <c r="B35" s="20" t="n"/>
      <c r="C35" s="20" t="n"/>
      <c r="D35" s="20" t="n"/>
      <c r="E35" s="20" t="n"/>
      <c r="F35" s="20" t="n"/>
    </row>
    <row r="36">
      <c r="A36" s="32" t="n"/>
      <c r="B36" s="20" t="n"/>
      <c r="C36" s="20" t="n"/>
      <c r="D36" s="20" t="n"/>
      <c r="E36" s="20" t="n"/>
      <c r="F36" s="20" t="n"/>
    </row>
    <row r="37">
      <c r="A37" s="32" t="n"/>
      <c r="B37" s="20" t="n"/>
      <c r="C37" s="20" t="n"/>
      <c r="D37" s="20" t="n"/>
      <c r="E37" s="20" t="n"/>
      <c r="F37" s="20" t="n"/>
    </row>
    <row r="38">
      <c r="A38" s="32" t="n"/>
      <c r="B38" s="20" t="n"/>
      <c r="C38" s="20" t="n"/>
      <c r="D38" s="20" t="n"/>
      <c r="E38" s="20" t="n"/>
      <c r="F38" s="20" t="n"/>
    </row>
    <row r="39">
      <c r="A39" s="32" t="n"/>
      <c r="B39" s="20" t="n"/>
      <c r="C39" s="20" t="n"/>
      <c r="D39" s="20" t="n"/>
      <c r="E39" s="20" t="n"/>
      <c r="F39" s="20" t="n"/>
    </row>
    <row r="40">
      <c r="A40" s="32" t="n"/>
      <c r="B40" s="20" t="n"/>
      <c r="C40" s="20" t="n"/>
      <c r="D40" s="20" t="n"/>
      <c r="E40" s="20" t="n"/>
      <c r="F40" s="20" t="n"/>
    </row>
    <row r="41">
      <c r="A41" s="32" t="n"/>
      <c r="B41" s="20" t="n"/>
      <c r="C41" s="20" t="n"/>
      <c r="D41" s="20" t="n"/>
      <c r="E41" s="20" t="n"/>
      <c r="F41" s="20" t="n"/>
    </row>
    <row r="42">
      <c r="A42" s="32" t="n"/>
      <c r="B42" s="20" t="n"/>
      <c r="C42" s="20" t="n"/>
      <c r="D42" s="20" t="n"/>
      <c r="E42" s="20" t="n"/>
      <c r="F42" s="20" t="n"/>
    </row>
    <row r="43">
      <c r="A43" s="32" t="n"/>
      <c r="B43" s="20" t="n"/>
      <c r="C43" s="20" t="n"/>
      <c r="D43" s="20" t="n"/>
      <c r="E43" s="20" t="n"/>
      <c r="F43" s="20" t="n"/>
    </row>
    <row r="44">
      <c r="A44" s="32" t="n"/>
      <c r="B44" s="20" t="n"/>
      <c r="C44" s="20" t="n"/>
      <c r="D44" s="20" t="n"/>
      <c r="E44" s="20" t="n"/>
      <c r="F44" s="20" t="n"/>
    </row>
    <row r="45">
      <c r="A45" s="32" t="n"/>
      <c r="B45" s="20" t="n"/>
      <c r="C45" s="20" t="n"/>
      <c r="D45" s="20" t="n"/>
      <c r="E45" s="20" t="n"/>
      <c r="F45" s="20" t="n"/>
    </row>
    <row r="46">
      <c r="A46" s="32" t="n"/>
      <c r="B46" s="20" t="n"/>
      <c r="C46" s="20" t="n"/>
      <c r="D46" s="20" t="n"/>
      <c r="E46" s="20" t="n"/>
      <c r="F46" s="20" t="n"/>
    </row>
    <row r="47">
      <c r="A47" s="32" t="n"/>
      <c r="B47" s="20" t="n"/>
      <c r="C47" s="20" t="n"/>
      <c r="D47" s="20" t="n"/>
      <c r="E47" s="20" t="n"/>
      <c r="F47" s="20" t="n"/>
    </row>
    <row r="48">
      <c r="A48" s="32" t="n"/>
      <c r="B48" s="20" t="n"/>
      <c r="C48" s="20" t="n"/>
      <c r="D48" s="20" t="n"/>
      <c r="E48" s="20" t="n"/>
      <c r="F48" s="20" t="n"/>
    </row>
    <row r="49">
      <c r="A49" s="32" t="n"/>
      <c r="B49" s="20" t="n"/>
      <c r="C49" s="20" t="n"/>
      <c r="D49" s="20" t="n"/>
      <c r="E49" s="20" t="n"/>
      <c r="F49" s="20" t="n"/>
    </row>
    <row r="50">
      <c r="A50" s="32" t="n"/>
      <c r="B50" s="20" t="n"/>
      <c r="C50" s="20" t="n"/>
      <c r="D50" s="20" t="n"/>
      <c r="E50" s="20" t="n"/>
      <c r="F50" s="20" t="n"/>
    </row>
    <row r="51">
      <c r="A51" s="32" t="n"/>
      <c r="B51" s="20" t="n"/>
      <c r="C51" s="20" t="n"/>
      <c r="D51" s="20" t="n"/>
      <c r="E51" s="20" t="n"/>
      <c r="F51" s="20" t="n"/>
    </row>
    <row r="52">
      <c r="A52" s="32" t="n"/>
      <c r="B52" s="20" t="n"/>
      <c r="C52" s="20" t="n"/>
      <c r="D52" s="20" t="n"/>
      <c r="E52" s="20" t="n"/>
      <c r="F52" s="20" t="n"/>
    </row>
    <row r="53">
      <c r="A53" s="32" t="n"/>
      <c r="B53" s="20" t="n"/>
      <c r="C53" s="20" t="n"/>
      <c r="D53" s="20" t="n"/>
      <c r="E53" s="20" t="n"/>
      <c r="F53" s="20" t="n"/>
    </row>
    <row r="54">
      <c r="A54" s="32" t="n"/>
      <c r="B54" s="20" t="n"/>
      <c r="C54" s="20" t="n"/>
      <c r="D54" s="20" t="n"/>
      <c r="E54" s="20" t="n"/>
      <c r="F54" s="20" t="n"/>
    </row>
    <row r="55">
      <c r="A55" s="32" t="n"/>
      <c r="B55" s="20" t="n"/>
      <c r="C55" s="20" t="n"/>
      <c r="D55" s="20" t="n"/>
      <c r="E55" s="20" t="n"/>
      <c r="F55" s="20" t="n"/>
    </row>
    <row r="56">
      <c r="A56" s="32" t="n"/>
      <c r="B56" s="20" t="n"/>
      <c r="C56" s="20" t="n"/>
      <c r="D56" s="20" t="n"/>
      <c r="E56" s="20" t="n"/>
      <c r="F56" s="20" t="n"/>
    </row>
    <row r="57">
      <c r="A57" s="32" t="n"/>
      <c r="B57" s="20" t="n"/>
      <c r="C57" s="20" t="n"/>
      <c r="D57" s="20" t="n"/>
      <c r="E57" s="20" t="n"/>
      <c r="F57" s="20" t="n"/>
    </row>
    <row r="58">
      <c r="A58" s="32" t="n"/>
      <c r="B58" s="20" t="n"/>
      <c r="C58" s="20" t="n"/>
      <c r="D58" s="20" t="n"/>
      <c r="E58" s="20" t="n"/>
      <c r="F58" s="20" t="n"/>
    </row>
    <row r="59">
      <c r="A59" s="32" t="n"/>
      <c r="B59" s="20" t="n"/>
      <c r="C59" s="20" t="n"/>
      <c r="D59" s="20" t="n"/>
      <c r="E59" s="20" t="n"/>
      <c r="F59" s="20" t="n"/>
    </row>
    <row r="60">
      <c r="A60" s="32" t="n"/>
      <c r="B60" s="20" t="n"/>
      <c r="C60" s="20" t="n"/>
      <c r="D60" s="20" t="n"/>
      <c r="E60" s="20" t="n"/>
      <c r="F60" s="20" t="n"/>
    </row>
    <row r="61">
      <c r="A61" s="32" t="n"/>
      <c r="B61" s="20" t="n"/>
      <c r="C61" s="20" t="n"/>
      <c r="D61" s="20" t="n"/>
      <c r="E61" s="20" t="n"/>
      <c r="F61" s="20" t="n"/>
    </row>
    <row r="62">
      <c r="A62" s="32" t="n"/>
      <c r="B62" s="20" t="n"/>
      <c r="C62" s="20" t="n"/>
      <c r="D62" s="20" t="n"/>
      <c r="E62" s="20" t="n"/>
      <c r="F62" s="20" t="n"/>
    </row>
    <row r="63">
      <c r="A63" s="32" t="n"/>
      <c r="B63" s="20" t="n"/>
      <c r="C63" s="20" t="n"/>
      <c r="D63" s="20" t="n"/>
      <c r="E63" s="20" t="n"/>
      <c r="F63" s="20" t="n"/>
    </row>
    <row r="64">
      <c r="A64" s="32" t="n"/>
      <c r="B64" s="20" t="n"/>
      <c r="C64" s="20" t="n"/>
      <c r="D64" s="20" t="n"/>
      <c r="E64" s="20" t="n"/>
      <c r="F64" s="20" t="n"/>
    </row>
    <row r="65">
      <c r="A65" s="32" t="n"/>
      <c r="B65" s="20" t="n"/>
      <c r="C65" s="20" t="n"/>
      <c r="D65" s="20" t="n"/>
      <c r="E65" s="20" t="n"/>
      <c r="F65" s="20" t="n"/>
    </row>
    <row r="66">
      <c r="A66" s="32" t="n"/>
      <c r="B66" s="20" t="n"/>
      <c r="C66" s="20" t="n"/>
      <c r="D66" s="20" t="n"/>
      <c r="E66" s="20" t="n"/>
      <c r="F66" s="20" t="n"/>
    </row>
    <row r="67">
      <c r="A67" s="32" t="n"/>
      <c r="B67" s="20" t="n"/>
      <c r="C67" s="20" t="n"/>
      <c r="D67" s="20" t="n"/>
      <c r="E67" s="20" t="n"/>
      <c r="F67" s="20" t="n"/>
    </row>
    <row r="68">
      <c r="A68" s="32" t="n"/>
      <c r="B68" s="20" t="n"/>
      <c r="C68" s="20" t="n"/>
      <c r="D68" s="20" t="n"/>
      <c r="E68" s="20" t="n"/>
      <c r="F68" s="20" t="n"/>
    </row>
    <row r="69">
      <c r="A69" s="32" t="n"/>
      <c r="B69" s="20" t="n"/>
      <c r="C69" s="20" t="n"/>
      <c r="D69" s="20" t="n"/>
      <c r="E69" s="20" t="n"/>
      <c r="F69" s="20" t="n"/>
    </row>
    <row r="70">
      <c r="A70" s="32" t="n"/>
      <c r="B70" s="20" t="n"/>
      <c r="C70" s="20" t="n"/>
      <c r="D70" s="20" t="n"/>
      <c r="E70" s="20" t="n"/>
      <c r="F70" s="20" t="n"/>
    </row>
    <row r="71">
      <c r="A71" s="32" t="n"/>
      <c r="B71" s="20" t="n"/>
      <c r="C71" s="20" t="n"/>
      <c r="D71" s="20" t="n"/>
      <c r="E71" s="20" t="n"/>
      <c r="F71" s="20" t="n"/>
    </row>
    <row r="72">
      <c r="A72" s="32" t="n"/>
      <c r="B72" s="20" t="n"/>
      <c r="C72" s="20" t="n"/>
      <c r="D72" s="20" t="n"/>
      <c r="E72" s="20" t="n"/>
      <c r="F72" s="20" t="n"/>
    </row>
    <row r="73">
      <c r="A73" s="32" t="n"/>
      <c r="B73" s="20" t="n"/>
      <c r="C73" s="20" t="n"/>
      <c r="D73" s="20" t="n"/>
      <c r="E73" s="20" t="n"/>
      <c r="F73" s="20" t="n"/>
    </row>
    <row r="74">
      <c r="A74" s="32" t="n"/>
      <c r="B74" s="20" t="n"/>
      <c r="C74" s="20" t="n"/>
      <c r="D74" s="20" t="n"/>
      <c r="E74" s="20" t="n"/>
      <c r="F74" s="20" t="n"/>
    </row>
    <row r="75">
      <c r="A75" s="32" t="n"/>
      <c r="B75" s="20" t="n"/>
      <c r="C75" s="20" t="n"/>
      <c r="D75" s="20" t="n"/>
      <c r="E75" s="20" t="n"/>
      <c r="F75" s="20" t="n"/>
    </row>
    <row r="76">
      <c r="A76" s="32" t="n"/>
      <c r="B76" s="20" t="n"/>
      <c r="C76" s="20" t="n"/>
      <c r="D76" s="20" t="n"/>
      <c r="E76" s="20" t="n"/>
      <c r="F76" s="20" t="n"/>
    </row>
    <row r="77">
      <c r="A77" s="32" t="n"/>
      <c r="B77" s="20" t="n"/>
      <c r="C77" s="20" t="n"/>
      <c r="D77" s="20" t="n"/>
      <c r="E77" s="20" t="n"/>
      <c r="F77" s="20" t="n"/>
    </row>
    <row r="78">
      <c r="A78" s="32" t="n"/>
      <c r="B78" s="20" t="n"/>
      <c r="C78" s="20" t="n"/>
      <c r="D78" s="20" t="n"/>
      <c r="E78" s="20" t="n"/>
      <c r="F78" s="20" t="n"/>
    </row>
    <row r="79">
      <c r="A79" s="32" t="n"/>
      <c r="B79" s="20" t="n"/>
      <c r="C79" s="20" t="n"/>
      <c r="D79" s="20" t="n"/>
      <c r="E79" s="20" t="n"/>
      <c r="F79" s="20" t="n"/>
    </row>
    <row r="80">
      <c r="A80" s="32" t="n"/>
      <c r="B80" s="20" t="n"/>
      <c r="C80" s="20" t="n"/>
      <c r="D80" s="20" t="n"/>
      <c r="E80" s="20" t="n"/>
      <c r="F80" s="20" t="n"/>
    </row>
    <row r="81">
      <c r="A81" s="32" t="n"/>
      <c r="B81" s="20" t="n"/>
      <c r="C81" s="20" t="n"/>
      <c r="D81" s="20" t="n"/>
      <c r="E81" s="20" t="n"/>
      <c r="F81" s="20" t="n"/>
    </row>
    <row r="82">
      <c r="A82" s="32" t="n"/>
      <c r="B82" s="20" t="n"/>
      <c r="C82" s="20" t="n"/>
      <c r="D82" s="20" t="n"/>
      <c r="E82" s="20" t="n"/>
      <c r="F82" s="20" t="n"/>
    </row>
    <row r="83">
      <c r="A83" s="32" t="n"/>
      <c r="B83" s="20" t="n"/>
      <c r="C83" s="20" t="n"/>
      <c r="D83" s="20" t="n"/>
      <c r="E83" s="20" t="n"/>
      <c r="F83" s="20" t="n"/>
    </row>
    <row r="84">
      <c r="A84" s="32" t="n"/>
      <c r="B84" s="20" t="n"/>
      <c r="C84" s="20" t="n"/>
      <c r="D84" s="20" t="n"/>
      <c r="E84" s="20" t="n"/>
      <c r="F84" s="20" t="n"/>
    </row>
    <row r="85">
      <c r="A85" s="32" t="n"/>
      <c r="B85" s="20" t="n"/>
      <c r="C85" s="20" t="n"/>
      <c r="D85" s="20" t="n"/>
      <c r="E85" s="20" t="n"/>
      <c r="F85" s="20" t="n"/>
    </row>
    <row r="86">
      <c r="A86" s="32" t="n"/>
      <c r="B86" s="20" t="n"/>
      <c r="C86" s="20" t="n"/>
      <c r="D86" s="20" t="n"/>
      <c r="E86" s="20" t="n"/>
      <c r="F86" s="20" t="n"/>
    </row>
    <row r="87">
      <c r="A87" s="32" t="n"/>
      <c r="B87" s="20" t="n"/>
      <c r="C87" s="20" t="n"/>
      <c r="D87" s="20" t="n"/>
      <c r="E87" s="20" t="n"/>
      <c r="F87" s="20" t="n"/>
    </row>
    <row r="88">
      <c r="A88" s="32" t="n"/>
      <c r="B88" s="20" t="n"/>
      <c r="C88" s="20" t="n"/>
      <c r="D88" s="20" t="n"/>
      <c r="E88" s="20" t="n"/>
      <c r="F88" s="20" t="n"/>
    </row>
    <row r="89">
      <c r="A89" s="32" t="n"/>
      <c r="B89" s="20" t="n"/>
      <c r="C89" s="20" t="n"/>
      <c r="D89" s="20" t="n"/>
      <c r="E89" s="20" t="n"/>
      <c r="F89" s="20" t="n"/>
    </row>
    <row r="90">
      <c r="A90" s="32" t="n"/>
      <c r="B90" s="20" t="n"/>
      <c r="C90" s="20" t="n"/>
      <c r="D90" s="20" t="n"/>
      <c r="E90" s="20" t="n"/>
      <c r="F90" s="20" t="n"/>
    </row>
    <row r="91">
      <c r="A91" s="32" t="n"/>
      <c r="B91" s="20" t="n"/>
      <c r="C91" s="20" t="n"/>
      <c r="D91" s="20" t="n"/>
      <c r="E91" s="20" t="n"/>
      <c r="F91" s="20" t="n"/>
    </row>
    <row r="92">
      <c r="A92" s="32" t="n"/>
      <c r="B92" s="20" t="n"/>
      <c r="C92" s="20" t="n"/>
      <c r="D92" s="20" t="n"/>
      <c r="E92" s="20" t="n"/>
      <c r="F92" s="20" t="n"/>
    </row>
    <row r="93">
      <c r="A93" s="32" t="n"/>
      <c r="B93" s="20" t="n"/>
      <c r="C93" s="20" t="n"/>
      <c r="D93" s="20" t="n"/>
      <c r="E93" s="20" t="n"/>
      <c r="F93" s="20" t="n"/>
    </row>
    <row r="94">
      <c r="A94" s="32" t="n"/>
      <c r="B94" s="20" t="n"/>
      <c r="C94" s="20" t="n"/>
      <c r="D94" s="20" t="n"/>
      <c r="E94" s="20" t="n"/>
      <c r="F94" s="20" t="n"/>
    </row>
    <row r="95">
      <c r="A95" s="32" t="n"/>
      <c r="B95" s="20" t="n"/>
      <c r="C95" s="20" t="n"/>
      <c r="D95" s="20" t="n"/>
      <c r="E95" s="20" t="n"/>
      <c r="F95" s="20" t="n"/>
    </row>
    <row r="96">
      <c r="A96" s="32" t="n"/>
      <c r="B96" s="20" t="n"/>
      <c r="C96" s="20" t="n"/>
      <c r="D96" s="20" t="n"/>
      <c r="E96" s="20" t="n"/>
      <c r="F96" s="20" t="n"/>
    </row>
    <row r="97">
      <c r="A97" s="32" t="n"/>
      <c r="B97" s="20" t="n"/>
      <c r="C97" s="20" t="n"/>
      <c r="D97" s="20" t="n"/>
      <c r="E97" s="20" t="n"/>
      <c r="F97" s="20" t="n"/>
    </row>
    <row r="98">
      <c r="A98" s="32" t="n"/>
      <c r="B98" s="20" t="n"/>
      <c r="C98" s="20" t="n"/>
      <c r="D98" s="20" t="n"/>
      <c r="E98" s="20" t="n"/>
      <c r="F98" s="20" t="n"/>
    </row>
    <row r="99">
      <c r="A99" s="32" t="n"/>
      <c r="B99" s="20" t="n"/>
      <c r="C99" s="20" t="n"/>
      <c r="D99" s="20" t="n"/>
      <c r="E99" s="20" t="n"/>
      <c r="F99" s="20" t="n"/>
    </row>
    <row r="100">
      <c r="A100" s="32" t="n"/>
      <c r="B100" s="20" t="n"/>
      <c r="C100" s="20" t="n"/>
      <c r="D100" s="20" t="n"/>
      <c r="E100" s="20" t="n"/>
      <c r="F100" s="20" t="n"/>
    </row>
    <row r="101">
      <c r="A101" s="32" t="n"/>
      <c r="B101" s="20" t="n"/>
      <c r="C101" s="20" t="n"/>
      <c r="D101" s="20" t="n"/>
      <c r="E101" s="20" t="n"/>
      <c r="F101" s="20" t="n"/>
    </row>
    <row r="102">
      <c r="A102" s="32" t="n"/>
      <c r="B102" s="20" t="n"/>
      <c r="C102" s="20" t="n"/>
      <c r="D102" s="20" t="n"/>
      <c r="E102" s="20" t="n"/>
      <c r="F102" s="20" t="n"/>
    </row>
    <row r="103">
      <c r="A103" s="32" t="n"/>
      <c r="B103" s="20" t="n"/>
      <c r="C103" s="20" t="n"/>
      <c r="D103" s="20" t="n"/>
      <c r="E103" s="20" t="n"/>
      <c r="F103" s="20" t="n"/>
    </row>
    <row r="104">
      <c r="A104" s="32" t="n"/>
      <c r="B104" s="20" t="n"/>
      <c r="C104" s="20" t="n"/>
      <c r="D104" s="20" t="n"/>
      <c r="E104" s="20" t="n"/>
      <c r="F104" s="20" t="n"/>
    </row>
    <row r="105">
      <c r="A105" s="32" t="n"/>
      <c r="B105" s="20" t="n"/>
      <c r="C105" s="20" t="n"/>
      <c r="D105" s="20" t="n"/>
      <c r="E105" s="20" t="n"/>
      <c r="F105" s="20" t="n"/>
    </row>
    <row r="106">
      <c r="A106" s="32" t="n"/>
      <c r="B106" s="20" t="n"/>
      <c r="C106" s="20" t="n"/>
      <c r="D106" s="20" t="n"/>
      <c r="E106" s="20" t="n"/>
      <c r="F106" s="20" t="n"/>
    </row>
    <row r="107">
      <c r="A107" s="32" t="n"/>
      <c r="B107" s="20" t="n"/>
      <c r="C107" s="20" t="n"/>
      <c r="D107" s="20" t="n"/>
      <c r="E107" s="20" t="n"/>
      <c r="F107" s="20" t="n"/>
    </row>
    <row r="108">
      <c r="A108" s="32" t="n"/>
      <c r="B108" s="20" t="n"/>
      <c r="C108" s="20" t="n"/>
      <c r="D108" s="20" t="n"/>
      <c r="E108" s="20" t="n"/>
      <c r="F108" s="20" t="n"/>
    </row>
    <row r="109">
      <c r="A109" s="32" t="n"/>
      <c r="B109" s="20" t="n"/>
      <c r="C109" s="20" t="n"/>
      <c r="D109" s="20" t="n"/>
      <c r="E109" s="20" t="n"/>
      <c r="F109" s="20" t="n"/>
    </row>
    <row r="110">
      <c r="A110" s="32" t="n"/>
      <c r="B110" s="20" t="n"/>
      <c r="C110" s="20" t="n"/>
      <c r="D110" s="20" t="n"/>
      <c r="E110" s="20" t="n"/>
      <c r="F110" s="20" t="n"/>
    </row>
    <row r="111">
      <c r="A111" s="32" t="n"/>
      <c r="B111" s="20" t="n"/>
      <c r="C111" s="20" t="n"/>
      <c r="D111" s="20" t="n"/>
      <c r="E111" s="20" t="n"/>
      <c r="F111" s="20" t="n"/>
    </row>
    <row r="112">
      <c r="A112" s="32" t="n"/>
      <c r="B112" s="20" t="n"/>
      <c r="C112" s="20" t="n"/>
      <c r="D112" s="20" t="n"/>
      <c r="E112" s="20" t="n"/>
      <c r="F112" s="20" t="n"/>
    </row>
    <row r="113">
      <c r="A113" s="32" t="n"/>
      <c r="B113" s="20" t="n"/>
      <c r="C113" s="20" t="n"/>
      <c r="D113" s="20" t="n"/>
      <c r="E113" s="20" t="n"/>
      <c r="F113" s="20" t="n"/>
    </row>
    <row r="114">
      <c r="A114" s="32" t="n"/>
      <c r="B114" s="20" t="n"/>
      <c r="C114" s="20" t="n"/>
      <c r="D114" s="20" t="n"/>
      <c r="E114" s="20" t="n"/>
      <c r="F114" s="20" t="n"/>
    </row>
    <row r="115">
      <c r="A115" s="32" t="n"/>
      <c r="B115" s="20" t="n"/>
      <c r="C115" s="20" t="n"/>
      <c r="D115" s="20" t="n"/>
      <c r="E115" s="20" t="n"/>
      <c r="F115" s="20" t="n"/>
    </row>
    <row r="116">
      <c r="A116" s="32" t="n"/>
      <c r="B116" s="20" t="n"/>
      <c r="C116" s="20" t="n"/>
      <c r="D116" s="20" t="n"/>
      <c r="E116" s="20" t="n"/>
      <c r="F116" s="20" t="n"/>
    </row>
    <row r="117">
      <c r="A117" s="32" t="n"/>
      <c r="B117" s="20" t="n"/>
      <c r="C117" s="20" t="n"/>
      <c r="D117" s="20" t="n"/>
      <c r="E117" s="20" t="n"/>
      <c r="F117" s="20" t="n"/>
    </row>
    <row r="118">
      <c r="A118" s="32" t="n"/>
      <c r="B118" s="20" t="n"/>
      <c r="C118" s="20" t="n"/>
      <c r="D118" s="20" t="n"/>
      <c r="E118" s="20" t="n"/>
      <c r="F118" s="20" t="n"/>
    </row>
    <row r="119">
      <c r="A119" s="32" t="n"/>
      <c r="B119" s="20" t="n"/>
      <c r="C119" s="20" t="n"/>
      <c r="D119" s="20" t="n"/>
      <c r="E119" s="20" t="n"/>
      <c r="F119" s="20" t="n"/>
    </row>
    <row r="120">
      <c r="A120" s="32" t="n"/>
      <c r="B120" s="20" t="n"/>
      <c r="C120" s="20" t="n"/>
      <c r="D120" s="20" t="n"/>
      <c r="E120" s="20" t="n"/>
      <c r="F120" s="20" t="n"/>
    </row>
    <row r="121">
      <c r="A121" s="32" t="n"/>
      <c r="B121" s="20" t="n"/>
      <c r="C121" s="20" t="n"/>
      <c r="D121" s="20" t="n"/>
      <c r="E121" s="20" t="n"/>
      <c r="F121" s="20" t="n"/>
    </row>
    <row r="122">
      <c r="A122" s="32" t="n"/>
      <c r="B122" s="20" t="n"/>
      <c r="C122" s="20" t="n"/>
      <c r="D122" s="20" t="n"/>
      <c r="E122" s="20" t="n"/>
      <c r="F122" s="20" t="n"/>
    </row>
    <row r="123">
      <c r="A123" s="32" t="n"/>
      <c r="B123" s="20" t="n"/>
      <c r="C123" s="20" t="n"/>
      <c r="D123" s="20" t="n"/>
      <c r="E123" s="20" t="n"/>
      <c r="F123" s="20" t="n"/>
    </row>
    <row r="124">
      <c r="A124" s="32" t="n"/>
      <c r="B124" s="20" t="n"/>
      <c r="C124" s="20" t="n"/>
      <c r="D124" s="20" t="n"/>
      <c r="E124" s="20" t="n"/>
      <c r="F124" s="20" t="n"/>
    </row>
    <row r="125">
      <c r="A125" s="32" t="n"/>
      <c r="B125" s="20" t="n"/>
      <c r="C125" s="20" t="n"/>
      <c r="D125" s="20" t="n"/>
      <c r="E125" s="20" t="n"/>
      <c r="F125" s="20" t="n"/>
    </row>
    <row r="126">
      <c r="A126" s="32" t="n"/>
      <c r="B126" s="20" t="n"/>
      <c r="C126" s="20" t="n"/>
      <c r="D126" s="20" t="n"/>
      <c r="E126" s="20" t="n"/>
      <c r="F126" s="20" t="n"/>
    </row>
    <row r="127">
      <c r="A127" s="32" t="n"/>
      <c r="B127" s="20" t="n"/>
      <c r="C127" s="20" t="n"/>
      <c r="D127" s="20" t="n"/>
      <c r="E127" s="20" t="n"/>
      <c r="F127" s="20" t="n"/>
    </row>
    <row r="128">
      <c r="A128" s="32" t="n"/>
      <c r="B128" s="20" t="n"/>
      <c r="C128" s="20" t="n"/>
      <c r="D128" s="20" t="n"/>
      <c r="E128" s="20" t="n"/>
      <c r="F128" s="20" t="n"/>
    </row>
    <row r="129">
      <c r="A129" s="32" t="n"/>
      <c r="B129" s="20" t="n"/>
      <c r="C129" s="20" t="n"/>
      <c r="D129" s="20" t="n"/>
      <c r="E129" s="20" t="n"/>
      <c r="F129" s="20" t="n"/>
    </row>
    <row r="130">
      <c r="A130" s="32" t="n"/>
      <c r="B130" s="20" t="n"/>
      <c r="C130" s="20" t="n"/>
      <c r="D130" s="20" t="n"/>
      <c r="E130" s="20" t="n"/>
      <c r="F130" s="20" t="n"/>
    </row>
    <row r="131">
      <c r="A131" s="32" t="n"/>
      <c r="B131" s="20" t="n"/>
      <c r="C131" s="20" t="n"/>
      <c r="D131" s="20" t="n"/>
      <c r="E131" s="20" t="n"/>
      <c r="F131" s="20" t="n"/>
    </row>
    <row r="132">
      <c r="A132" s="32" t="n"/>
      <c r="B132" s="20" t="n"/>
      <c r="C132" s="20" t="n"/>
      <c r="D132" s="20" t="n"/>
      <c r="E132" s="20" t="n"/>
      <c r="F132" s="20" t="n"/>
    </row>
    <row r="133">
      <c r="A133" s="32" t="n"/>
      <c r="B133" s="20" t="n"/>
      <c r="C133" s="20" t="n"/>
      <c r="D133" s="20" t="n"/>
      <c r="E133" s="20" t="n"/>
      <c r="F133" s="20" t="n"/>
    </row>
    <row r="134">
      <c r="A134" s="32" t="n"/>
      <c r="B134" s="20" t="n"/>
      <c r="C134" s="20" t="n"/>
      <c r="D134" s="20" t="n"/>
      <c r="E134" s="20" t="n"/>
      <c r="F134" s="20" t="n"/>
    </row>
    <row r="135">
      <c r="A135" s="32" t="n"/>
      <c r="B135" s="20" t="n"/>
      <c r="C135" s="20" t="n"/>
      <c r="D135" s="20" t="n"/>
      <c r="E135" s="20" t="n"/>
      <c r="F135" s="20" t="n"/>
    </row>
    <row r="136">
      <c r="A136" s="32" t="n"/>
      <c r="B136" s="20" t="n"/>
      <c r="C136" s="20" t="n"/>
      <c r="D136" s="20" t="n"/>
      <c r="E136" s="20" t="n"/>
      <c r="F136" s="20" t="n"/>
    </row>
    <row r="137">
      <c r="A137" s="32" t="n"/>
      <c r="B137" s="20" t="n"/>
      <c r="C137" s="20" t="n"/>
      <c r="D137" s="20" t="n"/>
      <c r="E137" s="20" t="n"/>
      <c r="F137" s="20" t="n"/>
    </row>
    <row r="138">
      <c r="A138" s="32" t="n"/>
      <c r="B138" s="20" t="n"/>
      <c r="C138" s="20" t="n"/>
      <c r="D138" s="20" t="n"/>
      <c r="E138" s="20" t="n"/>
      <c r="F138" s="20" t="n"/>
    </row>
    <row r="139">
      <c r="A139" s="32" t="n"/>
      <c r="B139" s="20" t="n"/>
      <c r="C139" s="20" t="n"/>
      <c r="D139" s="20" t="n"/>
      <c r="E139" s="20" t="n"/>
      <c r="F139" s="20" t="n"/>
    </row>
    <row r="140">
      <c r="A140" s="32" t="n"/>
      <c r="B140" s="20" t="n"/>
      <c r="C140" s="20" t="n"/>
      <c r="D140" s="20" t="n"/>
      <c r="E140" s="20" t="n"/>
      <c r="F140" s="20" t="n"/>
    </row>
    <row r="141">
      <c r="A141" s="32" t="n"/>
      <c r="B141" s="20" t="n"/>
      <c r="C141" s="20" t="n"/>
      <c r="D141" s="20" t="n"/>
      <c r="E141" s="20" t="n"/>
      <c r="F141" s="20" t="n"/>
    </row>
    <row r="142">
      <c r="A142" s="32" t="n"/>
      <c r="B142" s="20" t="n"/>
      <c r="C142" s="20" t="n"/>
      <c r="D142" s="20" t="n"/>
      <c r="E142" s="20" t="n"/>
      <c r="F142" s="20" t="n"/>
    </row>
    <row r="143">
      <c r="A143" s="32" t="n"/>
      <c r="B143" s="20" t="n"/>
      <c r="C143" s="20" t="n"/>
      <c r="D143" s="20" t="n"/>
      <c r="E143" s="20" t="n"/>
      <c r="F143" s="20" t="n"/>
    </row>
    <row r="144">
      <c r="A144" s="32" t="n"/>
      <c r="B144" s="20" t="n"/>
      <c r="C144" s="20" t="n"/>
      <c r="D144" s="20" t="n"/>
      <c r="E144" s="20" t="n"/>
      <c r="F144" s="20" t="n"/>
    </row>
    <row r="145">
      <c r="A145" s="32" t="n"/>
      <c r="B145" s="20" t="n"/>
      <c r="C145" s="20" t="n"/>
      <c r="D145" s="20" t="n"/>
      <c r="E145" s="20" t="n"/>
      <c r="F145" s="20" t="n"/>
    </row>
    <row r="146">
      <c r="A146" s="32" t="n"/>
      <c r="B146" s="20" t="n"/>
      <c r="C146" s="20" t="n"/>
      <c r="D146" s="20" t="n"/>
      <c r="E146" s="20" t="n"/>
      <c r="F146" s="20" t="n"/>
    </row>
    <row r="147">
      <c r="A147" s="32" t="n"/>
      <c r="B147" s="20" t="n"/>
      <c r="C147" s="20" t="n"/>
      <c r="D147" s="20" t="n"/>
      <c r="E147" s="20" t="n"/>
      <c r="F147" s="20" t="n"/>
    </row>
    <row r="148">
      <c r="A148" s="32" t="n"/>
      <c r="B148" s="20" t="n"/>
      <c r="C148" s="20" t="n"/>
      <c r="D148" s="20" t="n"/>
      <c r="E148" s="20" t="n"/>
      <c r="F148" s="20" t="n"/>
    </row>
    <row r="149">
      <c r="A149" s="32" t="n"/>
      <c r="B149" s="20" t="n"/>
      <c r="C149" s="20" t="n"/>
      <c r="D149" s="20" t="n"/>
      <c r="E149" s="20" t="n"/>
      <c r="F149" s="20" t="n"/>
    </row>
    <row r="150">
      <c r="A150" s="32" t="n"/>
      <c r="B150" s="20" t="n"/>
      <c r="C150" s="20" t="n"/>
      <c r="D150" s="20" t="n"/>
      <c r="E150" s="20" t="n"/>
      <c r="F150" s="20" t="n"/>
    </row>
    <row r="151">
      <c r="A151" s="32" t="n"/>
      <c r="B151" s="20" t="n"/>
      <c r="C151" s="20" t="n"/>
      <c r="D151" s="20" t="n"/>
      <c r="E151" s="20" t="n"/>
      <c r="F151" s="20" t="n"/>
    </row>
    <row r="152">
      <c r="A152" s="32" t="n"/>
      <c r="B152" s="20" t="n"/>
      <c r="C152" s="20" t="n"/>
      <c r="D152" s="20" t="n"/>
      <c r="E152" s="20" t="n"/>
      <c r="F152" s="20" t="n"/>
    </row>
    <row r="153">
      <c r="A153" s="32" t="n"/>
      <c r="B153" s="20" t="n"/>
      <c r="C153" s="20" t="n"/>
      <c r="D153" s="20" t="n"/>
      <c r="E153" s="20" t="n"/>
      <c r="F153" s="20" t="n"/>
    </row>
    <row r="154">
      <c r="A154" s="32" t="n"/>
      <c r="B154" s="20" t="n"/>
      <c r="C154" s="20" t="n"/>
      <c r="D154" s="20" t="n"/>
      <c r="E154" s="20" t="n"/>
      <c r="F154" s="20" t="n"/>
    </row>
    <row r="155">
      <c r="A155" s="32" t="n"/>
      <c r="B155" s="20" t="n"/>
      <c r="C155" s="20" t="n"/>
      <c r="D155" s="20" t="n"/>
      <c r="E155" s="20" t="n"/>
      <c r="F155" s="20" t="n"/>
    </row>
    <row r="156">
      <c r="A156" s="32" t="n"/>
      <c r="B156" s="20" t="n"/>
      <c r="C156" s="20" t="n"/>
      <c r="D156" s="20" t="n"/>
      <c r="E156" s="20" t="n"/>
      <c r="F156" s="20" t="n"/>
    </row>
    <row r="157">
      <c r="A157" s="32" t="n"/>
      <c r="B157" s="20" t="n"/>
      <c r="C157" s="20" t="n"/>
      <c r="D157" s="20" t="n"/>
      <c r="E157" s="20" t="n"/>
      <c r="F157" s="20" t="n"/>
    </row>
    <row r="158">
      <c r="A158" s="32" t="n"/>
      <c r="B158" s="20" t="n"/>
      <c r="C158" s="20" t="n"/>
      <c r="D158" s="20" t="n"/>
      <c r="E158" s="20" t="n"/>
      <c r="F158" s="20" t="n"/>
    </row>
    <row r="159">
      <c r="A159" s="32" t="n"/>
      <c r="B159" s="20" t="n"/>
      <c r="C159" s="20" t="n"/>
      <c r="D159" s="20" t="n"/>
      <c r="E159" s="20" t="n"/>
      <c r="F159" s="20" t="n"/>
    </row>
    <row r="160">
      <c r="A160" s="32" t="n"/>
      <c r="B160" s="20" t="n"/>
      <c r="C160" s="20" t="n"/>
      <c r="D160" s="20" t="n"/>
      <c r="E160" s="20" t="n"/>
      <c r="F160" s="20" t="n"/>
    </row>
    <row r="161">
      <c r="A161" s="32" t="n"/>
      <c r="B161" s="20" t="n"/>
      <c r="C161" s="20" t="n"/>
      <c r="D161" s="20" t="n"/>
      <c r="E161" s="20" t="n"/>
      <c r="F161" s="20" t="n"/>
    </row>
    <row r="162">
      <c r="A162" s="32" t="n"/>
      <c r="B162" s="20" t="n"/>
      <c r="C162" s="20" t="n"/>
      <c r="D162" s="20" t="n"/>
      <c r="E162" s="20" t="n"/>
      <c r="F162" s="20" t="n"/>
    </row>
    <row r="163">
      <c r="A163" s="32" t="n"/>
      <c r="B163" s="20" t="n"/>
      <c r="C163" s="20" t="n"/>
      <c r="D163" s="20" t="n"/>
      <c r="E163" s="20" t="n"/>
      <c r="F163" s="20" t="n"/>
    </row>
    <row r="164">
      <c r="A164" s="32" t="n"/>
      <c r="B164" s="20" t="n"/>
      <c r="C164" s="20" t="n"/>
      <c r="D164" s="20" t="n"/>
      <c r="E164" s="20" t="n"/>
      <c r="F164" s="20" t="n"/>
    </row>
    <row r="165">
      <c r="A165" s="32" t="n"/>
      <c r="B165" s="20" t="n"/>
      <c r="C165" s="20" t="n"/>
      <c r="D165" s="20" t="n"/>
      <c r="E165" s="20" t="n"/>
      <c r="F165" s="20" t="n"/>
    </row>
    <row r="166">
      <c r="A166" s="32" t="n"/>
      <c r="B166" s="20" t="n"/>
      <c r="C166" s="20" t="n"/>
      <c r="D166" s="20" t="n"/>
      <c r="E166" s="20" t="n"/>
      <c r="F166" s="20" t="n"/>
    </row>
    <row r="167">
      <c r="A167" s="32" t="n"/>
      <c r="B167" s="20" t="n"/>
      <c r="C167" s="20" t="n"/>
      <c r="D167" s="20" t="n"/>
      <c r="E167" s="20" t="n"/>
      <c r="F167" s="20" t="n"/>
    </row>
    <row r="168">
      <c r="A168" s="32" t="n"/>
      <c r="B168" s="20" t="n"/>
      <c r="C168" s="20" t="n"/>
      <c r="D168" s="20" t="n"/>
      <c r="E168" s="20" t="n"/>
      <c r="F168" s="20" t="n"/>
    </row>
    <row r="169">
      <c r="A169" s="32" t="n"/>
      <c r="B169" s="20" t="n"/>
      <c r="C169" s="20" t="n"/>
      <c r="D169" s="20" t="n"/>
      <c r="E169" s="20" t="n"/>
      <c r="F169" s="20" t="n"/>
    </row>
    <row r="170">
      <c r="A170" s="32" t="n"/>
      <c r="B170" s="20" t="n"/>
      <c r="C170" s="20" t="n"/>
      <c r="D170" s="20" t="n"/>
      <c r="E170" s="20" t="n"/>
      <c r="F170" s="20" t="n"/>
    </row>
    <row r="171">
      <c r="A171" s="32" t="n"/>
      <c r="B171" s="20" t="n"/>
      <c r="C171" s="20" t="n"/>
      <c r="D171" s="20" t="n"/>
      <c r="E171" s="20" t="n"/>
      <c r="F171" s="20" t="n"/>
    </row>
    <row r="172">
      <c r="A172" s="32" t="n"/>
      <c r="B172" s="20" t="n"/>
      <c r="C172" s="20" t="n"/>
      <c r="D172" s="20" t="n"/>
      <c r="E172" s="20" t="n"/>
      <c r="F172" s="20" t="n"/>
    </row>
    <row r="173">
      <c r="A173" s="32" t="n"/>
      <c r="B173" s="20" t="n"/>
      <c r="C173" s="20" t="n"/>
      <c r="D173" s="20" t="n"/>
      <c r="E173" s="20" t="n"/>
      <c r="F173" s="20" t="n"/>
    </row>
    <row r="174">
      <c r="A174" s="32" t="n"/>
      <c r="B174" s="20" t="n"/>
      <c r="C174" s="20" t="n"/>
      <c r="D174" s="20" t="n"/>
      <c r="E174" s="20" t="n"/>
      <c r="F174" s="20" t="n"/>
    </row>
    <row r="175">
      <c r="A175" s="32" t="n"/>
      <c r="B175" s="20" t="n"/>
      <c r="C175" s="20" t="n"/>
      <c r="D175" s="20" t="n"/>
      <c r="E175" s="20" t="n"/>
      <c r="F175" s="20" t="n"/>
    </row>
    <row r="176">
      <c r="A176" s="32" t="n"/>
      <c r="B176" s="20" t="n"/>
      <c r="C176" s="20" t="n"/>
      <c r="D176" s="20" t="n"/>
      <c r="E176" s="20" t="n"/>
      <c r="F176" s="20" t="n"/>
    </row>
    <row r="177">
      <c r="A177" s="32" t="n"/>
      <c r="B177" s="20" t="n"/>
      <c r="C177" s="20" t="n"/>
      <c r="D177" s="20" t="n"/>
      <c r="E177" s="20" t="n"/>
      <c r="F177" s="20" t="n"/>
    </row>
    <row r="178">
      <c r="A178" s="32" t="n"/>
      <c r="B178" s="20" t="n"/>
      <c r="C178" s="20" t="n"/>
      <c r="D178" s="20" t="n"/>
      <c r="E178" s="20" t="n"/>
      <c r="F178" s="20" t="n"/>
    </row>
    <row r="179">
      <c r="A179" s="32" t="n"/>
      <c r="B179" s="20" t="n"/>
      <c r="C179" s="20" t="n"/>
      <c r="D179" s="20" t="n"/>
      <c r="E179" s="20" t="n"/>
      <c r="F179" s="20" t="n"/>
    </row>
    <row r="180">
      <c r="A180" s="32" t="n"/>
      <c r="B180" s="20" t="n"/>
      <c r="C180" s="20" t="n"/>
      <c r="D180" s="20" t="n"/>
      <c r="E180" s="20" t="n"/>
      <c r="F180" s="20" t="n"/>
    </row>
    <row r="181">
      <c r="A181" s="32" t="n"/>
      <c r="B181" s="20" t="n"/>
      <c r="C181" s="20" t="n"/>
      <c r="D181" s="20" t="n"/>
      <c r="E181" s="20" t="n"/>
      <c r="F181" s="20" t="n"/>
    </row>
    <row r="182">
      <c r="A182" s="32" t="n"/>
      <c r="B182" s="20" t="n"/>
      <c r="C182" s="20" t="n"/>
      <c r="D182" s="20" t="n"/>
      <c r="E182" s="20" t="n"/>
      <c r="F182" s="20" t="n"/>
    </row>
    <row r="183">
      <c r="A183" s="32" t="n"/>
      <c r="B183" s="20" t="n"/>
      <c r="C183" s="20" t="n"/>
      <c r="D183" s="20" t="n"/>
      <c r="E183" s="20" t="n"/>
      <c r="F183" s="20" t="n"/>
    </row>
    <row r="184">
      <c r="A184" s="32" t="n"/>
      <c r="B184" s="20" t="n"/>
      <c r="C184" s="20" t="n"/>
      <c r="D184" s="20" t="n"/>
      <c r="E184" s="20" t="n"/>
      <c r="F184" s="20" t="n"/>
    </row>
    <row r="185">
      <c r="A185" s="32" t="n"/>
      <c r="B185" s="20" t="n"/>
      <c r="C185" s="20" t="n"/>
      <c r="D185" s="20" t="n"/>
      <c r="E185" s="20" t="n"/>
      <c r="F185" s="20" t="n"/>
    </row>
    <row r="186">
      <c r="A186" s="32" t="n"/>
      <c r="B186" s="20" t="n"/>
      <c r="C186" s="20" t="n"/>
      <c r="D186" s="20" t="n"/>
      <c r="E186" s="20" t="n"/>
      <c r="F186" s="20" t="n"/>
    </row>
    <row r="187">
      <c r="A187" s="32" t="n"/>
      <c r="B187" s="20" t="n"/>
      <c r="C187" s="20" t="n"/>
      <c r="D187" s="20" t="n"/>
      <c r="E187" s="20" t="n"/>
      <c r="F187" s="20" t="n"/>
    </row>
    <row r="188">
      <c r="A188" s="32" t="n"/>
      <c r="B188" s="20" t="n"/>
      <c r="C188" s="20" t="n"/>
      <c r="D188" s="20" t="n"/>
      <c r="E188" s="20" t="n"/>
      <c r="F188" s="20" t="n"/>
    </row>
    <row r="189">
      <c r="A189" s="32" t="n"/>
      <c r="B189" s="20" t="n"/>
      <c r="C189" s="20" t="n"/>
      <c r="D189" s="20" t="n"/>
      <c r="E189" s="20" t="n"/>
      <c r="F189" s="20" t="n"/>
    </row>
    <row r="190">
      <c r="A190" s="32" t="n"/>
      <c r="B190" s="20" t="n"/>
      <c r="C190" s="20" t="n"/>
      <c r="D190" s="20" t="n"/>
      <c r="E190" s="20" t="n"/>
      <c r="F190" s="20" t="n"/>
    </row>
    <row r="191">
      <c r="A191" s="32" t="n"/>
      <c r="B191" s="20" t="n"/>
      <c r="C191" s="20" t="n"/>
      <c r="D191" s="20" t="n"/>
      <c r="E191" s="20" t="n"/>
      <c r="F191" s="20" t="n"/>
    </row>
    <row r="192">
      <c r="A192" s="32" t="n"/>
      <c r="B192" s="20" t="n"/>
      <c r="C192" s="20" t="n"/>
      <c r="D192" s="20" t="n"/>
      <c r="E192" s="20" t="n"/>
      <c r="F192" s="20" t="n"/>
    </row>
    <row r="193">
      <c r="A193" s="32" t="n"/>
      <c r="B193" s="20" t="n"/>
      <c r="C193" s="20" t="n"/>
      <c r="D193" s="20" t="n"/>
      <c r="E193" s="20" t="n"/>
      <c r="F193" s="20" t="n"/>
    </row>
    <row r="194">
      <c r="A194" s="32" t="n"/>
      <c r="B194" s="20" t="n"/>
      <c r="C194" s="20" t="n"/>
      <c r="D194" s="20" t="n"/>
      <c r="E194" s="20" t="n"/>
      <c r="F194" s="20" t="n"/>
    </row>
    <row r="195">
      <c r="A195" s="32" t="n"/>
      <c r="B195" s="20" t="n"/>
      <c r="C195" s="20" t="n"/>
      <c r="D195" s="20" t="n"/>
      <c r="E195" s="20" t="n"/>
      <c r="F195" s="20" t="n"/>
    </row>
    <row r="196">
      <c r="A196" s="32" t="n"/>
      <c r="B196" s="20" t="n"/>
      <c r="C196" s="20" t="n"/>
      <c r="D196" s="20" t="n"/>
      <c r="E196" s="20" t="n"/>
      <c r="F196" s="20" t="n"/>
    </row>
    <row r="197">
      <c r="A197" s="32" t="n"/>
      <c r="B197" s="20" t="n"/>
      <c r="C197" s="20" t="n"/>
      <c r="D197" s="20" t="n"/>
      <c r="E197" s="20" t="n"/>
      <c r="F197" s="20" t="n"/>
    </row>
    <row r="198">
      <c r="A198" s="32" t="n"/>
      <c r="B198" s="20" t="n"/>
      <c r="C198" s="20" t="n"/>
      <c r="D198" s="20" t="n"/>
      <c r="E198" s="20" t="n"/>
      <c r="F198" s="20" t="n"/>
    </row>
    <row r="199">
      <c r="A199" s="32" t="n"/>
      <c r="B199" s="20" t="n"/>
      <c r="C199" s="20" t="n"/>
      <c r="D199" s="20" t="n"/>
      <c r="E199" s="20" t="n"/>
      <c r="F199" s="20" t="n"/>
    </row>
    <row r="200">
      <c r="A200" s="32" t="n"/>
      <c r="B200" s="20" t="n"/>
      <c r="C200" s="20" t="n"/>
      <c r="D200" s="20" t="n"/>
      <c r="E200" s="20" t="n"/>
      <c r="F200" s="20" t="n"/>
    </row>
    <row r="201">
      <c r="A201" s="32" t="n"/>
      <c r="B201" s="20" t="n"/>
      <c r="C201" s="20" t="n"/>
      <c r="D201" s="20" t="n"/>
      <c r="E201" s="20" t="n"/>
      <c r="F201" s="20" t="n"/>
    </row>
    <row r="202">
      <c r="A202" s="32" t="n"/>
      <c r="B202" s="20" t="n"/>
      <c r="C202" s="20" t="n"/>
      <c r="D202" s="20" t="n"/>
      <c r="E202" s="20" t="n"/>
      <c r="F202" s="20" t="n"/>
    </row>
  </sheetData>
  <dataValidations count="3">
    <dataValidation sqref="B3:B202" showDropDown="0" showInputMessage="0" showErrorMessage="0" allowBlank="1" type="list">
      <formula1>"BOT,CRM,DB,LD"</formula1>
    </dataValidation>
    <dataValidation sqref="D3:D202" showDropDown="0" showInputMessage="0" showErrorMessage="0" allowBlank="1" type="list">
      <formula1>"B,S,M"</formula1>
    </dataValidation>
    <dataValidation sqref="F3:F202" showDropDown="0" showInputMessage="0" showErrorMessage="0" allowBlank="1" type="list">
      <formula1>"O,F"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50" customWidth="1" min="5" max="5"/>
  </cols>
  <sheetData>
    <row r="1">
      <c r="A1" s="31" t="inlineStr">
        <is>
          <t>Log 7 · White phone   |   One row per day · Asked for: VI TP FL HT FU RC OT</t>
        </is>
      </c>
    </row>
    <row r="2" ht="32" customHeight="1">
      <c r="A2" s="15" t="inlineStr">
        <is>
          <t>Date</t>
        </is>
      </c>
      <c r="B2" s="15" t="inlineStr">
        <is>
          <t>Holder (agent)</t>
        </is>
      </c>
      <c r="C2" s="15" t="inlineStr">
        <is>
          <t>No. of calls</t>
        </is>
      </c>
      <c r="D2" s="15" t="inlineStr">
        <is>
          <t>What clients asked for</t>
        </is>
      </c>
      <c r="E2" s="15" t="inlineStr">
        <is>
          <t>Notes</t>
        </is>
      </c>
    </row>
    <row r="3">
      <c r="A3" s="32" t="n">
        <v>46296</v>
      </c>
      <c r="B3" s="20" t="inlineStr">
        <is>
          <t>Not with us today</t>
        </is>
      </c>
      <c r="C3" s="20" t="n">
        <v>0</v>
      </c>
      <c r="D3" s="20" t="n"/>
      <c r="E3" s="20" t="n"/>
    </row>
    <row r="4">
      <c r="A4" s="32" t="n"/>
      <c r="B4" s="20" t="n"/>
      <c r="C4" s="20" t="n"/>
      <c r="D4" s="20" t="n"/>
      <c r="E4" s="20" t="n"/>
    </row>
    <row r="5">
      <c r="A5" s="32" t="n"/>
      <c r="B5" s="20" t="n"/>
      <c r="C5" s="20" t="n"/>
      <c r="D5" s="20" t="n"/>
      <c r="E5" s="20" t="n"/>
    </row>
    <row r="6">
      <c r="A6" s="32" t="n"/>
      <c r="B6" s="20" t="n"/>
      <c r="C6" s="20" t="n"/>
      <c r="D6" s="20" t="n"/>
      <c r="E6" s="20" t="n"/>
    </row>
    <row r="7">
      <c r="A7" s="32" t="n"/>
      <c r="B7" s="20" t="n"/>
      <c r="C7" s="20" t="n"/>
      <c r="D7" s="20" t="n"/>
      <c r="E7" s="20" t="n"/>
    </row>
    <row r="8">
      <c r="A8" s="32" t="n"/>
      <c r="B8" s="20" t="n"/>
      <c r="C8" s="20" t="n"/>
      <c r="D8" s="20" t="n"/>
      <c r="E8" s="20" t="n"/>
    </row>
    <row r="9">
      <c r="A9" s="32" t="n"/>
      <c r="B9" s="20" t="n"/>
      <c r="C9" s="20" t="n"/>
      <c r="D9" s="20" t="n"/>
      <c r="E9" s="20" t="n"/>
    </row>
    <row r="10">
      <c r="A10" s="32" t="n"/>
      <c r="B10" s="20" t="n"/>
      <c r="C10" s="20" t="n"/>
      <c r="D10" s="20" t="n"/>
      <c r="E10" s="20" t="n"/>
    </row>
    <row r="11">
      <c r="A11" s="32" t="n"/>
      <c r="B11" s="20" t="n"/>
      <c r="C11" s="20" t="n"/>
      <c r="D11" s="20" t="n"/>
      <c r="E11" s="20" t="n"/>
    </row>
    <row r="12">
      <c r="A12" s="32" t="n"/>
      <c r="B12" s="20" t="n"/>
      <c r="C12" s="20" t="n"/>
      <c r="D12" s="20" t="n"/>
      <c r="E12" s="20" t="n"/>
    </row>
    <row r="13">
      <c r="A13" s="32" t="n"/>
      <c r="B13" s="20" t="n"/>
      <c r="C13" s="20" t="n"/>
      <c r="D13" s="20" t="n"/>
      <c r="E13" s="20" t="n"/>
    </row>
    <row r="14">
      <c r="A14" s="32" t="n"/>
      <c r="B14" s="20" t="n"/>
      <c r="C14" s="20" t="n"/>
      <c r="D14" s="20" t="n"/>
      <c r="E14" s="20" t="n"/>
    </row>
    <row r="15">
      <c r="A15" s="32" t="n"/>
      <c r="B15" s="20" t="n"/>
      <c r="C15" s="20" t="n"/>
      <c r="D15" s="20" t="n"/>
      <c r="E15" s="20" t="n"/>
    </row>
    <row r="16">
      <c r="A16" s="32" t="n"/>
      <c r="B16" s="20" t="n"/>
      <c r="C16" s="20" t="n"/>
      <c r="D16" s="20" t="n"/>
      <c r="E16" s="20" t="n"/>
    </row>
    <row r="17">
      <c r="A17" s="32" t="n"/>
      <c r="B17" s="20" t="n"/>
      <c r="C17" s="20" t="n"/>
      <c r="D17" s="20" t="n"/>
      <c r="E17" s="20" t="n"/>
    </row>
    <row r="18">
      <c r="A18" s="32" t="n"/>
      <c r="B18" s="20" t="n"/>
      <c r="C18" s="20" t="n"/>
      <c r="D18" s="20" t="n"/>
      <c r="E18" s="20" t="n"/>
    </row>
    <row r="19">
      <c r="A19" s="32" t="n"/>
      <c r="B19" s="20" t="n"/>
      <c r="C19" s="20" t="n"/>
      <c r="D19" s="20" t="n"/>
      <c r="E19" s="20" t="n"/>
    </row>
    <row r="20">
      <c r="A20" s="32" t="n"/>
      <c r="B20" s="20" t="n"/>
      <c r="C20" s="20" t="n"/>
      <c r="D20" s="20" t="n"/>
      <c r="E20" s="20" t="n"/>
    </row>
    <row r="21">
      <c r="A21" s="32" t="n"/>
      <c r="B21" s="20" t="n"/>
      <c r="C21" s="20" t="n"/>
      <c r="D21" s="20" t="n"/>
      <c r="E21" s="20" t="n"/>
    </row>
    <row r="22">
      <c r="A22" s="32" t="n"/>
      <c r="B22" s="20" t="n"/>
      <c r="C22" s="20" t="n"/>
      <c r="D22" s="20" t="n"/>
      <c r="E22" s="20" t="n"/>
    </row>
    <row r="23">
      <c r="A23" s="32" t="n"/>
      <c r="B23" s="20" t="n"/>
      <c r="C23" s="20" t="n"/>
      <c r="D23" s="20" t="n"/>
      <c r="E23" s="20" t="n"/>
    </row>
    <row r="24">
      <c r="A24" s="32" t="n"/>
      <c r="B24" s="20" t="n"/>
      <c r="C24" s="20" t="n"/>
      <c r="D24" s="20" t="n"/>
      <c r="E24" s="20" t="n"/>
    </row>
    <row r="25">
      <c r="A25" s="32" t="n"/>
      <c r="B25" s="20" t="n"/>
      <c r="C25" s="20" t="n"/>
      <c r="D25" s="20" t="n"/>
      <c r="E25" s="20" t="n"/>
    </row>
    <row r="26">
      <c r="A26" s="32" t="n"/>
      <c r="B26" s="20" t="n"/>
      <c r="C26" s="20" t="n"/>
      <c r="D26" s="20" t="n"/>
      <c r="E26" s="20" t="n"/>
    </row>
    <row r="27">
      <c r="A27" s="32" t="n"/>
      <c r="B27" s="20" t="n"/>
      <c r="C27" s="20" t="n"/>
      <c r="D27" s="20" t="n"/>
      <c r="E27" s="20" t="n"/>
    </row>
    <row r="28">
      <c r="A28" s="32" t="n"/>
      <c r="B28" s="20" t="n"/>
      <c r="C28" s="20" t="n"/>
      <c r="D28" s="20" t="n"/>
      <c r="E28" s="20" t="n"/>
    </row>
    <row r="29">
      <c r="A29" s="32" t="n"/>
      <c r="B29" s="20" t="n"/>
      <c r="C29" s="20" t="n"/>
      <c r="D29" s="20" t="n"/>
      <c r="E29" s="20" t="n"/>
    </row>
    <row r="30">
      <c r="A30" s="32" t="n"/>
      <c r="B30" s="20" t="n"/>
      <c r="C30" s="20" t="n"/>
      <c r="D30" s="20" t="n"/>
      <c r="E30" s="20" t="n"/>
    </row>
    <row r="31">
      <c r="A31" s="32" t="n"/>
      <c r="B31" s="20" t="n"/>
      <c r="C31" s="20" t="n"/>
      <c r="D31" s="20" t="n"/>
      <c r="E31" s="20" t="n"/>
    </row>
    <row r="32">
      <c r="A32" s="32" t="n"/>
      <c r="B32" s="20" t="n"/>
      <c r="C32" s="20" t="n"/>
      <c r="D32" s="20" t="n"/>
      <c r="E32" s="20" t="n"/>
    </row>
    <row r="33">
      <c r="A33" s="32" t="n"/>
      <c r="B33" s="20" t="n"/>
      <c r="C33" s="20" t="n"/>
      <c r="D33" s="20" t="n"/>
      <c r="E33" s="20" t="n"/>
    </row>
    <row r="34">
      <c r="A34" s="32" t="n"/>
      <c r="B34" s="20" t="n"/>
      <c r="C34" s="20" t="n"/>
      <c r="D34" s="20" t="n"/>
      <c r="E34" s="20" t="n"/>
    </row>
    <row r="35">
      <c r="A35" s="32" t="n"/>
      <c r="B35" s="20" t="n"/>
      <c r="C35" s="20" t="n"/>
      <c r="D35" s="20" t="n"/>
      <c r="E35" s="20" t="n"/>
    </row>
    <row r="36">
      <c r="A36" s="32" t="n"/>
      <c r="B36" s="20" t="n"/>
      <c r="C36" s="20" t="n"/>
      <c r="D36" s="20" t="n"/>
      <c r="E36" s="20" t="n"/>
    </row>
    <row r="37">
      <c r="A37" s="32" t="n"/>
      <c r="B37" s="20" t="n"/>
      <c r="C37" s="20" t="n"/>
      <c r="D37" s="20" t="n"/>
      <c r="E37" s="20" t="n"/>
    </row>
    <row r="38">
      <c r="A38" s="32" t="n"/>
      <c r="B38" s="20" t="n"/>
      <c r="C38" s="20" t="n"/>
      <c r="D38" s="20" t="n"/>
      <c r="E38" s="20" t="n"/>
    </row>
    <row r="39">
      <c r="A39" s="32" t="n"/>
      <c r="B39" s="20" t="n"/>
      <c r="C39" s="20" t="n"/>
      <c r="D39" s="20" t="n"/>
      <c r="E39" s="20" t="n"/>
    </row>
    <row r="40">
      <c r="A40" s="32" t="n"/>
      <c r="B40" s="20" t="n"/>
      <c r="C40" s="20" t="n"/>
      <c r="D40" s="20" t="n"/>
      <c r="E40" s="20" t="n"/>
    </row>
    <row r="41">
      <c r="A41" s="32" t="n"/>
      <c r="B41" s="20" t="n"/>
      <c r="C41" s="20" t="n"/>
      <c r="D41" s="20" t="n"/>
      <c r="E41" s="20" t="n"/>
    </row>
    <row r="42">
      <c r="A42" s="32" t="n"/>
      <c r="B42" s="20" t="n"/>
      <c r="C42" s="20" t="n"/>
      <c r="D42" s="20" t="n"/>
      <c r="E42" s="20" t="n"/>
    </row>
    <row r="43">
      <c r="A43" s="32" t="n"/>
      <c r="B43" s="20" t="n"/>
      <c r="C43" s="20" t="n"/>
      <c r="D43" s="20" t="n"/>
      <c r="E43" s="20" t="n"/>
    </row>
    <row r="44">
      <c r="A44" s="32" t="n"/>
      <c r="B44" s="20" t="n"/>
      <c r="C44" s="20" t="n"/>
      <c r="D44" s="20" t="n"/>
      <c r="E44" s="20" t="n"/>
    </row>
    <row r="45">
      <c r="A45" s="32" t="n"/>
      <c r="B45" s="20" t="n"/>
      <c r="C45" s="20" t="n"/>
      <c r="D45" s="20" t="n"/>
      <c r="E45" s="20" t="n"/>
    </row>
    <row r="46">
      <c r="A46" s="32" t="n"/>
      <c r="B46" s="20" t="n"/>
      <c r="C46" s="20" t="n"/>
      <c r="D46" s="20" t="n"/>
      <c r="E46" s="20" t="n"/>
    </row>
    <row r="47">
      <c r="A47" s="32" t="n"/>
      <c r="B47" s="20" t="n"/>
      <c r="C47" s="20" t="n"/>
      <c r="D47" s="20" t="n"/>
      <c r="E47" s="20" t="n"/>
    </row>
    <row r="48">
      <c r="A48" s="32" t="n"/>
      <c r="B48" s="20" t="n"/>
      <c r="C48" s="20" t="n"/>
      <c r="D48" s="20" t="n"/>
      <c r="E48" s="20" t="n"/>
    </row>
    <row r="49">
      <c r="A49" s="32" t="n"/>
      <c r="B49" s="20" t="n"/>
      <c r="C49" s="20" t="n"/>
      <c r="D49" s="20" t="n"/>
      <c r="E49" s="20" t="n"/>
    </row>
    <row r="50">
      <c r="A50" s="32" t="n"/>
      <c r="B50" s="20" t="n"/>
      <c r="C50" s="20" t="n"/>
      <c r="D50" s="20" t="n"/>
      <c r="E50" s="20" t="n"/>
    </row>
    <row r="51">
      <c r="A51" s="32" t="n"/>
      <c r="B51" s="20" t="n"/>
      <c r="C51" s="20" t="n"/>
      <c r="D51" s="20" t="n"/>
      <c r="E51" s="20" t="n"/>
    </row>
    <row r="52">
      <c r="A52" s="32" t="n"/>
      <c r="B52" s="20" t="n"/>
      <c r="C52" s="20" t="n"/>
      <c r="D52" s="20" t="n"/>
      <c r="E52" s="20" t="n"/>
    </row>
    <row r="53">
      <c r="A53" s="32" t="n"/>
      <c r="B53" s="20" t="n"/>
      <c r="C53" s="20" t="n"/>
      <c r="D53" s="20" t="n"/>
      <c r="E53" s="20" t="n"/>
    </row>
    <row r="54">
      <c r="A54" s="32" t="n"/>
      <c r="B54" s="20" t="n"/>
      <c r="C54" s="20" t="n"/>
      <c r="D54" s="20" t="n"/>
      <c r="E54" s="20" t="n"/>
    </row>
    <row r="55">
      <c r="A55" s="32" t="n"/>
      <c r="B55" s="20" t="n"/>
      <c r="C55" s="20" t="n"/>
      <c r="D55" s="20" t="n"/>
      <c r="E55" s="20" t="n"/>
    </row>
    <row r="56">
      <c r="A56" s="32" t="n"/>
      <c r="B56" s="20" t="n"/>
      <c r="C56" s="20" t="n"/>
      <c r="D56" s="20" t="n"/>
      <c r="E56" s="20" t="n"/>
    </row>
    <row r="57">
      <c r="A57" s="32" t="n"/>
      <c r="B57" s="20" t="n"/>
      <c r="C57" s="20" t="n"/>
      <c r="D57" s="20" t="n"/>
      <c r="E57" s="20" t="n"/>
    </row>
    <row r="58">
      <c r="A58" s="32" t="n"/>
      <c r="B58" s="20" t="n"/>
      <c r="C58" s="20" t="n"/>
      <c r="D58" s="20" t="n"/>
      <c r="E58" s="20" t="n"/>
    </row>
    <row r="59">
      <c r="A59" s="32" t="n"/>
      <c r="B59" s="20" t="n"/>
      <c r="C59" s="20" t="n"/>
      <c r="D59" s="20" t="n"/>
      <c r="E59" s="20" t="n"/>
    </row>
    <row r="60">
      <c r="A60" s="32" t="n"/>
      <c r="B60" s="20" t="n"/>
      <c r="C60" s="20" t="n"/>
      <c r="D60" s="20" t="n"/>
      <c r="E60" s="20" t="n"/>
    </row>
    <row r="61">
      <c r="A61" s="32" t="n"/>
      <c r="B61" s="20" t="n"/>
      <c r="C61" s="20" t="n"/>
      <c r="D61" s="20" t="n"/>
      <c r="E61" s="20" t="n"/>
    </row>
    <row r="62">
      <c r="A62" s="32" t="n"/>
      <c r="B62" s="20" t="n"/>
      <c r="C62" s="20" t="n"/>
      <c r="D62" s="20" t="n"/>
      <c r="E62" s="20" t="n"/>
    </row>
    <row r="63">
      <c r="A63" s="32" t="n"/>
      <c r="B63" s="20" t="n"/>
      <c r="C63" s="20" t="n"/>
      <c r="D63" s="20" t="n"/>
      <c r="E63" s="20" t="n"/>
    </row>
    <row r="64">
      <c r="A64" s="32" t="n"/>
      <c r="B64" s="20" t="n"/>
      <c r="C64" s="20" t="n"/>
      <c r="D64" s="20" t="n"/>
      <c r="E64" s="20" t="n"/>
    </row>
    <row r="65">
      <c r="A65" s="32" t="n"/>
      <c r="B65" s="20" t="n"/>
      <c r="C65" s="20" t="n"/>
      <c r="D65" s="20" t="n"/>
      <c r="E65" s="20" t="n"/>
    </row>
    <row r="66">
      <c r="A66" s="32" t="n"/>
      <c r="B66" s="20" t="n"/>
      <c r="C66" s="20" t="n"/>
      <c r="D66" s="20" t="n"/>
      <c r="E66" s="20" t="n"/>
    </row>
    <row r="67">
      <c r="A67" s="32" t="n"/>
      <c r="B67" s="20" t="n"/>
      <c r="C67" s="20" t="n"/>
      <c r="D67" s="20" t="n"/>
      <c r="E67" s="20" t="n"/>
    </row>
    <row r="68">
      <c r="A68" s="32" t="n"/>
      <c r="B68" s="20" t="n"/>
      <c r="C68" s="20" t="n"/>
      <c r="D68" s="20" t="n"/>
      <c r="E68" s="20" t="n"/>
    </row>
    <row r="69">
      <c r="A69" s="32" t="n"/>
      <c r="B69" s="20" t="n"/>
      <c r="C69" s="20" t="n"/>
      <c r="D69" s="20" t="n"/>
      <c r="E69" s="20" t="n"/>
    </row>
    <row r="70">
      <c r="A70" s="32" t="n"/>
      <c r="B70" s="20" t="n"/>
      <c r="C70" s="20" t="n"/>
      <c r="D70" s="20" t="n"/>
      <c r="E70" s="20" t="n"/>
    </row>
    <row r="71">
      <c r="A71" s="32" t="n"/>
      <c r="B71" s="20" t="n"/>
      <c r="C71" s="20" t="n"/>
      <c r="D71" s="20" t="n"/>
      <c r="E71" s="20" t="n"/>
    </row>
    <row r="72">
      <c r="A72" s="32" t="n"/>
      <c r="B72" s="20" t="n"/>
      <c r="C72" s="20" t="n"/>
      <c r="D72" s="20" t="n"/>
      <c r="E72" s="20" t="n"/>
    </row>
    <row r="73">
      <c r="A73" s="32" t="n"/>
      <c r="B73" s="20" t="n"/>
      <c r="C73" s="20" t="n"/>
      <c r="D73" s="20" t="n"/>
      <c r="E73" s="20" t="n"/>
    </row>
    <row r="74">
      <c r="A74" s="32" t="n"/>
      <c r="B74" s="20" t="n"/>
      <c r="C74" s="20" t="n"/>
      <c r="D74" s="20" t="n"/>
      <c r="E74" s="20" t="n"/>
    </row>
    <row r="75">
      <c r="A75" s="32" t="n"/>
      <c r="B75" s="20" t="n"/>
      <c r="C75" s="20" t="n"/>
      <c r="D75" s="20" t="n"/>
      <c r="E75" s="20" t="n"/>
    </row>
    <row r="76">
      <c r="A76" s="32" t="n"/>
      <c r="B76" s="20" t="n"/>
      <c r="C76" s="20" t="n"/>
      <c r="D76" s="20" t="n"/>
      <c r="E76" s="20" t="n"/>
    </row>
    <row r="77">
      <c r="A77" s="32" t="n"/>
      <c r="B77" s="20" t="n"/>
      <c r="C77" s="20" t="n"/>
      <c r="D77" s="20" t="n"/>
      <c r="E77" s="20" t="n"/>
    </row>
    <row r="78">
      <c r="A78" s="32" t="n"/>
      <c r="B78" s="20" t="n"/>
      <c r="C78" s="20" t="n"/>
      <c r="D78" s="20" t="n"/>
      <c r="E78" s="20" t="n"/>
    </row>
    <row r="79">
      <c r="A79" s="32" t="n"/>
      <c r="B79" s="20" t="n"/>
      <c r="C79" s="20" t="n"/>
      <c r="D79" s="20" t="n"/>
      <c r="E79" s="20" t="n"/>
    </row>
    <row r="80">
      <c r="A80" s="32" t="n"/>
      <c r="B80" s="20" t="n"/>
      <c r="C80" s="20" t="n"/>
      <c r="D80" s="20" t="n"/>
      <c r="E80" s="20" t="n"/>
    </row>
    <row r="81">
      <c r="A81" s="32" t="n"/>
      <c r="B81" s="20" t="n"/>
      <c r="C81" s="20" t="n"/>
      <c r="D81" s="20" t="n"/>
      <c r="E81" s="20" t="n"/>
    </row>
    <row r="82">
      <c r="A82" s="32" t="n"/>
      <c r="B82" s="20" t="n"/>
      <c r="C82" s="20" t="n"/>
      <c r="D82" s="20" t="n"/>
      <c r="E82" s="20" t="n"/>
    </row>
    <row r="83">
      <c r="A83" s="32" t="n"/>
      <c r="B83" s="20" t="n"/>
      <c r="C83" s="20" t="n"/>
      <c r="D83" s="20" t="n"/>
      <c r="E83" s="20" t="n"/>
    </row>
    <row r="84">
      <c r="A84" s="32" t="n"/>
      <c r="B84" s="20" t="n"/>
      <c r="C84" s="20" t="n"/>
      <c r="D84" s="20" t="n"/>
      <c r="E84" s="20" t="n"/>
    </row>
    <row r="85">
      <c r="A85" s="32" t="n"/>
      <c r="B85" s="20" t="n"/>
      <c r="C85" s="20" t="n"/>
      <c r="D85" s="20" t="n"/>
      <c r="E85" s="20" t="n"/>
    </row>
    <row r="86">
      <c r="A86" s="32" t="n"/>
      <c r="B86" s="20" t="n"/>
      <c r="C86" s="20" t="n"/>
      <c r="D86" s="20" t="n"/>
      <c r="E86" s="20" t="n"/>
    </row>
    <row r="87">
      <c r="A87" s="32" t="n"/>
      <c r="B87" s="20" t="n"/>
      <c r="C87" s="20" t="n"/>
      <c r="D87" s="20" t="n"/>
      <c r="E87" s="20" t="n"/>
    </row>
    <row r="88">
      <c r="A88" s="32" t="n"/>
      <c r="B88" s="20" t="n"/>
      <c r="C88" s="20" t="n"/>
      <c r="D88" s="20" t="n"/>
      <c r="E88" s="20" t="n"/>
    </row>
    <row r="89">
      <c r="A89" s="32" t="n"/>
      <c r="B89" s="20" t="n"/>
      <c r="C89" s="20" t="n"/>
      <c r="D89" s="20" t="n"/>
      <c r="E89" s="20" t="n"/>
    </row>
    <row r="90">
      <c r="A90" s="32" t="n"/>
      <c r="B90" s="20" t="n"/>
      <c r="C90" s="20" t="n"/>
      <c r="D90" s="20" t="n"/>
      <c r="E90" s="20" t="n"/>
    </row>
    <row r="91">
      <c r="A91" s="32" t="n"/>
      <c r="B91" s="20" t="n"/>
      <c r="C91" s="20" t="n"/>
      <c r="D91" s="20" t="n"/>
      <c r="E91" s="20" t="n"/>
    </row>
    <row r="92">
      <c r="A92" s="32" t="n"/>
      <c r="B92" s="20" t="n"/>
      <c r="C92" s="20" t="n"/>
      <c r="D92" s="20" t="n"/>
      <c r="E92" s="20" t="n"/>
    </row>
    <row r="93">
      <c r="A93" s="32" t="n"/>
      <c r="B93" s="20" t="n"/>
      <c r="C93" s="20" t="n"/>
      <c r="D93" s="20" t="n"/>
      <c r="E93" s="20" t="n"/>
    </row>
    <row r="94">
      <c r="A94" s="32" t="n"/>
      <c r="B94" s="20" t="n"/>
      <c r="C94" s="20" t="n"/>
      <c r="D94" s="20" t="n"/>
      <c r="E94" s="20" t="n"/>
    </row>
    <row r="95">
      <c r="A95" s="32" t="n"/>
      <c r="B95" s="20" t="n"/>
      <c r="C95" s="20" t="n"/>
      <c r="D95" s="20" t="n"/>
      <c r="E95" s="20" t="n"/>
    </row>
    <row r="96">
      <c r="A96" s="32" t="n"/>
      <c r="B96" s="20" t="n"/>
      <c r="C96" s="20" t="n"/>
      <c r="D96" s="20" t="n"/>
      <c r="E96" s="20" t="n"/>
    </row>
    <row r="97">
      <c r="A97" s="32" t="n"/>
      <c r="B97" s="20" t="n"/>
      <c r="C97" s="20" t="n"/>
      <c r="D97" s="20" t="n"/>
      <c r="E97" s="20" t="n"/>
    </row>
    <row r="98">
      <c r="A98" s="32" t="n"/>
      <c r="B98" s="20" t="n"/>
      <c r="C98" s="20" t="n"/>
      <c r="D98" s="20" t="n"/>
      <c r="E98" s="20" t="n"/>
    </row>
    <row r="99">
      <c r="A99" s="32" t="n"/>
      <c r="B99" s="20" t="n"/>
      <c r="C99" s="20" t="n"/>
      <c r="D99" s="20" t="n"/>
      <c r="E99" s="20" t="n"/>
    </row>
    <row r="100">
      <c r="A100" s="32" t="n"/>
      <c r="B100" s="20" t="n"/>
      <c r="C100" s="20" t="n"/>
      <c r="D100" s="20" t="n"/>
      <c r="E100" s="20" t="n"/>
    </row>
    <row r="101">
      <c r="A101" s="32" t="n"/>
      <c r="B101" s="20" t="n"/>
      <c r="C101" s="20" t="n"/>
      <c r="D101" s="20" t="n"/>
      <c r="E101" s="20" t="n"/>
    </row>
    <row r="102">
      <c r="A102" s="32" t="n"/>
      <c r="B102" s="20" t="n"/>
      <c r="C102" s="20" t="n"/>
      <c r="D102" s="20" t="n"/>
      <c r="E102" s="20" t="n"/>
    </row>
    <row r="103">
      <c r="A103" s="32" t="n"/>
      <c r="B103" s="20" t="n"/>
      <c r="C103" s="20" t="n"/>
      <c r="D103" s="20" t="n"/>
      <c r="E103" s="20" t="n"/>
    </row>
    <row r="104">
      <c r="A104" s="32" t="n"/>
      <c r="B104" s="20" t="n"/>
      <c r="C104" s="20" t="n"/>
      <c r="D104" s="20" t="n"/>
      <c r="E104" s="20" t="n"/>
    </row>
    <row r="105">
      <c r="A105" s="32" t="n"/>
      <c r="B105" s="20" t="n"/>
      <c r="C105" s="20" t="n"/>
      <c r="D105" s="20" t="n"/>
      <c r="E105" s="20" t="n"/>
    </row>
    <row r="106">
      <c r="A106" s="32" t="n"/>
      <c r="B106" s="20" t="n"/>
      <c r="C106" s="20" t="n"/>
      <c r="D106" s="20" t="n"/>
      <c r="E106" s="20" t="n"/>
    </row>
    <row r="107">
      <c r="A107" s="32" t="n"/>
      <c r="B107" s="20" t="n"/>
      <c r="C107" s="20" t="n"/>
      <c r="D107" s="20" t="n"/>
      <c r="E107" s="20" t="n"/>
    </row>
    <row r="108">
      <c r="A108" s="32" t="n"/>
      <c r="B108" s="20" t="n"/>
      <c r="C108" s="20" t="n"/>
      <c r="D108" s="20" t="n"/>
      <c r="E108" s="20" t="n"/>
    </row>
    <row r="109">
      <c r="A109" s="32" t="n"/>
      <c r="B109" s="20" t="n"/>
      <c r="C109" s="20" t="n"/>
      <c r="D109" s="20" t="n"/>
      <c r="E109" s="20" t="n"/>
    </row>
    <row r="110">
      <c r="A110" s="32" t="n"/>
      <c r="B110" s="20" t="n"/>
      <c r="C110" s="20" t="n"/>
      <c r="D110" s="20" t="n"/>
      <c r="E110" s="20" t="n"/>
    </row>
    <row r="111">
      <c r="A111" s="32" t="n"/>
      <c r="B111" s="20" t="n"/>
      <c r="C111" s="20" t="n"/>
      <c r="D111" s="20" t="n"/>
      <c r="E111" s="20" t="n"/>
    </row>
    <row r="112">
      <c r="A112" s="32" t="n"/>
      <c r="B112" s="20" t="n"/>
      <c r="C112" s="20" t="n"/>
      <c r="D112" s="20" t="n"/>
      <c r="E112" s="20" t="n"/>
    </row>
    <row r="113">
      <c r="A113" s="32" t="n"/>
      <c r="B113" s="20" t="n"/>
      <c r="C113" s="20" t="n"/>
      <c r="D113" s="20" t="n"/>
      <c r="E113" s="20" t="n"/>
    </row>
    <row r="114">
      <c r="A114" s="32" t="n"/>
      <c r="B114" s="20" t="n"/>
      <c r="C114" s="20" t="n"/>
      <c r="D114" s="20" t="n"/>
      <c r="E114" s="20" t="n"/>
    </row>
    <row r="115">
      <c r="A115" s="32" t="n"/>
      <c r="B115" s="20" t="n"/>
      <c r="C115" s="20" t="n"/>
      <c r="D115" s="20" t="n"/>
      <c r="E115" s="20" t="n"/>
    </row>
    <row r="116">
      <c r="A116" s="32" t="n"/>
      <c r="B116" s="20" t="n"/>
      <c r="C116" s="20" t="n"/>
      <c r="D116" s="20" t="n"/>
      <c r="E116" s="20" t="n"/>
    </row>
    <row r="117">
      <c r="A117" s="32" t="n"/>
      <c r="B117" s="20" t="n"/>
      <c r="C117" s="20" t="n"/>
      <c r="D117" s="20" t="n"/>
      <c r="E117" s="20" t="n"/>
    </row>
    <row r="118">
      <c r="A118" s="32" t="n"/>
      <c r="B118" s="20" t="n"/>
      <c r="C118" s="20" t="n"/>
      <c r="D118" s="20" t="n"/>
      <c r="E118" s="20" t="n"/>
    </row>
    <row r="119">
      <c r="A119" s="32" t="n"/>
      <c r="B119" s="20" t="n"/>
      <c r="C119" s="20" t="n"/>
      <c r="D119" s="20" t="n"/>
      <c r="E119" s="20" t="n"/>
    </row>
    <row r="120">
      <c r="A120" s="32" t="n"/>
      <c r="B120" s="20" t="n"/>
      <c r="C120" s="20" t="n"/>
      <c r="D120" s="20" t="n"/>
      <c r="E120" s="20" t="n"/>
    </row>
    <row r="121">
      <c r="A121" s="32" t="n"/>
      <c r="B121" s="20" t="n"/>
      <c r="C121" s="20" t="n"/>
      <c r="D121" s="20" t="n"/>
      <c r="E121" s="20" t="n"/>
    </row>
    <row r="122">
      <c r="A122" s="32" t="n"/>
      <c r="B122" s="20" t="n"/>
      <c r="C122" s="20" t="n"/>
      <c r="D122" s="20" t="n"/>
      <c r="E122" s="20" t="n"/>
    </row>
    <row r="123">
      <c r="A123" s="32" t="n"/>
      <c r="B123" s="20" t="n"/>
      <c r="C123" s="20" t="n"/>
      <c r="D123" s="20" t="n"/>
      <c r="E123" s="20" t="n"/>
    </row>
    <row r="124">
      <c r="A124" s="32" t="n"/>
      <c r="B124" s="20" t="n"/>
      <c r="C124" s="20" t="n"/>
      <c r="D124" s="20" t="n"/>
      <c r="E124" s="20" t="n"/>
    </row>
    <row r="125">
      <c r="A125" s="32" t="n"/>
      <c r="B125" s="20" t="n"/>
      <c r="C125" s="20" t="n"/>
      <c r="D125" s="20" t="n"/>
      <c r="E125" s="20" t="n"/>
    </row>
    <row r="126">
      <c r="A126" s="32" t="n"/>
      <c r="B126" s="20" t="n"/>
      <c r="C126" s="20" t="n"/>
      <c r="D126" s="20" t="n"/>
      <c r="E126" s="20" t="n"/>
    </row>
    <row r="127">
      <c r="A127" s="32" t="n"/>
      <c r="B127" s="20" t="n"/>
      <c r="C127" s="20" t="n"/>
      <c r="D127" s="20" t="n"/>
      <c r="E127" s="20" t="n"/>
    </row>
    <row r="128">
      <c r="A128" s="32" t="n"/>
      <c r="B128" s="20" t="n"/>
      <c r="C128" s="20" t="n"/>
      <c r="D128" s="20" t="n"/>
      <c r="E128" s="20" t="n"/>
    </row>
    <row r="129">
      <c r="A129" s="32" t="n"/>
      <c r="B129" s="20" t="n"/>
      <c r="C129" s="20" t="n"/>
      <c r="D129" s="20" t="n"/>
      <c r="E129" s="20" t="n"/>
    </row>
    <row r="130">
      <c r="A130" s="32" t="n"/>
      <c r="B130" s="20" t="n"/>
      <c r="C130" s="20" t="n"/>
      <c r="D130" s="20" t="n"/>
      <c r="E130" s="20" t="n"/>
    </row>
    <row r="131">
      <c r="A131" s="32" t="n"/>
      <c r="B131" s="20" t="n"/>
      <c r="C131" s="20" t="n"/>
      <c r="D131" s="20" t="n"/>
      <c r="E131" s="20" t="n"/>
    </row>
    <row r="132">
      <c r="A132" s="32" t="n"/>
      <c r="B132" s="20" t="n"/>
      <c r="C132" s="20" t="n"/>
      <c r="D132" s="20" t="n"/>
      <c r="E132" s="20" t="n"/>
    </row>
    <row r="133">
      <c r="A133" s="32" t="n"/>
      <c r="B133" s="20" t="n"/>
      <c r="C133" s="20" t="n"/>
      <c r="D133" s="20" t="n"/>
      <c r="E133" s="20" t="n"/>
    </row>
    <row r="134">
      <c r="A134" s="32" t="n"/>
      <c r="B134" s="20" t="n"/>
      <c r="C134" s="20" t="n"/>
      <c r="D134" s="20" t="n"/>
      <c r="E134" s="20" t="n"/>
    </row>
    <row r="135">
      <c r="A135" s="32" t="n"/>
      <c r="B135" s="20" t="n"/>
      <c r="C135" s="20" t="n"/>
      <c r="D135" s="20" t="n"/>
      <c r="E135" s="20" t="n"/>
    </row>
    <row r="136">
      <c r="A136" s="32" t="n"/>
      <c r="B136" s="20" t="n"/>
      <c r="C136" s="20" t="n"/>
      <c r="D136" s="20" t="n"/>
      <c r="E136" s="20" t="n"/>
    </row>
    <row r="137">
      <c r="A137" s="32" t="n"/>
      <c r="B137" s="20" t="n"/>
      <c r="C137" s="20" t="n"/>
      <c r="D137" s="20" t="n"/>
      <c r="E137" s="20" t="n"/>
    </row>
    <row r="138">
      <c r="A138" s="32" t="n"/>
      <c r="B138" s="20" t="n"/>
      <c r="C138" s="20" t="n"/>
      <c r="D138" s="20" t="n"/>
      <c r="E138" s="20" t="n"/>
    </row>
    <row r="139">
      <c r="A139" s="32" t="n"/>
      <c r="B139" s="20" t="n"/>
      <c r="C139" s="20" t="n"/>
      <c r="D139" s="20" t="n"/>
      <c r="E139" s="20" t="n"/>
    </row>
    <row r="140">
      <c r="A140" s="32" t="n"/>
      <c r="B140" s="20" t="n"/>
      <c r="C140" s="20" t="n"/>
      <c r="D140" s="20" t="n"/>
      <c r="E140" s="20" t="n"/>
    </row>
    <row r="141">
      <c r="A141" s="32" t="n"/>
      <c r="B141" s="20" t="n"/>
      <c r="C141" s="20" t="n"/>
      <c r="D141" s="20" t="n"/>
      <c r="E141" s="20" t="n"/>
    </row>
    <row r="142">
      <c r="A142" s="32" t="n"/>
      <c r="B142" s="20" t="n"/>
      <c r="C142" s="20" t="n"/>
      <c r="D142" s="20" t="n"/>
      <c r="E142" s="20" t="n"/>
    </row>
    <row r="143">
      <c r="A143" s="32" t="n"/>
      <c r="B143" s="20" t="n"/>
      <c r="C143" s="20" t="n"/>
      <c r="D143" s="20" t="n"/>
      <c r="E143" s="20" t="n"/>
    </row>
    <row r="144">
      <c r="A144" s="32" t="n"/>
      <c r="B144" s="20" t="n"/>
      <c r="C144" s="20" t="n"/>
      <c r="D144" s="20" t="n"/>
      <c r="E144" s="20" t="n"/>
    </row>
    <row r="145">
      <c r="A145" s="32" t="n"/>
      <c r="B145" s="20" t="n"/>
      <c r="C145" s="20" t="n"/>
      <c r="D145" s="20" t="n"/>
      <c r="E145" s="20" t="n"/>
    </row>
    <row r="146">
      <c r="A146" s="32" t="n"/>
      <c r="B146" s="20" t="n"/>
      <c r="C146" s="20" t="n"/>
      <c r="D146" s="20" t="n"/>
      <c r="E146" s="20" t="n"/>
    </row>
    <row r="147">
      <c r="A147" s="32" t="n"/>
      <c r="B147" s="20" t="n"/>
      <c r="C147" s="20" t="n"/>
      <c r="D147" s="20" t="n"/>
      <c r="E147" s="20" t="n"/>
    </row>
    <row r="148">
      <c r="A148" s="32" t="n"/>
      <c r="B148" s="20" t="n"/>
      <c r="C148" s="20" t="n"/>
      <c r="D148" s="20" t="n"/>
      <c r="E148" s="20" t="n"/>
    </row>
    <row r="149">
      <c r="A149" s="32" t="n"/>
      <c r="B149" s="20" t="n"/>
      <c r="C149" s="20" t="n"/>
      <c r="D149" s="20" t="n"/>
      <c r="E149" s="20" t="n"/>
    </row>
    <row r="150">
      <c r="A150" s="32" t="n"/>
      <c r="B150" s="20" t="n"/>
      <c r="C150" s="20" t="n"/>
      <c r="D150" s="20" t="n"/>
      <c r="E150" s="20" t="n"/>
    </row>
    <row r="151">
      <c r="A151" s="32" t="n"/>
      <c r="B151" s="20" t="n"/>
      <c r="C151" s="20" t="n"/>
      <c r="D151" s="20" t="n"/>
      <c r="E151" s="20" t="n"/>
    </row>
    <row r="152">
      <c r="A152" s="32" t="n"/>
      <c r="B152" s="20" t="n"/>
      <c r="C152" s="20" t="n"/>
      <c r="D152" s="20" t="n"/>
      <c r="E152" s="20" t="n"/>
    </row>
    <row r="153">
      <c r="A153" s="32" t="n"/>
      <c r="B153" s="20" t="n"/>
      <c r="C153" s="20" t="n"/>
      <c r="D153" s="20" t="n"/>
      <c r="E153" s="20" t="n"/>
    </row>
    <row r="154">
      <c r="A154" s="32" t="n"/>
      <c r="B154" s="20" t="n"/>
      <c r="C154" s="20" t="n"/>
      <c r="D154" s="20" t="n"/>
      <c r="E154" s="20" t="n"/>
    </row>
    <row r="155">
      <c r="A155" s="32" t="n"/>
      <c r="B155" s="20" t="n"/>
      <c r="C155" s="20" t="n"/>
      <c r="D155" s="20" t="n"/>
      <c r="E155" s="20" t="n"/>
    </row>
    <row r="156">
      <c r="A156" s="32" t="n"/>
      <c r="B156" s="20" t="n"/>
      <c r="C156" s="20" t="n"/>
      <c r="D156" s="20" t="n"/>
      <c r="E156" s="20" t="n"/>
    </row>
    <row r="157">
      <c r="A157" s="32" t="n"/>
      <c r="B157" s="20" t="n"/>
      <c r="C157" s="20" t="n"/>
      <c r="D157" s="20" t="n"/>
      <c r="E157" s="20" t="n"/>
    </row>
    <row r="158">
      <c r="A158" s="32" t="n"/>
      <c r="B158" s="20" t="n"/>
      <c r="C158" s="20" t="n"/>
      <c r="D158" s="20" t="n"/>
      <c r="E158" s="20" t="n"/>
    </row>
    <row r="159">
      <c r="A159" s="32" t="n"/>
      <c r="B159" s="20" t="n"/>
      <c r="C159" s="20" t="n"/>
      <c r="D159" s="20" t="n"/>
      <c r="E159" s="20" t="n"/>
    </row>
    <row r="160">
      <c r="A160" s="32" t="n"/>
      <c r="B160" s="20" t="n"/>
      <c r="C160" s="20" t="n"/>
      <c r="D160" s="20" t="n"/>
      <c r="E160" s="20" t="n"/>
    </row>
    <row r="161">
      <c r="A161" s="32" t="n"/>
      <c r="B161" s="20" t="n"/>
      <c r="C161" s="20" t="n"/>
      <c r="D161" s="20" t="n"/>
      <c r="E161" s="20" t="n"/>
    </row>
    <row r="162">
      <c r="A162" s="32" t="n"/>
      <c r="B162" s="20" t="n"/>
      <c r="C162" s="20" t="n"/>
      <c r="D162" s="20" t="n"/>
      <c r="E162" s="20" t="n"/>
    </row>
    <row r="163">
      <c r="A163" s="32" t="n"/>
      <c r="B163" s="20" t="n"/>
      <c r="C163" s="20" t="n"/>
      <c r="D163" s="20" t="n"/>
      <c r="E163" s="20" t="n"/>
    </row>
    <row r="164">
      <c r="A164" s="32" t="n"/>
      <c r="B164" s="20" t="n"/>
      <c r="C164" s="20" t="n"/>
      <c r="D164" s="20" t="n"/>
      <c r="E164" s="20" t="n"/>
    </row>
    <row r="165">
      <c r="A165" s="32" t="n"/>
      <c r="B165" s="20" t="n"/>
      <c r="C165" s="20" t="n"/>
      <c r="D165" s="20" t="n"/>
      <c r="E165" s="20" t="n"/>
    </row>
    <row r="166">
      <c r="A166" s="32" t="n"/>
      <c r="B166" s="20" t="n"/>
      <c r="C166" s="20" t="n"/>
      <c r="D166" s="20" t="n"/>
      <c r="E166" s="20" t="n"/>
    </row>
    <row r="167">
      <c r="A167" s="32" t="n"/>
      <c r="B167" s="20" t="n"/>
      <c r="C167" s="20" t="n"/>
      <c r="D167" s="20" t="n"/>
      <c r="E167" s="20" t="n"/>
    </row>
    <row r="168">
      <c r="A168" s="32" t="n"/>
      <c r="B168" s="20" t="n"/>
      <c r="C168" s="20" t="n"/>
      <c r="D168" s="20" t="n"/>
      <c r="E168" s="20" t="n"/>
    </row>
    <row r="169">
      <c r="A169" s="32" t="n"/>
      <c r="B169" s="20" t="n"/>
      <c r="C169" s="20" t="n"/>
      <c r="D169" s="20" t="n"/>
      <c r="E169" s="20" t="n"/>
    </row>
    <row r="170">
      <c r="A170" s="32" t="n"/>
      <c r="B170" s="20" t="n"/>
      <c r="C170" s="20" t="n"/>
      <c r="D170" s="20" t="n"/>
      <c r="E170" s="20" t="n"/>
    </row>
    <row r="171">
      <c r="A171" s="32" t="n"/>
      <c r="B171" s="20" t="n"/>
      <c r="C171" s="20" t="n"/>
      <c r="D171" s="20" t="n"/>
      <c r="E171" s="20" t="n"/>
    </row>
    <row r="172">
      <c r="A172" s="32" t="n"/>
      <c r="B172" s="20" t="n"/>
      <c r="C172" s="20" t="n"/>
      <c r="D172" s="20" t="n"/>
      <c r="E172" s="20" t="n"/>
    </row>
    <row r="173">
      <c r="A173" s="32" t="n"/>
      <c r="B173" s="20" t="n"/>
      <c r="C173" s="20" t="n"/>
      <c r="D173" s="20" t="n"/>
      <c r="E173" s="20" t="n"/>
    </row>
    <row r="174">
      <c r="A174" s="32" t="n"/>
      <c r="B174" s="20" t="n"/>
      <c r="C174" s="20" t="n"/>
      <c r="D174" s="20" t="n"/>
      <c r="E174" s="20" t="n"/>
    </row>
    <row r="175">
      <c r="A175" s="32" t="n"/>
      <c r="B175" s="20" t="n"/>
      <c r="C175" s="20" t="n"/>
      <c r="D175" s="20" t="n"/>
      <c r="E175" s="20" t="n"/>
    </row>
    <row r="176">
      <c r="A176" s="32" t="n"/>
      <c r="B176" s="20" t="n"/>
      <c r="C176" s="20" t="n"/>
      <c r="D176" s="20" t="n"/>
      <c r="E176" s="20" t="n"/>
    </row>
    <row r="177">
      <c r="A177" s="32" t="n"/>
      <c r="B177" s="20" t="n"/>
      <c r="C177" s="20" t="n"/>
      <c r="D177" s="20" t="n"/>
      <c r="E177" s="20" t="n"/>
    </row>
    <row r="178">
      <c r="A178" s="32" t="n"/>
      <c r="B178" s="20" t="n"/>
      <c r="C178" s="20" t="n"/>
      <c r="D178" s="20" t="n"/>
      <c r="E178" s="20" t="n"/>
    </row>
    <row r="179">
      <c r="A179" s="32" t="n"/>
      <c r="B179" s="20" t="n"/>
      <c r="C179" s="20" t="n"/>
      <c r="D179" s="20" t="n"/>
      <c r="E179" s="20" t="n"/>
    </row>
    <row r="180">
      <c r="A180" s="32" t="n"/>
      <c r="B180" s="20" t="n"/>
      <c r="C180" s="20" t="n"/>
      <c r="D180" s="20" t="n"/>
      <c r="E180" s="20" t="n"/>
    </row>
    <row r="181">
      <c r="A181" s="32" t="n"/>
      <c r="B181" s="20" t="n"/>
      <c r="C181" s="20" t="n"/>
      <c r="D181" s="20" t="n"/>
      <c r="E181" s="20" t="n"/>
    </row>
    <row r="182">
      <c r="A182" s="32" t="n"/>
      <c r="B182" s="20" t="n"/>
      <c r="C182" s="20" t="n"/>
      <c r="D182" s="20" t="n"/>
      <c r="E182" s="20" t="n"/>
    </row>
    <row r="183">
      <c r="A183" s="32" t="n"/>
      <c r="B183" s="20" t="n"/>
      <c r="C183" s="20" t="n"/>
      <c r="D183" s="20" t="n"/>
      <c r="E183" s="20" t="n"/>
    </row>
    <row r="184">
      <c r="A184" s="32" t="n"/>
      <c r="B184" s="20" t="n"/>
      <c r="C184" s="20" t="n"/>
      <c r="D184" s="20" t="n"/>
      <c r="E184" s="20" t="n"/>
    </row>
    <row r="185">
      <c r="A185" s="32" t="n"/>
      <c r="B185" s="20" t="n"/>
      <c r="C185" s="20" t="n"/>
      <c r="D185" s="20" t="n"/>
      <c r="E185" s="20" t="n"/>
    </row>
    <row r="186">
      <c r="A186" s="32" t="n"/>
      <c r="B186" s="20" t="n"/>
      <c r="C186" s="20" t="n"/>
      <c r="D186" s="20" t="n"/>
      <c r="E186" s="20" t="n"/>
    </row>
    <row r="187">
      <c r="A187" s="32" t="n"/>
      <c r="B187" s="20" t="n"/>
      <c r="C187" s="20" t="n"/>
      <c r="D187" s="20" t="n"/>
      <c r="E187" s="20" t="n"/>
    </row>
    <row r="188">
      <c r="A188" s="32" t="n"/>
      <c r="B188" s="20" t="n"/>
      <c r="C188" s="20" t="n"/>
      <c r="D188" s="20" t="n"/>
      <c r="E188" s="20" t="n"/>
    </row>
    <row r="189">
      <c r="A189" s="32" t="n"/>
      <c r="B189" s="20" t="n"/>
      <c r="C189" s="20" t="n"/>
      <c r="D189" s="20" t="n"/>
      <c r="E189" s="20" t="n"/>
    </row>
    <row r="190">
      <c r="A190" s="32" t="n"/>
      <c r="B190" s="20" t="n"/>
      <c r="C190" s="20" t="n"/>
      <c r="D190" s="20" t="n"/>
      <c r="E190" s="20" t="n"/>
    </row>
    <row r="191">
      <c r="A191" s="32" t="n"/>
      <c r="B191" s="20" t="n"/>
      <c r="C191" s="20" t="n"/>
      <c r="D191" s="20" t="n"/>
      <c r="E191" s="20" t="n"/>
    </row>
    <row r="192">
      <c r="A192" s="32" t="n"/>
      <c r="B192" s="20" t="n"/>
      <c r="C192" s="20" t="n"/>
      <c r="D192" s="20" t="n"/>
      <c r="E192" s="20" t="n"/>
    </row>
    <row r="193">
      <c r="A193" s="32" t="n"/>
      <c r="B193" s="20" t="n"/>
      <c r="C193" s="20" t="n"/>
      <c r="D193" s="20" t="n"/>
      <c r="E193" s="20" t="n"/>
    </row>
    <row r="194">
      <c r="A194" s="32" t="n"/>
      <c r="B194" s="20" t="n"/>
      <c r="C194" s="20" t="n"/>
      <c r="D194" s="20" t="n"/>
      <c r="E194" s="20" t="n"/>
    </row>
    <row r="195">
      <c r="A195" s="32" t="n"/>
      <c r="B195" s="20" t="n"/>
      <c r="C195" s="20" t="n"/>
      <c r="D195" s="20" t="n"/>
      <c r="E195" s="20" t="n"/>
    </row>
    <row r="196">
      <c r="A196" s="32" t="n"/>
      <c r="B196" s="20" t="n"/>
      <c r="C196" s="20" t="n"/>
      <c r="D196" s="20" t="n"/>
      <c r="E196" s="20" t="n"/>
    </row>
    <row r="197">
      <c r="A197" s="32" t="n"/>
      <c r="B197" s="20" t="n"/>
      <c r="C197" s="20" t="n"/>
      <c r="D197" s="20" t="n"/>
      <c r="E197" s="20" t="n"/>
    </row>
    <row r="198">
      <c r="A198" s="32" t="n"/>
      <c r="B198" s="20" t="n"/>
      <c r="C198" s="20" t="n"/>
      <c r="D198" s="20" t="n"/>
      <c r="E198" s="20" t="n"/>
    </row>
    <row r="199">
      <c r="A199" s="32" t="n"/>
      <c r="B199" s="20" t="n"/>
      <c r="C199" s="20" t="n"/>
      <c r="D199" s="20" t="n"/>
      <c r="E199" s="20" t="n"/>
    </row>
    <row r="200">
      <c r="A200" s="32" t="n"/>
      <c r="B200" s="20" t="n"/>
      <c r="C200" s="20" t="n"/>
      <c r="D200" s="20" t="n"/>
      <c r="E200" s="20" t="n"/>
    </row>
    <row r="201">
      <c r="A201" s="32" t="n"/>
      <c r="B201" s="20" t="n"/>
      <c r="C201" s="20" t="n"/>
      <c r="D201" s="20" t="n"/>
      <c r="E201" s="20" t="n"/>
    </row>
    <row r="202">
      <c r="A202" s="32" t="n"/>
      <c r="B202" s="20" t="n"/>
      <c r="C202" s="20" t="n"/>
      <c r="D202" s="20" t="n"/>
      <c r="E202" s="20" t="n"/>
    </row>
  </sheetData>
  <dataValidations count="1">
    <dataValidation sqref="B3:B202" showDropDown="0" showInputMessage="0" showErrorMessage="0" allowBlank="1" type="list">
      <formula1>=Setup!$B$13:$B$20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50" customWidth="1" min="4" max="4"/>
    <col width="16" customWidth="1" min="5" max="5"/>
    <col width="10" customWidth="1" min="6" max="6"/>
  </cols>
  <sheetData>
    <row r="1">
      <c r="A1" s="31" t="inlineStr">
        <is>
          <t>Log 8 · Pending cases (most likely to book)   |   Status: Open, Booked, Lost. Weekly sheet counts Open cases</t>
        </is>
      </c>
    </row>
    <row r="2" ht="32" customHeight="1">
      <c r="A2" s="15" t="inlineStr">
        <is>
          <t>Date added</t>
        </is>
      </c>
      <c r="B2" s="15" t="inlineStr">
        <is>
          <t>Client name / Deal ID</t>
        </is>
      </c>
      <c r="C2" s="15" t="inlineStr">
        <is>
          <t>Agent</t>
        </is>
      </c>
      <c r="D2" s="15" t="inlineStr">
        <is>
          <t>What is pending</t>
        </is>
      </c>
      <c r="E2" s="15" t="inlineStr">
        <is>
          <t>Expected booking date</t>
        </is>
      </c>
      <c r="F2" s="15" t="inlineStr">
        <is>
          <t>Status</t>
        </is>
      </c>
    </row>
    <row r="3">
      <c r="A3" s="32" t="n"/>
      <c r="B3" s="20" t="n"/>
      <c r="C3" s="20" t="n"/>
      <c r="D3" s="20" t="n"/>
      <c r="E3" s="32" t="n"/>
      <c r="F3" s="20" t="n"/>
    </row>
    <row r="4">
      <c r="A4" s="32" t="n"/>
      <c r="B4" s="20" t="n"/>
      <c r="C4" s="20" t="n"/>
      <c r="D4" s="20" t="n"/>
      <c r="E4" s="32" t="n"/>
      <c r="F4" s="20" t="n"/>
    </row>
    <row r="5">
      <c r="A5" s="32" t="n"/>
      <c r="B5" s="20" t="n"/>
      <c r="C5" s="20" t="n"/>
      <c r="D5" s="20" t="n"/>
      <c r="E5" s="32" t="n"/>
      <c r="F5" s="20" t="n"/>
    </row>
    <row r="6">
      <c r="A6" s="32" t="n"/>
      <c r="B6" s="20" t="n"/>
      <c r="C6" s="20" t="n"/>
      <c r="D6" s="20" t="n"/>
      <c r="E6" s="32" t="n"/>
      <c r="F6" s="20" t="n"/>
    </row>
    <row r="7">
      <c r="A7" s="32" t="n"/>
      <c r="B7" s="20" t="n"/>
      <c r="C7" s="20" t="n"/>
      <c r="D7" s="20" t="n"/>
      <c r="E7" s="32" t="n"/>
      <c r="F7" s="20" t="n"/>
    </row>
    <row r="8">
      <c r="A8" s="32" t="n"/>
      <c r="B8" s="20" t="n"/>
      <c r="C8" s="20" t="n"/>
      <c r="D8" s="20" t="n"/>
      <c r="E8" s="32" t="n"/>
      <c r="F8" s="20" t="n"/>
    </row>
    <row r="9">
      <c r="A9" s="32" t="n"/>
      <c r="B9" s="20" t="n"/>
      <c r="C9" s="20" t="n"/>
      <c r="D9" s="20" t="n"/>
      <c r="E9" s="32" t="n"/>
      <c r="F9" s="20" t="n"/>
    </row>
    <row r="10">
      <c r="A10" s="32" t="n"/>
      <c r="B10" s="20" t="n"/>
      <c r="C10" s="20" t="n"/>
      <c r="D10" s="20" t="n"/>
      <c r="E10" s="32" t="n"/>
      <c r="F10" s="20" t="n"/>
    </row>
    <row r="11">
      <c r="A11" s="32" t="n"/>
      <c r="B11" s="20" t="n"/>
      <c r="C11" s="20" t="n"/>
      <c r="D11" s="20" t="n"/>
      <c r="E11" s="32" t="n"/>
      <c r="F11" s="20" t="n"/>
    </row>
    <row r="12">
      <c r="A12" s="32" t="n"/>
      <c r="B12" s="20" t="n"/>
      <c r="C12" s="20" t="n"/>
      <c r="D12" s="20" t="n"/>
      <c r="E12" s="32" t="n"/>
      <c r="F12" s="20" t="n"/>
    </row>
    <row r="13">
      <c r="A13" s="32" t="n"/>
      <c r="B13" s="20" t="n"/>
      <c r="C13" s="20" t="n"/>
      <c r="D13" s="20" t="n"/>
      <c r="E13" s="32" t="n"/>
      <c r="F13" s="20" t="n"/>
    </row>
    <row r="14">
      <c r="A14" s="32" t="n"/>
      <c r="B14" s="20" t="n"/>
      <c r="C14" s="20" t="n"/>
      <c r="D14" s="20" t="n"/>
      <c r="E14" s="32" t="n"/>
      <c r="F14" s="20" t="n"/>
    </row>
    <row r="15">
      <c r="A15" s="32" t="n"/>
      <c r="B15" s="20" t="n"/>
      <c r="C15" s="20" t="n"/>
      <c r="D15" s="20" t="n"/>
      <c r="E15" s="32" t="n"/>
      <c r="F15" s="20" t="n"/>
    </row>
    <row r="16">
      <c r="A16" s="32" t="n"/>
      <c r="B16" s="20" t="n"/>
      <c r="C16" s="20" t="n"/>
      <c r="D16" s="20" t="n"/>
      <c r="E16" s="32" t="n"/>
      <c r="F16" s="20" t="n"/>
    </row>
    <row r="17">
      <c r="A17" s="32" t="n"/>
      <c r="B17" s="20" t="n"/>
      <c r="C17" s="20" t="n"/>
      <c r="D17" s="20" t="n"/>
      <c r="E17" s="32" t="n"/>
      <c r="F17" s="20" t="n"/>
    </row>
    <row r="18">
      <c r="A18" s="32" t="n"/>
      <c r="B18" s="20" t="n"/>
      <c r="C18" s="20" t="n"/>
      <c r="D18" s="20" t="n"/>
      <c r="E18" s="32" t="n"/>
      <c r="F18" s="20" t="n"/>
    </row>
    <row r="19">
      <c r="A19" s="32" t="n"/>
      <c r="B19" s="20" t="n"/>
      <c r="C19" s="20" t="n"/>
      <c r="D19" s="20" t="n"/>
      <c r="E19" s="32" t="n"/>
      <c r="F19" s="20" t="n"/>
    </row>
    <row r="20">
      <c r="A20" s="32" t="n"/>
      <c r="B20" s="20" t="n"/>
      <c r="C20" s="20" t="n"/>
      <c r="D20" s="20" t="n"/>
      <c r="E20" s="32" t="n"/>
      <c r="F20" s="20" t="n"/>
    </row>
    <row r="21">
      <c r="A21" s="32" t="n"/>
      <c r="B21" s="20" t="n"/>
      <c r="C21" s="20" t="n"/>
      <c r="D21" s="20" t="n"/>
      <c r="E21" s="32" t="n"/>
      <c r="F21" s="20" t="n"/>
    </row>
    <row r="22">
      <c r="A22" s="32" t="n"/>
      <c r="B22" s="20" t="n"/>
      <c r="C22" s="20" t="n"/>
      <c r="D22" s="20" t="n"/>
      <c r="E22" s="32" t="n"/>
      <c r="F22" s="20" t="n"/>
    </row>
    <row r="23">
      <c r="A23" s="32" t="n"/>
      <c r="B23" s="20" t="n"/>
      <c r="C23" s="20" t="n"/>
      <c r="D23" s="20" t="n"/>
      <c r="E23" s="32" t="n"/>
      <c r="F23" s="20" t="n"/>
    </row>
    <row r="24">
      <c r="A24" s="32" t="n"/>
      <c r="B24" s="20" t="n"/>
      <c r="C24" s="20" t="n"/>
      <c r="D24" s="20" t="n"/>
      <c r="E24" s="32" t="n"/>
      <c r="F24" s="20" t="n"/>
    </row>
    <row r="25">
      <c r="A25" s="32" t="n"/>
      <c r="B25" s="20" t="n"/>
      <c r="C25" s="20" t="n"/>
      <c r="D25" s="20" t="n"/>
      <c r="E25" s="32" t="n"/>
      <c r="F25" s="20" t="n"/>
    </row>
    <row r="26">
      <c r="A26" s="32" t="n"/>
      <c r="B26" s="20" t="n"/>
      <c r="C26" s="20" t="n"/>
      <c r="D26" s="20" t="n"/>
      <c r="E26" s="32" t="n"/>
      <c r="F26" s="20" t="n"/>
    </row>
    <row r="27">
      <c r="A27" s="32" t="n"/>
      <c r="B27" s="20" t="n"/>
      <c r="C27" s="20" t="n"/>
      <c r="D27" s="20" t="n"/>
      <c r="E27" s="32" t="n"/>
      <c r="F27" s="20" t="n"/>
    </row>
    <row r="28">
      <c r="A28" s="32" t="n"/>
      <c r="B28" s="20" t="n"/>
      <c r="C28" s="20" t="n"/>
      <c r="D28" s="20" t="n"/>
      <c r="E28" s="32" t="n"/>
      <c r="F28" s="20" t="n"/>
    </row>
    <row r="29">
      <c r="A29" s="32" t="n"/>
      <c r="B29" s="20" t="n"/>
      <c r="C29" s="20" t="n"/>
      <c r="D29" s="20" t="n"/>
      <c r="E29" s="32" t="n"/>
      <c r="F29" s="20" t="n"/>
    </row>
    <row r="30">
      <c r="A30" s="32" t="n"/>
      <c r="B30" s="20" t="n"/>
      <c r="C30" s="20" t="n"/>
      <c r="D30" s="20" t="n"/>
      <c r="E30" s="32" t="n"/>
      <c r="F30" s="20" t="n"/>
    </row>
    <row r="31">
      <c r="A31" s="32" t="n"/>
      <c r="B31" s="20" t="n"/>
      <c r="C31" s="20" t="n"/>
      <c r="D31" s="20" t="n"/>
      <c r="E31" s="32" t="n"/>
      <c r="F31" s="20" t="n"/>
    </row>
    <row r="32">
      <c r="A32" s="32" t="n"/>
      <c r="B32" s="20" t="n"/>
      <c r="C32" s="20" t="n"/>
      <c r="D32" s="20" t="n"/>
      <c r="E32" s="32" t="n"/>
      <c r="F32" s="20" t="n"/>
    </row>
    <row r="33">
      <c r="A33" s="32" t="n"/>
      <c r="B33" s="20" t="n"/>
      <c r="C33" s="20" t="n"/>
      <c r="D33" s="20" t="n"/>
      <c r="E33" s="32" t="n"/>
      <c r="F33" s="20" t="n"/>
    </row>
    <row r="34">
      <c r="A34" s="32" t="n"/>
      <c r="B34" s="20" t="n"/>
      <c r="C34" s="20" t="n"/>
      <c r="D34" s="20" t="n"/>
      <c r="E34" s="32" t="n"/>
      <c r="F34" s="20" t="n"/>
    </row>
    <row r="35">
      <c r="A35" s="32" t="n"/>
      <c r="B35" s="20" t="n"/>
      <c r="C35" s="20" t="n"/>
      <c r="D35" s="20" t="n"/>
      <c r="E35" s="32" t="n"/>
      <c r="F35" s="20" t="n"/>
    </row>
    <row r="36">
      <c r="A36" s="32" t="n"/>
      <c r="B36" s="20" t="n"/>
      <c r="C36" s="20" t="n"/>
      <c r="D36" s="20" t="n"/>
      <c r="E36" s="32" t="n"/>
      <c r="F36" s="20" t="n"/>
    </row>
    <row r="37">
      <c r="A37" s="32" t="n"/>
      <c r="B37" s="20" t="n"/>
      <c r="C37" s="20" t="n"/>
      <c r="D37" s="20" t="n"/>
      <c r="E37" s="32" t="n"/>
      <c r="F37" s="20" t="n"/>
    </row>
    <row r="38">
      <c r="A38" s="32" t="n"/>
      <c r="B38" s="20" t="n"/>
      <c r="C38" s="20" t="n"/>
      <c r="D38" s="20" t="n"/>
      <c r="E38" s="32" t="n"/>
      <c r="F38" s="20" t="n"/>
    </row>
    <row r="39">
      <c r="A39" s="32" t="n"/>
      <c r="B39" s="20" t="n"/>
      <c r="C39" s="20" t="n"/>
      <c r="D39" s="20" t="n"/>
      <c r="E39" s="32" t="n"/>
      <c r="F39" s="20" t="n"/>
    </row>
    <row r="40">
      <c r="A40" s="32" t="n"/>
      <c r="B40" s="20" t="n"/>
      <c r="C40" s="20" t="n"/>
      <c r="D40" s="20" t="n"/>
      <c r="E40" s="32" t="n"/>
      <c r="F40" s="20" t="n"/>
    </row>
    <row r="41">
      <c r="A41" s="32" t="n"/>
      <c r="B41" s="20" t="n"/>
      <c r="C41" s="20" t="n"/>
      <c r="D41" s="20" t="n"/>
      <c r="E41" s="32" t="n"/>
      <c r="F41" s="20" t="n"/>
    </row>
    <row r="42">
      <c r="A42" s="32" t="n"/>
      <c r="B42" s="20" t="n"/>
      <c r="C42" s="20" t="n"/>
      <c r="D42" s="20" t="n"/>
      <c r="E42" s="32" t="n"/>
      <c r="F42" s="20" t="n"/>
    </row>
    <row r="43">
      <c r="A43" s="32" t="n"/>
      <c r="B43" s="20" t="n"/>
      <c r="C43" s="20" t="n"/>
      <c r="D43" s="20" t="n"/>
      <c r="E43" s="32" t="n"/>
      <c r="F43" s="20" t="n"/>
    </row>
    <row r="44">
      <c r="A44" s="32" t="n"/>
      <c r="B44" s="20" t="n"/>
      <c r="C44" s="20" t="n"/>
      <c r="D44" s="20" t="n"/>
      <c r="E44" s="32" t="n"/>
      <c r="F44" s="20" t="n"/>
    </row>
    <row r="45">
      <c r="A45" s="32" t="n"/>
      <c r="B45" s="20" t="n"/>
      <c r="C45" s="20" t="n"/>
      <c r="D45" s="20" t="n"/>
      <c r="E45" s="32" t="n"/>
      <c r="F45" s="20" t="n"/>
    </row>
    <row r="46">
      <c r="A46" s="32" t="n"/>
      <c r="B46" s="20" t="n"/>
      <c r="C46" s="20" t="n"/>
      <c r="D46" s="20" t="n"/>
      <c r="E46" s="32" t="n"/>
      <c r="F46" s="20" t="n"/>
    </row>
    <row r="47">
      <c r="A47" s="32" t="n"/>
      <c r="B47" s="20" t="n"/>
      <c r="C47" s="20" t="n"/>
      <c r="D47" s="20" t="n"/>
      <c r="E47" s="32" t="n"/>
      <c r="F47" s="20" t="n"/>
    </row>
    <row r="48">
      <c r="A48" s="32" t="n"/>
      <c r="B48" s="20" t="n"/>
      <c r="C48" s="20" t="n"/>
      <c r="D48" s="20" t="n"/>
      <c r="E48" s="32" t="n"/>
      <c r="F48" s="20" t="n"/>
    </row>
    <row r="49">
      <c r="A49" s="32" t="n"/>
      <c r="B49" s="20" t="n"/>
      <c r="C49" s="20" t="n"/>
      <c r="D49" s="20" t="n"/>
      <c r="E49" s="32" t="n"/>
      <c r="F49" s="20" t="n"/>
    </row>
    <row r="50">
      <c r="A50" s="32" t="n"/>
      <c r="B50" s="20" t="n"/>
      <c r="C50" s="20" t="n"/>
      <c r="D50" s="20" t="n"/>
      <c r="E50" s="32" t="n"/>
      <c r="F50" s="20" t="n"/>
    </row>
    <row r="51">
      <c r="A51" s="32" t="n"/>
      <c r="B51" s="20" t="n"/>
      <c r="C51" s="20" t="n"/>
      <c r="D51" s="20" t="n"/>
      <c r="E51" s="32" t="n"/>
      <c r="F51" s="20" t="n"/>
    </row>
    <row r="52">
      <c r="A52" s="32" t="n"/>
      <c r="B52" s="20" t="n"/>
      <c r="C52" s="20" t="n"/>
      <c r="D52" s="20" t="n"/>
      <c r="E52" s="32" t="n"/>
      <c r="F52" s="20" t="n"/>
    </row>
    <row r="53">
      <c r="A53" s="32" t="n"/>
      <c r="B53" s="20" t="n"/>
      <c r="C53" s="20" t="n"/>
      <c r="D53" s="20" t="n"/>
      <c r="E53" s="32" t="n"/>
      <c r="F53" s="20" t="n"/>
    </row>
    <row r="54">
      <c r="A54" s="32" t="n"/>
      <c r="B54" s="20" t="n"/>
      <c r="C54" s="20" t="n"/>
      <c r="D54" s="20" t="n"/>
      <c r="E54" s="32" t="n"/>
      <c r="F54" s="20" t="n"/>
    </row>
    <row r="55">
      <c r="A55" s="32" t="n"/>
      <c r="B55" s="20" t="n"/>
      <c r="C55" s="20" t="n"/>
      <c r="D55" s="20" t="n"/>
      <c r="E55" s="32" t="n"/>
      <c r="F55" s="20" t="n"/>
    </row>
    <row r="56">
      <c r="A56" s="32" t="n"/>
      <c r="B56" s="20" t="n"/>
      <c r="C56" s="20" t="n"/>
      <c r="D56" s="20" t="n"/>
      <c r="E56" s="32" t="n"/>
      <c r="F56" s="20" t="n"/>
    </row>
    <row r="57">
      <c r="A57" s="32" t="n"/>
      <c r="B57" s="20" t="n"/>
      <c r="C57" s="20" t="n"/>
      <c r="D57" s="20" t="n"/>
      <c r="E57" s="32" t="n"/>
      <c r="F57" s="20" t="n"/>
    </row>
    <row r="58">
      <c r="A58" s="32" t="n"/>
      <c r="B58" s="20" t="n"/>
      <c r="C58" s="20" t="n"/>
      <c r="D58" s="20" t="n"/>
      <c r="E58" s="32" t="n"/>
      <c r="F58" s="20" t="n"/>
    </row>
    <row r="59">
      <c r="A59" s="32" t="n"/>
      <c r="B59" s="20" t="n"/>
      <c r="C59" s="20" t="n"/>
      <c r="D59" s="20" t="n"/>
      <c r="E59" s="32" t="n"/>
      <c r="F59" s="20" t="n"/>
    </row>
    <row r="60">
      <c r="A60" s="32" t="n"/>
      <c r="B60" s="20" t="n"/>
      <c r="C60" s="20" t="n"/>
      <c r="D60" s="20" t="n"/>
      <c r="E60" s="32" t="n"/>
      <c r="F60" s="20" t="n"/>
    </row>
    <row r="61">
      <c r="A61" s="32" t="n"/>
      <c r="B61" s="20" t="n"/>
      <c r="C61" s="20" t="n"/>
      <c r="D61" s="20" t="n"/>
      <c r="E61" s="32" t="n"/>
      <c r="F61" s="20" t="n"/>
    </row>
    <row r="62">
      <c r="A62" s="32" t="n"/>
      <c r="B62" s="20" t="n"/>
      <c r="C62" s="20" t="n"/>
      <c r="D62" s="20" t="n"/>
      <c r="E62" s="32" t="n"/>
      <c r="F62" s="20" t="n"/>
    </row>
    <row r="63">
      <c r="A63" s="32" t="n"/>
      <c r="B63" s="20" t="n"/>
      <c r="C63" s="20" t="n"/>
      <c r="D63" s="20" t="n"/>
      <c r="E63" s="32" t="n"/>
      <c r="F63" s="20" t="n"/>
    </row>
    <row r="64">
      <c r="A64" s="32" t="n"/>
      <c r="B64" s="20" t="n"/>
      <c r="C64" s="20" t="n"/>
      <c r="D64" s="20" t="n"/>
      <c r="E64" s="32" t="n"/>
      <c r="F64" s="20" t="n"/>
    </row>
    <row r="65">
      <c r="A65" s="32" t="n"/>
      <c r="B65" s="20" t="n"/>
      <c r="C65" s="20" t="n"/>
      <c r="D65" s="20" t="n"/>
      <c r="E65" s="32" t="n"/>
      <c r="F65" s="20" t="n"/>
    </row>
    <row r="66">
      <c r="A66" s="32" t="n"/>
      <c r="B66" s="20" t="n"/>
      <c r="C66" s="20" t="n"/>
      <c r="D66" s="20" t="n"/>
      <c r="E66" s="32" t="n"/>
      <c r="F66" s="20" t="n"/>
    </row>
    <row r="67">
      <c r="A67" s="32" t="n"/>
      <c r="B67" s="20" t="n"/>
      <c r="C67" s="20" t="n"/>
      <c r="D67" s="20" t="n"/>
      <c r="E67" s="32" t="n"/>
      <c r="F67" s="20" t="n"/>
    </row>
    <row r="68">
      <c r="A68" s="32" t="n"/>
      <c r="B68" s="20" t="n"/>
      <c r="C68" s="20" t="n"/>
      <c r="D68" s="20" t="n"/>
      <c r="E68" s="32" t="n"/>
      <c r="F68" s="20" t="n"/>
    </row>
    <row r="69">
      <c r="A69" s="32" t="n"/>
      <c r="B69" s="20" t="n"/>
      <c r="C69" s="20" t="n"/>
      <c r="D69" s="20" t="n"/>
      <c r="E69" s="32" t="n"/>
      <c r="F69" s="20" t="n"/>
    </row>
    <row r="70">
      <c r="A70" s="32" t="n"/>
      <c r="B70" s="20" t="n"/>
      <c r="C70" s="20" t="n"/>
      <c r="D70" s="20" t="n"/>
      <c r="E70" s="32" t="n"/>
      <c r="F70" s="20" t="n"/>
    </row>
    <row r="71">
      <c r="A71" s="32" t="n"/>
      <c r="B71" s="20" t="n"/>
      <c r="C71" s="20" t="n"/>
      <c r="D71" s="20" t="n"/>
      <c r="E71" s="32" t="n"/>
      <c r="F71" s="20" t="n"/>
    </row>
    <row r="72">
      <c r="A72" s="32" t="n"/>
      <c r="B72" s="20" t="n"/>
      <c r="C72" s="20" t="n"/>
      <c r="D72" s="20" t="n"/>
      <c r="E72" s="32" t="n"/>
      <c r="F72" s="20" t="n"/>
    </row>
    <row r="73">
      <c r="A73" s="32" t="n"/>
      <c r="B73" s="20" t="n"/>
      <c r="C73" s="20" t="n"/>
      <c r="D73" s="20" t="n"/>
      <c r="E73" s="32" t="n"/>
      <c r="F73" s="20" t="n"/>
    </row>
    <row r="74">
      <c r="A74" s="32" t="n"/>
      <c r="B74" s="20" t="n"/>
      <c r="C74" s="20" t="n"/>
      <c r="D74" s="20" t="n"/>
      <c r="E74" s="32" t="n"/>
      <c r="F74" s="20" t="n"/>
    </row>
    <row r="75">
      <c r="A75" s="32" t="n"/>
      <c r="B75" s="20" t="n"/>
      <c r="C75" s="20" t="n"/>
      <c r="D75" s="20" t="n"/>
      <c r="E75" s="32" t="n"/>
      <c r="F75" s="20" t="n"/>
    </row>
    <row r="76">
      <c r="A76" s="32" t="n"/>
      <c r="B76" s="20" t="n"/>
      <c r="C76" s="20" t="n"/>
      <c r="D76" s="20" t="n"/>
      <c r="E76" s="32" t="n"/>
      <c r="F76" s="20" t="n"/>
    </row>
    <row r="77">
      <c r="A77" s="32" t="n"/>
      <c r="B77" s="20" t="n"/>
      <c r="C77" s="20" t="n"/>
      <c r="D77" s="20" t="n"/>
      <c r="E77" s="32" t="n"/>
      <c r="F77" s="20" t="n"/>
    </row>
    <row r="78">
      <c r="A78" s="32" t="n"/>
      <c r="B78" s="20" t="n"/>
      <c r="C78" s="20" t="n"/>
      <c r="D78" s="20" t="n"/>
      <c r="E78" s="32" t="n"/>
      <c r="F78" s="20" t="n"/>
    </row>
    <row r="79">
      <c r="A79" s="32" t="n"/>
      <c r="B79" s="20" t="n"/>
      <c r="C79" s="20" t="n"/>
      <c r="D79" s="20" t="n"/>
      <c r="E79" s="32" t="n"/>
      <c r="F79" s="20" t="n"/>
    </row>
    <row r="80">
      <c r="A80" s="32" t="n"/>
      <c r="B80" s="20" t="n"/>
      <c r="C80" s="20" t="n"/>
      <c r="D80" s="20" t="n"/>
      <c r="E80" s="32" t="n"/>
      <c r="F80" s="20" t="n"/>
    </row>
    <row r="81">
      <c r="A81" s="32" t="n"/>
      <c r="B81" s="20" t="n"/>
      <c r="C81" s="20" t="n"/>
      <c r="D81" s="20" t="n"/>
      <c r="E81" s="32" t="n"/>
      <c r="F81" s="20" t="n"/>
    </row>
    <row r="82">
      <c r="A82" s="32" t="n"/>
      <c r="B82" s="20" t="n"/>
      <c r="C82" s="20" t="n"/>
      <c r="D82" s="20" t="n"/>
      <c r="E82" s="32" t="n"/>
      <c r="F82" s="20" t="n"/>
    </row>
    <row r="83">
      <c r="A83" s="32" t="n"/>
      <c r="B83" s="20" t="n"/>
      <c r="C83" s="20" t="n"/>
      <c r="D83" s="20" t="n"/>
      <c r="E83" s="32" t="n"/>
      <c r="F83" s="20" t="n"/>
    </row>
    <row r="84">
      <c r="A84" s="32" t="n"/>
      <c r="B84" s="20" t="n"/>
      <c r="C84" s="20" t="n"/>
      <c r="D84" s="20" t="n"/>
      <c r="E84" s="32" t="n"/>
      <c r="F84" s="20" t="n"/>
    </row>
    <row r="85">
      <c r="A85" s="32" t="n"/>
      <c r="B85" s="20" t="n"/>
      <c r="C85" s="20" t="n"/>
      <c r="D85" s="20" t="n"/>
      <c r="E85" s="32" t="n"/>
      <c r="F85" s="20" t="n"/>
    </row>
    <row r="86">
      <c r="A86" s="32" t="n"/>
      <c r="B86" s="20" t="n"/>
      <c r="C86" s="20" t="n"/>
      <c r="D86" s="20" t="n"/>
      <c r="E86" s="32" t="n"/>
      <c r="F86" s="20" t="n"/>
    </row>
    <row r="87">
      <c r="A87" s="32" t="n"/>
      <c r="B87" s="20" t="n"/>
      <c r="C87" s="20" t="n"/>
      <c r="D87" s="20" t="n"/>
      <c r="E87" s="32" t="n"/>
      <c r="F87" s="20" t="n"/>
    </row>
    <row r="88">
      <c r="A88" s="32" t="n"/>
      <c r="B88" s="20" t="n"/>
      <c r="C88" s="20" t="n"/>
      <c r="D88" s="20" t="n"/>
      <c r="E88" s="32" t="n"/>
      <c r="F88" s="20" t="n"/>
    </row>
    <row r="89">
      <c r="A89" s="32" t="n"/>
      <c r="B89" s="20" t="n"/>
      <c r="C89" s="20" t="n"/>
      <c r="D89" s="20" t="n"/>
      <c r="E89" s="32" t="n"/>
      <c r="F89" s="20" t="n"/>
    </row>
    <row r="90">
      <c r="A90" s="32" t="n"/>
      <c r="B90" s="20" t="n"/>
      <c r="C90" s="20" t="n"/>
      <c r="D90" s="20" t="n"/>
      <c r="E90" s="32" t="n"/>
      <c r="F90" s="20" t="n"/>
    </row>
    <row r="91">
      <c r="A91" s="32" t="n"/>
      <c r="B91" s="20" t="n"/>
      <c r="C91" s="20" t="n"/>
      <c r="D91" s="20" t="n"/>
      <c r="E91" s="32" t="n"/>
      <c r="F91" s="20" t="n"/>
    </row>
    <row r="92">
      <c r="A92" s="32" t="n"/>
      <c r="B92" s="20" t="n"/>
      <c r="C92" s="20" t="n"/>
      <c r="D92" s="20" t="n"/>
      <c r="E92" s="32" t="n"/>
      <c r="F92" s="20" t="n"/>
    </row>
    <row r="93">
      <c r="A93" s="32" t="n"/>
      <c r="B93" s="20" t="n"/>
      <c r="C93" s="20" t="n"/>
      <c r="D93" s="20" t="n"/>
      <c r="E93" s="32" t="n"/>
      <c r="F93" s="20" t="n"/>
    </row>
    <row r="94">
      <c r="A94" s="32" t="n"/>
      <c r="B94" s="20" t="n"/>
      <c r="C94" s="20" t="n"/>
      <c r="D94" s="20" t="n"/>
      <c r="E94" s="32" t="n"/>
      <c r="F94" s="20" t="n"/>
    </row>
    <row r="95">
      <c r="A95" s="32" t="n"/>
      <c r="B95" s="20" t="n"/>
      <c r="C95" s="20" t="n"/>
      <c r="D95" s="20" t="n"/>
      <c r="E95" s="32" t="n"/>
      <c r="F95" s="20" t="n"/>
    </row>
    <row r="96">
      <c r="A96" s="32" t="n"/>
      <c r="B96" s="20" t="n"/>
      <c r="C96" s="20" t="n"/>
      <c r="D96" s="20" t="n"/>
      <c r="E96" s="32" t="n"/>
      <c r="F96" s="20" t="n"/>
    </row>
    <row r="97">
      <c r="A97" s="32" t="n"/>
      <c r="B97" s="20" t="n"/>
      <c r="C97" s="20" t="n"/>
      <c r="D97" s="20" t="n"/>
      <c r="E97" s="32" t="n"/>
      <c r="F97" s="20" t="n"/>
    </row>
    <row r="98">
      <c r="A98" s="32" t="n"/>
      <c r="B98" s="20" t="n"/>
      <c r="C98" s="20" t="n"/>
      <c r="D98" s="20" t="n"/>
      <c r="E98" s="32" t="n"/>
      <c r="F98" s="20" t="n"/>
    </row>
    <row r="99">
      <c r="A99" s="32" t="n"/>
      <c r="B99" s="20" t="n"/>
      <c r="C99" s="20" t="n"/>
      <c r="D99" s="20" t="n"/>
      <c r="E99" s="32" t="n"/>
      <c r="F99" s="20" t="n"/>
    </row>
    <row r="100">
      <c r="A100" s="32" t="n"/>
      <c r="B100" s="20" t="n"/>
      <c r="C100" s="20" t="n"/>
      <c r="D100" s="20" t="n"/>
      <c r="E100" s="32" t="n"/>
      <c r="F100" s="20" t="n"/>
    </row>
    <row r="101">
      <c r="A101" s="32" t="n"/>
      <c r="B101" s="20" t="n"/>
      <c r="C101" s="20" t="n"/>
      <c r="D101" s="20" t="n"/>
      <c r="E101" s="32" t="n"/>
      <c r="F101" s="20" t="n"/>
    </row>
    <row r="102">
      <c r="A102" s="32" t="n"/>
      <c r="B102" s="20" t="n"/>
      <c r="C102" s="20" t="n"/>
      <c r="D102" s="20" t="n"/>
      <c r="E102" s="32" t="n"/>
      <c r="F102" s="20" t="n"/>
    </row>
    <row r="103">
      <c r="A103" s="32" t="n"/>
      <c r="B103" s="20" t="n"/>
      <c r="C103" s="20" t="n"/>
      <c r="D103" s="20" t="n"/>
      <c r="E103" s="32" t="n"/>
      <c r="F103" s="20" t="n"/>
    </row>
    <row r="104">
      <c r="A104" s="32" t="n"/>
      <c r="B104" s="20" t="n"/>
      <c r="C104" s="20" t="n"/>
      <c r="D104" s="20" t="n"/>
      <c r="E104" s="32" t="n"/>
      <c r="F104" s="20" t="n"/>
    </row>
    <row r="105">
      <c r="A105" s="32" t="n"/>
      <c r="B105" s="20" t="n"/>
      <c r="C105" s="20" t="n"/>
      <c r="D105" s="20" t="n"/>
      <c r="E105" s="32" t="n"/>
      <c r="F105" s="20" t="n"/>
    </row>
    <row r="106">
      <c r="A106" s="32" t="n"/>
      <c r="B106" s="20" t="n"/>
      <c r="C106" s="20" t="n"/>
      <c r="D106" s="20" t="n"/>
      <c r="E106" s="32" t="n"/>
      <c r="F106" s="20" t="n"/>
    </row>
    <row r="107">
      <c r="A107" s="32" t="n"/>
      <c r="B107" s="20" t="n"/>
      <c r="C107" s="20" t="n"/>
      <c r="D107" s="20" t="n"/>
      <c r="E107" s="32" t="n"/>
      <c r="F107" s="20" t="n"/>
    </row>
    <row r="108">
      <c r="A108" s="32" t="n"/>
      <c r="B108" s="20" t="n"/>
      <c r="C108" s="20" t="n"/>
      <c r="D108" s="20" t="n"/>
      <c r="E108" s="32" t="n"/>
      <c r="F108" s="20" t="n"/>
    </row>
    <row r="109">
      <c r="A109" s="32" t="n"/>
      <c r="B109" s="20" t="n"/>
      <c r="C109" s="20" t="n"/>
      <c r="D109" s="20" t="n"/>
      <c r="E109" s="32" t="n"/>
      <c r="F109" s="20" t="n"/>
    </row>
    <row r="110">
      <c r="A110" s="32" t="n"/>
      <c r="B110" s="20" t="n"/>
      <c r="C110" s="20" t="n"/>
      <c r="D110" s="20" t="n"/>
      <c r="E110" s="32" t="n"/>
      <c r="F110" s="20" t="n"/>
    </row>
    <row r="111">
      <c r="A111" s="32" t="n"/>
      <c r="B111" s="20" t="n"/>
      <c r="C111" s="20" t="n"/>
      <c r="D111" s="20" t="n"/>
      <c r="E111" s="32" t="n"/>
      <c r="F111" s="20" t="n"/>
    </row>
    <row r="112">
      <c r="A112" s="32" t="n"/>
      <c r="B112" s="20" t="n"/>
      <c r="C112" s="20" t="n"/>
      <c r="D112" s="20" t="n"/>
      <c r="E112" s="32" t="n"/>
      <c r="F112" s="20" t="n"/>
    </row>
    <row r="113">
      <c r="A113" s="32" t="n"/>
      <c r="B113" s="20" t="n"/>
      <c r="C113" s="20" t="n"/>
      <c r="D113" s="20" t="n"/>
      <c r="E113" s="32" t="n"/>
      <c r="F113" s="20" t="n"/>
    </row>
    <row r="114">
      <c r="A114" s="32" t="n"/>
      <c r="B114" s="20" t="n"/>
      <c r="C114" s="20" t="n"/>
      <c r="D114" s="20" t="n"/>
      <c r="E114" s="32" t="n"/>
      <c r="F114" s="20" t="n"/>
    </row>
    <row r="115">
      <c r="A115" s="32" t="n"/>
      <c r="B115" s="20" t="n"/>
      <c r="C115" s="20" t="n"/>
      <c r="D115" s="20" t="n"/>
      <c r="E115" s="32" t="n"/>
      <c r="F115" s="20" t="n"/>
    </row>
    <row r="116">
      <c r="A116" s="32" t="n"/>
      <c r="B116" s="20" t="n"/>
      <c r="C116" s="20" t="n"/>
      <c r="D116" s="20" t="n"/>
      <c r="E116" s="32" t="n"/>
      <c r="F116" s="20" t="n"/>
    </row>
    <row r="117">
      <c r="A117" s="32" t="n"/>
      <c r="B117" s="20" t="n"/>
      <c r="C117" s="20" t="n"/>
      <c r="D117" s="20" t="n"/>
      <c r="E117" s="32" t="n"/>
      <c r="F117" s="20" t="n"/>
    </row>
    <row r="118">
      <c r="A118" s="32" t="n"/>
      <c r="B118" s="20" t="n"/>
      <c r="C118" s="20" t="n"/>
      <c r="D118" s="20" t="n"/>
      <c r="E118" s="32" t="n"/>
      <c r="F118" s="20" t="n"/>
    </row>
    <row r="119">
      <c r="A119" s="32" t="n"/>
      <c r="B119" s="20" t="n"/>
      <c r="C119" s="20" t="n"/>
      <c r="D119" s="20" t="n"/>
      <c r="E119" s="32" t="n"/>
      <c r="F119" s="20" t="n"/>
    </row>
    <row r="120">
      <c r="A120" s="32" t="n"/>
      <c r="B120" s="20" t="n"/>
      <c r="C120" s="20" t="n"/>
      <c r="D120" s="20" t="n"/>
      <c r="E120" s="32" t="n"/>
      <c r="F120" s="20" t="n"/>
    </row>
    <row r="121">
      <c r="A121" s="32" t="n"/>
      <c r="B121" s="20" t="n"/>
      <c r="C121" s="20" t="n"/>
      <c r="D121" s="20" t="n"/>
      <c r="E121" s="32" t="n"/>
      <c r="F121" s="20" t="n"/>
    </row>
    <row r="122">
      <c r="A122" s="32" t="n"/>
      <c r="B122" s="20" t="n"/>
      <c r="C122" s="20" t="n"/>
      <c r="D122" s="20" t="n"/>
      <c r="E122" s="32" t="n"/>
      <c r="F122" s="20" t="n"/>
    </row>
    <row r="123">
      <c r="A123" s="32" t="n"/>
      <c r="B123" s="20" t="n"/>
      <c r="C123" s="20" t="n"/>
      <c r="D123" s="20" t="n"/>
      <c r="E123" s="32" t="n"/>
      <c r="F123" s="20" t="n"/>
    </row>
    <row r="124">
      <c r="A124" s="32" t="n"/>
      <c r="B124" s="20" t="n"/>
      <c r="C124" s="20" t="n"/>
      <c r="D124" s="20" t="n"/>
      <c r="E124" s="32" t="n"/>
      <c r="F124" s="20" t="n"/>
    </row>
    <row r="125">
      <c r="A125" s="32" t="n"/>
      <c r="B125" s="20" t="n"/>
      <c r="C125" s="20" t="n"/>
      <c r="D125" s="20" t="n"/>
      <c r="E125" s="32" t="n"/>
      <c r="F125" s="20" t="n"/>
    </row>
    <row r="126">
      <c r="A126" s="32" t="n"/>
      <c r="B126" s="20" t="n"/>
      <c r="C126" s="20" t="n"/>
      <c r="D126" s="20" t="n"/>
      <c r="E126" s="32" t="n"/>
      <c r="F126" s="20" t="n"/>
    </row>
    <row r="127">
      <c r="A127" s="32" t="n"/>
      <c r="B127" s="20" t="n"/>
      <c r="C127" s="20" t="n"/>
      <c r="D127" s="20" t="n"/>
      <c r="E127" s="32" t="n"/>
      <c r="F127" s="20" t="n"/>
    </row>
    <row r="128">
      <c r="A128" s="32" t="n"/>
      <c r="B128" s="20" t="n"/>
      <c r="C128" s="20" t="n"/>
      <c r="D128" s="20" t="n"/>
      <c r="E128" s="32" t="n"/>
      <c r="F128" s="20" t="n"/>
    </row>
    <row r="129">
      <c r="A129" s="32" t="n"/>
      <c r="B129" s="20" t="n"/>
      <c r="C129" s="20" t="n"/>
      <c r="D129" s="20" t="n"/>
      <c r="E129" s="32" t="n"/>
      <c r="F129" s="20" t="n"/>
    </row>
    <row r="130">
      <c r="A130" s="32" t="n"/>
      <c r="B130" s="20" t="n"/>
      <c r="C130" s="20" t="n"/>
      <c r="D130" s="20" t="n"/>
      <c r="E130" s="32" t="n"/>
      <c r="F130" s="20" t="n"/>
    </row>
    <row r="131">
      <c r="A131" s="32" t="n"/>
      <c r="B131" s="20" t="n"/>
      <c r="C131" s="20" t="n"/>
      <c r="D131" s="20" t="n"/>
      <c r="E131" s="32" t="n"/>
      <c r="F131" s="20" t="n"/>
    </row>
    <row r="132">
      <c r="A132" s="32" t="n"/>
      <c r="B132" s="20" t="n"/>
      <c r="C132" s="20" t="n"/>
      <c r="D132" s="20" t="n"/>
      <c r="E132" s="32" t="n"/>
      <c r="F132" s="20" t="n"/>
    </row>
    <row r="133">
      <c r="A133" s="32" t="n"/>
      <c r="B133" s="20" t="n"/>
      <c r="C133" s="20" t="n"/>
      <c r="D133" s="20" t="n"/>
      <c r="E133" s="32" t="n"/>
      <c r="F133" s="20" t="n"/>
    </row>
    <row r="134">
      <c r="A134" s="32" t="n"/>
      <c r="B134" s="20" t="n"/>
      <c r="C134" s="20" t="n"/>
      <c r="D134" s="20" t="n"/>
      <c r="E134" s="32" t="n"/>
      <c r="F134" s="20" t="n"/>
    </row>
    <row r="135">
      <c r="A135" s="32" t="n"/>
      <c r="B135" s="20" t="n"/>
      <c r="C135" s="20" t="n"/>
      <c r="D135" s="20" t="n"/>
      <c r="E135" s="32" t="n"/>
      <c r="F135" s="20" t="n"/>
    </row>
    <row r="136">
      <c r="A136" s="32" t="n"/>
      <c r="B136" s="20" t="n"/>
      <c r="C136" s="20" t="n"/>
      <c r="D136" s="20" t="n"/>
      <c r="E136" s="32" t="n"/>
      <c r="F136" s="20" t="n"/>
    </row>
    <row r="137">
      <c r="A137" s="32" t="n"/>
      <c r="B137" s="20" t="n"/>
      <c r="C137" s="20" t="n"/>
      <c r="D137" s="20" t="n"/>
      <c r="E137" s="32" t="n"/>
      <c r="F137" s="20" t="n"/>
    </row>
    <row r="138">
      <c r="A138" s="32" t="n"/>
      <c r="B138" s="20" t="n"/>
      <c r="C138" s="20" t="n"/>
      <c r="D138" s="20" t="n"/>
      <c r="E138" s="32" t="n"/>
      <c r="F138" s="20" t="n"/>
    </row>
    <row r="139">
      <c r="A139" s="32" t="n"/>
      <c r="B139" s="20" t="n"/>
      <c r="C139" s="20" t="n"/>
      <c r="D139" s="20" t="n"/>
      <c r="E139" s="32" t="n"/>
      <c r="F139" s="20" t="n"/>
    </row>
    <row r="140">
      <c r="A140" s="32" t="n"/>
      <c r="B140" s="20" t="n"/>
      <c r="C140" s="20" t="n"/>
      <c r="D140" s="20" t="n"/>
      <c r="E140" s="32" t="n"/>
      <c r="F140" s="20" t="n"/>
    </row>
    <row r="141">
      <c r="A141" s="32" t="n"/>
      <c r="B141" s="20" t="n"/>
      <c r="C141" s="20" t="n"/>
      <c r="D141" s="20" t="n"/>
      <c r="E141" s="32" t="n"/>
      <c r="F141" s="20" t="n"/>
    </row>
    <row r="142">
      <c r="A142" s="32" t="n"/>
      <c r="B142" s="20" t="n"/>
      <c r="C142" s="20" t="n"/>
      <c r="D142" s="20" t="n"/>
      <c r="E142" s="32" t="n"/>
      <c r="F142" s="20" t="n"/>
    </row>
    <row r="143">
      <c r="A143" s="32" t="n"/>
      <c r="B143" s="20" t="n"/>
      <c r="C143" s="20" t="n"/>
      <c r="D143" s="20" t="n"/>
      <c r="E143" s="32" t="n"/>
      <c r="F143" s="20" t="n"/>
    </row>
    <row r="144">
      <c r="A144" s="32" t="n"/>
      <c r="B144" s="20" t="n"/>
      <c r="C144" s="20" t="n"/>
      <c r="D144" s="20" t="n"/>
      <c r="E144" s="32" t="n"/>
      <c r="F144" s="20" t="n"/>
    </row>
    <row r="145">
      <c r="A145" s="32" t="n"/>
      <c r="B145" s="20" t="n"/>
      <c r="C145" s="20" t="n"/>
      <c r="D145" s="20" t="n"/>
      <c r="E145" s="32" t="n"/>
      <c r="F145" s="20" t="n"/>
    </row>
    <row r="146">
      <c r="A146" s="32" t="n"/>
      <c r="B146" s="20" t="n"/>
      <c r="C146" s="20" t="n"/>
      <c r="D146" s="20" t="n"/>
      <c r="E146" s="32" t="n"/>
      <c r="F146" s="20" t="n"/>
    </row>
    <row r="147">
      <c r="A147" s="32" t="n"/>
      <c r="B147" s="20" t="n"/>
      <c r="C147" s="20" t="n"/>
      <c r="D147" s="20" t="n"/>
      <c r="E147" s="32" t="n"/>
      <c r="F147" s="20" t="n"/>
    </row>
    <row r="148">
      <c r="A148" s="32" t="n"/>
      <c r="B148" s="20" t="n"/>
      <c r="C148" s="20" t="n"/>
      <c r="D148" s="20" t="n"/>
      <c r="E148" s="32" t="n"/>
      <c r="F148" s="20" t="n"/>
    </row>
    <row r="149">
      <c r="A149" s="32" t="n"/>
      <c r="B149" s="20" t="n"/>
      <c r="C149" s="20" t="n"/>
      <c r="D149" s="20" t="n"/>
      <c r="E149" s="32" t="n"/>
      <c r="F149" s="20" t="n"/>
    </row>
    <row r="150">
      <c r="A150" s="32" t="n"/>
      <c r="B150" s="20" t="n"/>
      <c r="C150" s="20" t="n"/>
      <c r="D150" s="20" t="n"/>
      <c r="E150" s="32" t="n"/>
      <c r="F150" s="20" t="n"/>
    </row>
    <row r="151">
      <c r="A151" s="32" t="n"/>
      <c r="B151" s="20" t="n"/>
      <c r="C151" s="20" t="n"/>
      <c r="D151" s="20" t="n"/>
      <c r="E151" s="32" t="n"/>
      <c r="F151" s="20" t="n"/>
    </row>
    <row r="152">
      <c r="A152" s="32" t="n"/>
      <c r="B152" s="20" t="n"/>
      <c r="C152" s="20" t="n"/>
      <c r="D152" s="20" t="n"/>
      <c r="E152" s="32" t="n"/>
      <c r="F152" s="20" t="n"/>
    </row>
    <row r="153">
      <c r="A153" s="32" t="n"/>
      <c r="B153" s="20" t="n"/>
      <c r="C153" s="20" t="n"/>
      <c r="D153" s="20" t="n"/>
      <c r="E153" s="32" t="n"/>
      <c r="F153" s="20" t="n"/>
    </row>
    <row r="154">
      <c r="A154" s="32" t="n"/>
      <c r="B154" s="20" t="n"/>
      <c r="C154" s="20" t="n"/>
      <c r="D154" s="20" t="n"/>
      <c r="E154" s="32" t="n"/>
      <c r="F154" s="20" t="n"/>
    </row>
    <row r="155">
      <c r="A155" s="32" t="n"/>
      <c r="B155" s="20" t="n"/>
      <c r="C155" s="20" t="n"/>
      <c r="D155" s="20" t="n"/>
      <c r="E155" s="32" t="n"/>
      <c r="F155" s="20" t="n"/>
    </row>
    <row r="156">
      <c r="A156" s="32" t="n"/>
      <c r="B156" s="20" t="n"/>
      <c r="C156" s="20" t="n"/>
      <c r="D156" s="20" t="n"/>
      <c r="E156" s="32" t="n"/>
      <c r="F156" s="20" t="n"/>
    </row>
    <row r="157">
      <c r="A157" s="32" t="n"/>
      <c r="B157" s="20" t="n"/>
      <c r="C157" s="20" t="n"/>
      <c r="D157" s="20" t="n"/>
      <c r="E157" s="32" t="n"/>
      <c r="F157" s="20" t="n"/>
    </row>
    <row r="158">
      <c r="A158" s="32" t="n"/>
      <c r="B158" s="20" t="n"/>
      <c r="C158" s="20" t="n"/>
      <c r="D158" s="20" t="n"/>
      <c r="E158" s="32" t="n"/>
      <c r="F158" s="20" t="n"/>
    </row>
    <row r="159">
      <c r="A159" s="32" t="n"/>
      <c r="B159" s="20" t="n"/>
      <c r="C159" s="20" t="n"/>
      <c r="D159" s="20" t="n"/>
      <c r="E159" s="32" t="n"/>
      <c r="F159" s="20" t="n"/>
    </row>
    <row r="160">
      <c r="A160" s="32" t="n"/>
      <c r="B160" s="20" t="n"/>
      <c r="C160" s="20" t="n"/>
      <c r="D160" s="20" t="n"/>
      <c r="E160" s="32" t="n"/>
      <c r="F160" s="20" t="n"/>
    </row>
    <row r="161">
      <c r="A161" s="32" t="n"/>
      <c r="B161" s="20" t="n"/>
      <c r="C161" s="20" t="n"/>
      <c r="D161" s="20" t="n"/>
      <c r="E161" s="32" t="n"/>
      <c r="F161" s="20" t="n"/>
    </row>
    <row r="162">
      <c r="A162" s="32" t="n"/>
      <c r="B162" s="20" t="n"/>
      <c r="C162" s="20" t="n"/>
      <c r="D162" s="20" t="n"/>
      <c r="E162" s="32" t="n"/>
      <c r="F162" s="20" t="n"/>
    </row>
    <row r="163">
      <c r="A163" s="32" t="n"/>
      <c r="B163" s="20" t="n"/>
      <c r="C163" s="20" t="n"/>
      <c r="D163" s="20" t="n"/>
      <c r="E163" s="32" t="n"/>
      <c r="F163" s="20" t="n"/>
    </row>
    <row r="164">
      <c r="A164" s="32" t="n"/>
      <c r="B164" s="20" t="n"/>
      <c r="C164" s="20" t="n"/>
      <c r="D164" s="20" t="n"/>
      <c r="E164" s="32" t="n"/>
      <c r="F164" s="20" t="n"/>
    </row>
    <row r="165">
      <c r="A165" s="32" t="n"/>
      <c r="B165" s="20" t="n"/>
      <c r="C165" s="20" t="n"/>
      <c r="D165" s="20" t="n"/>
      <c r="E165" s="32" t="n"/>
      <c r="F165" s="20" t="n"/>
    </row>
    <row r="166">
      <c r="A166" s="32" t="n"/>
      <c r="B166" s="20" t="n"/>
      <c r="C166" s="20" t="n"/>
      <c r="D166" s="20" t="n"/>
      <c r="E166" s="32" t="n"/>
      <c r="F166" s="20" t="n"/>
    </row>
    <row r="167">
      <c r="A167" s="32" t="n"/>
      <c r="B167" s="20" t="n"/>
      <c r="C167" s="20" t="n"/>
      <c r="D167" s="20" t="n"/>
      <c r="E167" s="32" t="n"/>
      <c r="F167" s="20" t="n"/>
    </row>
    <row r="168">
      <c r="A168" s="32" t="n"/>
      <c r="B168" s="20" t="n"/>
      <c r="C168" s="20" t="n"/>
      <c r="D168" s="20" t="n"/>
      <c r="E168" s="32" t="n"/>
      <c r="F168" s="20" t="n"/>
    </row>
    <row r="169">
      <c r="A169" s="32" t="n"/>
      <c r="B169" s="20" t="n"/>
      <c r="C169" s="20" t="n"/>
      <c r="D169" s="20" t="n"/>
      <c r="E169" s="32" t="n"/>
      <c r="F169" s="20" t="n"/>
    </row>
    <row r="170">
      <c r="A170" s="32" t="n"/>
      <c r="B170" s="20" t="n"/>
      <c r="C170" s="20" t="n"/>
      <c r="D170" s="20" t="n"/>
      <c r="E170" s="32" t="n"/>
      <c r="F170" s="20" t="n"/>
    </row>
    <row r="171">
      <c r="A171" s="32" t="n"/>
      <c r="B171" s="20" t="n"/>
      <c r="C171" s="20" t="n"/>
      <c r="D171" s="20" t="n"/>
      <c r="E171" s="32" t="n"/>
      <c r="F171" s="20" t="n"/>
    </row>
    <row r="172">
      <c r="A172" s="32" t="n"/>
      <c r="B172" s="20" t="n"/>
      <c r="C172" s="20" t="n"/>
      <c r="D172" s="20" t="n"/>
      <c r="E172" s="32" t="n"/>
      <c r="F172" s="20" t="n"/>
    </row>
    <row r="173">
      <c r="A173" s="32" t="n"/>
      <c r="B173" s="20" t="n"/>
      <c r="C173" s="20" t="n"/>
      <c r="D173" s="20" t="n"/>
      <c r="E173" s="32" t="n"/>
      <c r="F173" s="20" t="n"/>
    </row>
    <row r="174">
      <c r="A174" s="32" t="n"/>
      <c r="B174" s="20" t="n"/>
      <c r="C174" s="20" t="n"/>
      <c r="D174" s="20" t="n"/>
      <c r="E174" s="32" t="n"/>
      <c r="F174" s="20" t="n"/>
    </row>
    <row r="175">
      <c r="A175" s="32" t="n"/>
      <c r="B175" s="20" t="n"/>
      <c r="C175" s="20" t="n"/>
      <c r="D175" s="20" t="n"/>
      <c r="E175" s="32" t="n"/>
      <c r="F175" s="20" t="n"/>
    </row>
    <row r="176">
      <c r="A176" s="32" t="n"/>
      <c r="B176" s="20" t="n"/>
      <c r="C176" s="20" t="n"/>
      <c r="D176" s="20" t="n"/>
      <c r="E176" s="32" t="n"/>
      <c r="F176" s="20" t="n"/>
    </row>
    <row r="177">
      <c r="A177" s="32" t="n"/>
      <c r="B177" s="20" t="n"/>
      <c r="C177" s="20" t="n"/>
      <c r="D177" s="20" t="n"/>
      <c r="E177" s="32" t="n"/>
      <c r="F177" s="20" t="n"/>
    </row>
    <row r="178">
      <c r="A178" s="32" t="n"/>
      <c r="B178" s="20" t="n"/>
      <c r="C178" s="20" t="n"/>
      <c r="D178" s="20" t="n"/>
      <c r="E178" s="32" t="n"/>
      <c r="F178" s="20" t="n"/>
    </row>
    <row r="179">
      <c r="A179" s="32" t="n"/>
      <c r="B179" s="20" t="n"/>
      <c r="C179" s="20" t="n"/>
      <c r="D179" s="20" t="n"/>
      <c r="E179" s="32" t="n"/>
      <c r="F179" s="20" t="n"/>
    </row>
    <row r="180">
      <c r="A180" s="32" t="n"/>
      <c r="B180" s="20" t="n"/>
      <c r="C180" s="20" t="n"/>
      <c r="D180" s="20" t="n"/>
      <c r="E180" s="32" t="n"/>
      <c r="F180" s="20" t="n"/>
    </row>
    <row r="181">
      <c r="A181" s="32" t="n"/>
      <c r="B181" s="20" t="n"/>
      <c r="C181" s="20" t="n"/>
      <c r="D181" s="20" t="n"/>
      <c r="E181" s="32" t="n"/>
      <c r="F181" s="20" t="n"/>
    </row>
    <row r="182">
      <c r="A182" s="32" t="n"/>
      <c r="B182" s="20" t="n"/>
      <c r="C182" s="20" t="n"/>
      <c r="D182" s="20" t="n"/>
      <c r="E182" s="32" t="n"/>
      <c r="F182" s="20" t="n"/>
    </row>
    <row r="183">
      <c r="A183" s="32" t="n"/>
      <c r="B183" s="20" t="n"/>
      <c r="C183" s="20" t="n"/>
      <c r="D183" s="20" t="n"/>
      <c r="E183" s="32" t="n"/>
      <c r="F183" s="20" t="n"/>
    </row>
    <row r="184">
      <c r="A184" s="32" t="n"/>
      <c r="B184" s="20" t="n"/>
      <c r="C184" s="20" t="n"/>
      <c r="D184" s="20" t="n"/>
      <c r="E184" s="32" t="n"/>
      <c r="F184" s="20" t="n"/>
    </row>
    <row r="185">
      <c r="A185" s="32" t="n"/>
      <c r="B185" s="20" t="n"/>
      <c r="C185" s="20" t="n"/>
      <c r="D185" s="20" t="n"/>
      <c r="E185" s="32" t="n"/>
      <c r="F185" s="20" t="n"/>
    </row>
    <row r="186">
      <c r="A186" s="32" t="n"/>
      <c r="B186" s="20" t="n"/>
      <c r="C186" s="20" t="n"/>
      <c r="D186" s="20" t="n"/>
      <c r="E186" s="32" t="n"/>
      <c r="F186" s="20" t="n"/>
    </row>
    <row r="187">
      <c r="A187" s="32" t="n"/>
      <c r="B187" s="20" t="n"/>
      <c r="C187" s="20" t="n"/>
      <c r="D187" s="20" t="n"/>
      <c r="E187" s="32" t="n"/>
      <c r="F187" s="20" t="n"/>
    </row>
    <row r="188">
      <c r="A188" s="32" t="n"/>
      <c r="B188" s="20" t="n"/>
      <c r="C188" s="20" t="n"/>
      <c r="D188" s="20" t="n"/>
      <c r="E188" s="32" t="n"/>
      <c r="F188" s="20" t="n"/>
    </row>
    <row r="189">
      <c r="A189" s="32" t="n"/>
      <c r="B189" s="20" t="n"/>
      <c r="C189" s="20" t="n"/>
      <c r="D189" s="20" t="n"/>
      <c r="E189" s="32" t="n"/>
      <c r="F189" s="20" t="n"/>
    </row>
    <row r="190">
      <c r="A190" s="32" t="n"/>
      <c r="B190" s="20" t="n"/>
      <c r="C190" s="20" t="n"/>
      <c r="D190" s="20" t="n"/>
      <c r="E190" s="32" t="n"/>
      <c r="F190" s="20" t="n"/>
    </row>
    <row r="191">
      <c r="A191" s="32" t="n"/>
      <c r="B191" s="20" t="n"/>
      <c r="C191" s="20" t="n"/>
      <c r="D191" s="20" t="n"/>
      <c r="E191" s="32" t="n"/>
      <c r="F191" s="20" t="n"/>
    </row>
    <row r="192">
      <c r="A192" s="32" t="n"/>
      <c r="B192" s="20" t="n"/>
      <c r="C192" s="20" t="n"/>
      <c r="D192" s="20" t="n"/>
      <c r="E192" s="32" t="n"/>
      <c r="F192" s="20" t="n"/>
    </row>
    <row r="193">
      <c r="A193" s="32" t="n"/>
      <c r="B193" s="20" t="n"/>
      <c r="C193" s="20" t="n"/>
      <c r="D193" s="20" t="n"/>
      <c r="E193" s="32" t="n"/>
      <c r="F193" s="20" t="n"/>
    </row>
    <row r="194">
      <c r="A194" s="32" t="n"/>
      <c r="B194" s="20" t="n"/>
      <c r="C194" s="20" t="n"/>
      <c r="D194" s="20" t="n"/>
      <c r="E194" s="32" t="n"/>
      <c r="F194" s="20" t="n"/>
    </row>
    <row r="195">
      <c r="A195" s="32" t="n"/>
      <c r="B195" s="20" t="n"/>
      <c r="C195" s="20" t="n"/>
      <c r="D195" s="20" t="n"/>
      <c r="E195" s="32" t="n"/>
      <c r="F195" s="20" t="n"/>
    </row>
    <row r="196">
      <c r="A196" s="32" t="n"/>
      <c r="B196" s="20" t="n"/>
      <c r="C196" s="20" t="n"/>
      <c r="D196" s="20" t="n"/>
      <c r="E196" s="32" t="n"/>
      <c r="F196" s="20" t="n"/>
    </row>
    <row r="197">
      <c r="A197" s="32" t="n"/>
      <c r="B197" s="20" t="n"/>
      <c r="C197" s="20" t="n"/>
      <c r="D197" s="20" t="n"/>
      <c r="E197" s="32" t="n"/>
      <c r="F197" s="20" t="n"/>
    </row>
    <row r="198">
      <c r="A198" s="32" t="n"/>
      <c r="B198" s="20" t="n"/>
      <c r="C198" s="20" t="n"/>
      <c r="D198" s="20" t="n"/>
      <c r="E198" s="32" t="n"/>
      <c r="F198" s="20" t="n"/>
    </row>
    <row r="199">
      <c r="A199" s="32" t="n"/>
      <c r="B199" s="20" t="n"/>
      <c r="C199" s="20" t="n"/>
      <c r="D199" s="20" t="n"/>
      <c r="E199" s="32" t="n"/>
      <c r="F199" s="20" t="n"/>
    </row>
    <row r="200">
      <c r="A200" s="32" t="n"/>
      <c r="B200" s="20" t="n"/>
      <c r="C200" s="20" t="n"/>
      <c r="D200" s="20" t="n"/>
      <c r="E200" s="32" t="n"/>
      <c r="F200" s="20" t="n"/>
    </row>
    <row r="201">
      <c r="A201" s="32" t="n"/>
      <c r="B201" s="20" t="n"/>
      <c r="C201" s="20" t="n"/>
      <c r="D201" s="20" t="n"/>
      <c r="E201" s="32" t="n"/>
      <c r="F201" s="20" t="n"/>
    </row>
    <row r="202">
      <c r="A202" s="32" t="n"/>
      <c r="B202" s="20" t="n"/>
      <c r="C202" s="20" t="n"/>
      <c r="D202" s="20" t="n"/>
      <c r="E202" s="32" t="n"/>
      <c r="F202" s="20" t="n"/>
    </row>
  </sheetData>
  <dataValidations count="2">
    <dataValidation sqref="C3:C202" showDropDown="0" showInputMessage="0" showErrorMessage="0" allowBlank="1" type="list">
      <formula1>=Setup!$B$13:$B$20</formula1>
    </dataValidation>
    <dataValidation sqref="F3:F202" showDropDown="0" showInputMessage="0" showErrorMessage="0" allowBlank="1" type="list">
      <formula1>"Open,Booked,Lost"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40" customWidth="1" min="4" max="4"/>
    <col width="40" customWidth="1" min="5" max="5"/>
  </cols>
  <sheetData>
    <row r="1">
      <c r="A1" s="31" t="inlineStr">
        <is>
          <t>Log 9 · Agents behind target   |   Only agents behind target or with repeated complaints/errors</t>
        </is>
      </c>
    </row>
    <row r="2" ht="32" customHeight="1">
      <c r="A2" s="15" t="inlineStr">
        <is>
          <t>Date</t>
        </is>
      </c>
      <c r="B2" s="15" t="inlineStr">
        <is>
          <t>Agent</t>
        </is>
      </c>
      <c r="C2" s="15" t="inlineStr">
        <is>
          <t>Reason</t>
        </is>
      </c>
      <c r="D2" s="15" t="inlineStr">
        <is>
          <t>Action taken</t>
        </is>
      </c>
      <c r="E2" s="15" t="inlineStr">
        <is>
          <t>Result / improvement</t>
        </is>
      </c>
    </row>
    <row r="3">
      <c r="A3" s="32" t="n"/>
      <c r="B3" s="20" t="n"/>
      <c r="C3" s="20" t="n"/>
      <c r="D3" s="20" t="n"/>
      <c r="E3" s="20" t="n"/>
    </row>
    <row r="4">
      <c r="A4" s="32" t="n"/>
      <c r="B4" s="20" t="n"/>
      <c r="C4" s="20" t="n"/>
      <c r="D4" s="20" t="n"/>
      <c r="E4" s="20" t="n"/>
    </row>
    <row r="5">
      <c r="A5" s="32" t="n"/>
      <c r="B5" s="20" t="n"/>
      <c r="C5" s="20" t="n"/>
      <c r="D5" s="20" t="n"/>
      <c r="E5" s="20" t="n"/>
    </row>
    <row r="6">
      <c r="A6" s="32" t="n"/>
      <c r="B6" s="20" t="n"/>
      <c r="C6" s="20" t="n"/>
      <c r="D6" s="20" t="n"/>
      <c r="E6" s="20" t="n"/>
    </row>
    <row r="7">
      <c r="A7" s="32" t="n"/>
      <c r="B7" s="20" t="n"/>
      <c r="C7" s="20" t="n"/>
      <c r="D7" s="20" t="n"/>
      <c r="E7" s="20" t="n"/>
    </row>
    <row r="8">
      <c r="A8" s="32" t="n"/>
      <c r="B8" s="20" t="n"/>
      <c r="C8" s="20" t="n"/>
      <c r="D8" s="20" t="n"/>
      <c r="E8" s="20" t="n"/>
    </row>
    <row r="9">
      <c r="A9" s="32" t="n"/>
      <c r="B9" s="20" t="n"/>
      <c r="C9" s="20" t="n"/>
      <c r="D9" s="20" t="n"/>
      <c r="E9" s="20" t="n"/>
    </row>
    <row r="10">
      <c r="A10" s="32" t="n"/>
      <c r="B10" s="20" t="n"/>
      <c r="C10" s="20" t="n"/>
      <c r="D10" s="20" t="n"/>
      <c r="E10" s="20" t="n"/>
    </row>
    <row r="11">
      <c r="A11" s="32" t="n"/>
      <c r="B11" s="20" t="n"/>
      <c r="C11" s="20" t="n"/>
      <c r="D11" s="20" t="n"/>
      <c r="E11" s="20" t="n"/>
    </row>
    <row r="12">
      <c r="A12" s="32" t="n"/>
      <c r="B12" s="20" t="n"/>
      <c r="C12" s="20" t="n"/>
      <c r="D12" s="20" t="n"/>
      <c r="E12" s="20" t="n"/>
    </row>
    <row r="13">
      <c r="A13" s="32" t="n"/>
      <c r="B13" s="20" t="n"/>
      <c r="C13" s="20" t="n"/>
      <c r="D13" s="20" t="n"/>
      <c r="E13" s="20" t="n"/>
    </row>
    <row r="14">
      <c r="A14" s="32" t="n"/>
      <c r="B14" s="20" t="n"/>
      <c r="C14" s="20" t="n"/>
      <c r="D14" s="20" t="n"/>
      <c r="E14" s="20" t="n"/>
    </row>
    <row r="15">
      <c r="A15" s="32" t="n"/>
      <c r="B15" s="20" t="n"/>
      <c r="C15" s="20" t="n"/>
      <c r="D15" s="20" t="n"/>
      <c r="E15" s="20" t="n"/>
    </row>
    <row r="16">
      <c r="A16" s="32" t="n"/>
      <c r="B16" s="20" t="n"/>
      <c r="C16" s="20" t="n"/>
      <c r="D16" s="20" t="n"/>
      <c r="E16" s="20" t="n"/>
    </row>
    <row r="17">
      <c r="A17" s="32" t="n"/>
      <c r="B17" s="20" t="n"/>
      <c r="C17" s="20" t="n"/>
      <c r="D17" s="20" t="n"/>
      <c r="E17" s="20" t="n"/>
    </row>
    <row r="18">
      <c r="A18" s="32" t="n"/>
      <c r="B18" s="20" t="n"/>
      <c r="C18" s="20" t="n"/>
      <c r="D18" s="20" t="n"/>
      <c r="E18" s="20" t="n"/>
    </row>
    <row r="19">
      <c r="A19" s="32" t="n"/>
      <c r="B19" s="20" t="n"/>
      <c r="C19" s="20" t="n"/>
      <c r="D19" s="20" t="n"/>
      <c r="E19" s="20" t="n"/>
    </row>
    <row r="20">
      <c r="A20" s="32" t="n"/>
      <c r="B20" s="20" t="n"/>
      <c r="C20" s="20" t="n"/>
      <c r="D20" s="20" t="n"/>
      <c r="E20" s="20" t="n"/>
    </row>
    <row r="21">
      <c r="A21" s="32" t="n"/>
      <c r="B21" s="20" t="n"/>
      <c r="C21" s="20" t="n"/>
      <c r="D21" s="20" t="n"/>
      <c r="E21" s="20" t="n"/>
    </row>
    <row r="22">
      <c r="A22" s="32" t="n"/>
      <c r="B22" s="20" t="n"/>
      <c r="C22" s="20" t="n"/>
      <c r="D22" s="20" t="n"/>
      <c r="E22" s="20" t="n"/>
    </row>
    <row r="23">
      <c r="A23" s="32" t="n"/>
      <c r="B23" s="20" t="n"/>
      <c r="C23" s="20" t="n"/>
      <c r="D23" s="20" t="n"/>
      <c r="E23" s="20" t="n"/>
    </row>
    <row r="24">
      <c r="A24" s="32" t="n"/>
      <c r="B24" s="20" t="n"/>
      <c r="C24" s="20" t="n"/>
      <c r="D24" s="20" t="n"/>
      <c r="E24" s="20" t="n"/>
    </row>
    <row r="25">
      <c r="A25" s="32" t="n"/>
      <c r="B25" s="20" t="n"/>
      <c r="C25" s="20" t="n"/>
      <c r="D25" s="20" t="n"/>
      <c r="E25" s="20" t="n"/>
    </row>
    <row r="26">
      <c r="A26" s="32" t="n"/>
      <c r="B26" s="20" t="n"/>
      <c r="C26" s="20" t="n"/>
      <c r="D26" s="20" t="n"/>
      <c r="E26" s="20" t="n"/>
    </row>
    <row r="27">
      <c r="A27" s="32" t="n"/>
      <c r="B27" s="20" t="n"/>
      <c r="C27" s="20" t="n"/>
      <c r="D27" s="20" t="n"/>
      <c r="E27" s="20" t="n"/>
    </row>
    <row r="28">
      <c r="A28" s="32" t="n"/>
      <c r="B28" s="20" t="n"/>
      <c r="C28" s="20" t="n"/>
      <c r="D28" s="20" t="n"/>
      <c r="E28" s="20" t="n"/>
    </row>
    <row r="29">
      <c r="A29" s="32" t="n"/>
      <c r="B29" s="20" t="n"/>
      <c r="C29" s="20" t="n"/>
      <c r="D29" s="20" t="n"/>
      <c r="E29" s="20" t="n"/>
    </row>
    <row r="30">
      <c r="A30" s="32" t="n"/>
      <c r="B30" s="20" t="n"/>
      <c r="C30" s="20" t="n"/>
      <c r="D30" s="20" t="n"/>
      <c r="E30" s="20" t="n"/>
    </row>
    <row r="31">
      <c r="A31" s="32" t="n"/>
      <c r="B31" s="20" t="n"/>
      <c r="C31" s="20" t="n"/>
      <c r="D31" s="20" t="n"/>
      <c r="E31" s="20" t="n"/>
    </row>
    <row r="32">
      <c r="A32" s="32" t="n"/>
      <c r="B32" s="20" t="n"/>
      <c r="C32" s="20" t="n"/>
      <c r="D32" s="20" t="n"/>
      <c r="E32" s="20" t="n"/>
    </row>
    <row r="33">
      <c r="A33" s="32" t="n"/>
      <c r="B33" s="20" t="n"/>
      <c r="C33" s="20" t="n"/>
      <c r="D33" s="20" t="n"/>
      <c r="E33" s="20" t="n"/>
    </row>
    <row r="34">
      <c r="A34" s="32" t="n"/>
      <c r="B34" s="20" t="n"/>
      <c r="C34" s="20" t="n"/>
      <c r="D34" s="20" t="n"/>
      <c r="E34" s="20" t="n"/>
    </row>
    <row r="35">
      <c r="A35" s="32" t="n"/>
      <c r="B35" s="20" t="n"/>
      <c r="C35" s="20" t="n"/>
      <c r="D35" s="20" t="n"/>
      <c r="E35" s="20" t="n"/>
    </row>
    <row r="36">
      <c r="A36" s="32" t="n"/>
      <c r="B36" s="20" t="n"/>
      <c r="C36" s="20" t="n"/>
      <c r="D36" s="20" t="n"/>
      <c r="E36" s="20" t="n"/>
    </row>
    <row r="37">
      <c r="A37" s="32" t="n"/>
      <c r="B37" s="20" t="n"/>
      <c r="C37" s="20" t="n"/>
      <c r="D37" s="20" t="n"/>
      <c r="E37" s="20" t="n"/>
    </row>
    <row r="38">
      <c r="A38" s="32" t="n"/>
      <c r="B38" s="20" t="n"/>
      <c r="C38" s="20" t="n"/>
      <c r="D38" s="20" t="n"/>
      <c r="E38" s="20" t="n"/>
    </row>
    <row r="39">
      <c r="A39" s="32" t="n"/>
      <c r="B39" s="20" t="n"/>
      <c r="C39" s="20" t="n"/>
      <c r="D39" s="20" t="n"/>
      <c r="E39" s="20" t="n"/>
    </row>
    <row r="40">
      <c r="A40" s="32" t="n"/>
      <c r="B40" s="20" t="n"/>
      <c r="C40" s="20" t="n"/>
      <c r="D40" s="20" t="n"/>
      <c r="E40" s="20" t="n"/>
    </row>
    <row r="41">
      <c r="A41" s="32" t="n"/>
      <c r="B41" s="20" t="n"/>
      <c r="C41" s="20" t="n"/>
      <c r="D41" s="20" t="n"/>
      <c r="E41" s="20" t="n"/>
    </row>
    <row r="42">
      <c r="A42" s="32" t="n"/>
      <c r="B42" s="20" t="n"/>
      <c r="C42" s="20" t="n"/>
      <c r="D42" s="20" t="n"/>
      <c r="E42" s="20" t="n"/>
    </row>
    <row r="43">
      <c r="A43" s="32" t="n"/>
      <c r="B43" s="20" t="n"/>
      <c r="C43" s="20" t="n"/>
      <c r="D43" s="20" t="n"/>
      <c r="E43" s="20" t="n"/>
    </row>
    <row r="44">
      <c r="A44" s="32" t="n"/>
      <c r="B44" s="20" t="n"/>
      <c r="C44" s="20" t="n"/>
      <c r="D44" s="20" t="n"/>
      <c r="E44" s="20" t="n"/>
    </row>
    <row r="45">
      <c r="A45" s="32" t="n"/>
      <c r="B45" s="20" t="n"/>
      <c r="C45" s="20" t="n"/>
      <c r="D45" s="20" t="n"/>
      <c r="E45" s="20" t="n"/>
    </row>
    <row r="46">
      <c r="A46" s="32" t="n"/>
      <c r="B46" s="20" t="n"/>
      <c r="C46" s="20" t="n"/>
      <c r="D46" s="20" t="n"/>
      <c r="E46" s="20" t="n"/>
    </row>
    <row r="47">
      <c r="A47" s="32" t="n"/>
      <c r="B47" s="20" t="n"/>
      <c r="C47" s="20" t="n"/>
      <c r="D47" s="20" t="n"/>
      <c r="E47" s="20" t="n"/>
    </row>
    <row r="48">
      <c r="A48" s="32" t="n"/>
      <c r="B48" s="20" t="n"/>
      <c r="C48" s="20" t="n"/>
      <c r="D48" s="20" t="n"/>
      <c r="E48" s="20" t="n"/>
    </row>
    <row r="49">
      <c r="A49" s="32" t="n"/>
      <c r="B49" s="20" t="n"/>
      <c r="C49" s="20" t="n"/>
      <c r="D49" s="20" t="n"/>
      <c r="E49" s="20" t="n"/>
    </row>
    <row r="50">
      <c r="A50" s="32" t="n"/>
      <c r="B50" s="20" t="n"/>
      <c r="C50" s="20" t="n"/>
      <c r="D50" s="20" t="n"/>
      <c r="E50" s="20" t="n"/>
    </row>
    <row r="51">
      <c r="A51" s="32" t="n"/>
      <c r="B51" s="20" t="n"/>
      <c r="C51" s="20" t="n"/>
      <c r="D51" s="20" t="n"/>
      <c r="E51" s="20" t="n"/>
    </row>
    <row r="52">
      <c r="A52" s="32" t="n"/>
      <c r="B52" s="20" t="n"/>
      <c r="C52" s="20" t="n"/>
      <c r="D52" s="20" t="n"/>
      <c r="E52" s="20" t="n"/>
    </row>
    <row r="53">
      <c r="A53" s="32" t="n"/>
      <c r="B53" s="20" t="n"/>
      <c r="C53" s="20" t="n"/>
      <c r="D53" s="20" t="n"/>
      <c r="E53" s="20" t="n"/>
    </row>
    <row r="54">
      <c r="A54" s="32" t="n"/>
      <c r="B54" s="20" t="n"/>
      <c r="C54" s="20" t="n"/>
      <c r="D54" s="20" t="n"/>
      <c r="E54" s="20" t="n"/>
    </row>
    <row r="55">
      <c r="A55" s="32" t="n"/>
      <c r="B55" s="20" t="n"/>
      <c r="C55" s="20" t="n"/>
      <c r="D55" s="20" t="n"/>
      <c r="E55" s="20" t="n"/>
    </row>
    <row r="56">
      <c r="A56" s="32" t="n"/>
      <c r="B56" s="20" t="n"/>
      <c r="C56" s="20" t="n"/>
      <c r="D56" s="20" t="n"/>
      <c r="E56" s="20" t="n"/>
    </row>
    <row r="57">
      <c r="A57" s="32" t="n"/>
      <c r="B57" s="20" t="n"/>
      <c r="C57" s="20" t="n"/>
      <c r="D57" s="20" t="n"/>
      <c r="E57" s="20" t="n"/>
    </row>
    <row r="58">
      <c r="A58" s="32" t="n"/>
      <c r="B58" s="20" t="n"/>
      <c r="C58" s="20" t="n"/>
      <c r="D58" s="20" t="n"/>
      <c r="E58" s="20" t="n"/>
    </row>
    <row r="59">
      <c r="A59" s="32" t="n"/>
      <c r="B59" s="20" t="n"/>
      <c r="C59" s="20" t="n"/>
      <c r="D59" s="20" t="n"/>
      <c r="E59" s="20" t="n"/>
    </row>
    <row r="60">
      <c r="A60" s="32" t="n"/>
      <c r="B60" s="20" t="n"/>
      <c r="C60" s="20" t="n"/>
      <c r="D60" s="20" t="n"/>
      <c r="E60" s="20" t="n"/>
    </row>
    <row r="61">
      <c r="A61" s="32" t="n"/>
      <c r="B61" s="20" t="n"/>
      <c r="C61" s="20" t="n"/>
      <c r="D61" s="20" t="n"/>
      <c r="E61" s="20" t="n"/>
    </row>
    <row r="62">
      <c r="A62" s="32" t="n"/>
      <c r="B62" s="20" t="n"/>
      <c r="C62" s="20" t="n"/>
      <c r="D62" s="20" t="n"/>
      <c r="E62" s="20" t="n"/>
    </row>
    <row r="63">
      <c r="A63" s="32" t="n"/>
      <c r="B63" s="20" t="n"/>
      <c r="C63" s="20" t="n"/>
      <c r="D63" s="20" t="n"/>
      <c r="E63" s="20" t="n"/>
    </row>
    <row r="64">
      <c r="A64" s="32" t="n"/>
      <c r="B64" s="20" t="n"/>
      <c r="C64" s="20" t="n"/>
      <c r="D64" s="20" t="n"/>
      <c r="E64" s="20" t="n"/>
    </row>
    <row r="65">
      <c r="A65" s="32" t="n"/>
      <c r="B65" s="20" t="n"/>
      <c r="C65" s="20" t="n"/>
      <c r="D65" s="20" t="n"/>
      <c r="E65" s="20" t="n"/>
    </row>
    <row r="66">
      <c r="A66" s="32" t="n"/>
      <c r="B66" s="20" t="n"/>
      <c r="C66" s="20" t="n"/>
      <c r="D66" s="20" t="n"/>
      <c r="E66" s="20" t="n"/>
    </row>
    <row r="67">
      <c r="A67" s="32" t="n"/>
      <c r="B67" s="20" t="n"/>
      <c r="C67" s="20" t="n"/>
      <c r="D67" s="20" t="n"/>
      <c r="E67" s="20" t="n"/>
    </row>
    <row r="68">
      <c r="A68" s="32" t="n"/>
      <c r="B68" s="20" t="n"/>
      <c r="C68" s="20" t="n"/>
      <c r="D68" s="20" t="n"/>
      <c r="E68" s="20" t="n"/>
    </row>
    <row r="69">
      <c r="A69" s="32" t="n"/>
      <c r="B69" s="20" t="n"/>
      <c r="C69" s="20" t="n"/>
      <c r="D69" s="20" t="n"/>
      <c r="E69" s="20" t="n"/>
    </row>
    <row r="70">
      <c r="A70" s="32" t="n"/>
      <c r="B70" s="20" t="n"/>
      <c r="C70" s="20" t="n"/>
      <c r="D70" s="20" t="n"/>
      <c r="E70" s="20" t="n"/>
    </row>
    <row r="71">
      <c r="A71" s="32" t="n"/>
      <c r="B71" s="20" t="n"/>
      <c r="C71" s="20" t="n"/>
      <c r="D71" s="20" t="n"/>
      <c r="E71" s="20" t="n"/>
    </row>
    <row r="72">
      <c r="A72" s="32" t="n"/>
      <c r="B72" s="20" t="n"/>
      <c r="C72" s="20" t="n"/>
      <c r="D72" s="20" t="n"/>
      <c r="E72" s="20" t="n"/>
    </row>
    <row r="73">
      <c r="A73" s="32" t="n"/>
      <c r="B73" s="20" t="n"/>
      <c r="C73" s="20" t="n"/>
      <c r="D73" s="20" t="n"/>
      <c r="E73" s="20" t="n"/>
    </row>
    <row r="74">
      <c r="A74" s="32" t="n"/>
      <c r="B74" s="20" t="n"/>
      <c r="C74" s="20" t="n"/>
      <c r="D74" s="20" t="n"/>
      <c r="E74" s="20" t="n"/>
    </row>
    <row r="75">
      <c r="A75" s="32" t="n"/>
      <c r="B75" s="20" t="n"/>
      <c r="C75" s="20" t="n"/>
      <c r="D75" s="20" t="n"/>
      <c r="E75" s="20" t="n"/>
    </row>
    <row r="76">
      <c r="A76" s="32" t="n"/>
      <c r="B76" s="20" t="n"/>
      <c r="C76" s="20" t="n"/>
      <c r="D76" s="20" t="n"/>
      <c r="E76" s="20" t="n"/>
    </row>
    <row r="77">
      <c r="A77" s="32" t="n"/>
      <c r="B77" s="20" t="n"/>
      <c r="C77" s="20" t="n"/>
      <c r="D77" s="20" t="n"/>
      <c r="E77" s="20" t="n"/>
    </row>
    <row r="78">
      <c r="A78" s="32" t="n"/>
      <c r="B78" s="20" t="n"/>
      <c r="C78" s="20" t="n"/>
      <c r="D78" s="20" t="n"/>
      <c r="E78" s="20" t="n"/>
    </row>
    <row r="79">
      <c r="A79" s="32" t="n"/>
      <c r="B79" s="20" t="n"/>
      <c r="C79" s="20" t="n"/>
      <c r="D79" s="20" t="n"/>
      <c r="E79" s="20" t="n"/>
    </row>
    <row r="80">
      <c r="A80" s="32" t="n"/>
      <c r="B80" s="20" t="n"/>
      <c r="C80" s="20" t="n"/>
      <c r="D80" s="20" t="n"/>
      <c r="E80" s="20" t="n"/>
    </row>
    <row r="81">
      <c r="A81" s="32" t="n"/>
      <c r="B81" s="20" t="n"/>
      <c r="C81" s="20" t="n"/>
      <c r="D81" s="20" t="n"/>
      <c r="E81" s="20" t="n"/>
    </row>
    <row r="82">
      <c r="A82" s="32" t="n"/>
      <c r="B82" s="20" t="n"/>
      <c r="C82" s="20" t="n"/>
      <c r="D82" s="20" t="n"/>
      <c r="E82" s="20" t="n"/>
    </row>
    <row r="83">
      <c r="A83" s="32" t="n"/>
      <c r="B83" s="20" t="n"/>
      <c r="C83" s="20" t="n"/>
      <c r="D83" s="20" t="n"/>
      <c r="E83" s="20" t="n"/>
    </row>
    <row r="84">
      <c r="A84" s="32" t="n"/>
      <c r="B84" s="20" t="n"/>
      <c r="C84" s="20" t="n"/>
      <c r="D84" s="20" t="n"/>
      <c r="E84" s="20" t="n"/>
    </row>
    <row r="85">
      <c r="A85" s="32" t="n"/>
      <c r="B85" s="20" t="n"/>
      <c r="C85" s="20" t="n"/>
      <c r="D85" s="20" t="n"/>
      <c r="E85" s="20" t="n"/>
    </row>
    <row r="86">
      <c r="A86" s="32" t="n"/>
      <c r="B86" s="20" t="n"/>
      <c r="C86" s="20" t="n"/>
      <c r="D86" s="20" t="n"/>
      <c r="E86" s="20" t="n"/>
    </row>
    <row r="87">
      <c r="A87" s="32" t="n"/>
      <c r="B87" s="20" t="n"/>
      <c r="C87" s="20" t="n"/>
      <c r="D87" s="20" t="n"/>
      <c r="E87" s="20" t="n"/>
    </row>
    <row r="88">
      <c r="A88" s="32" t="n"/>
      <c r="B88" s="20" t="n"/>
      <c r="C88" s="20" t="n"/>
      <c r="D88" s="20" t="n"/>
      <c r="E88" s="20" t="n"/>
    </row>
    <row r="89">
      <c r="A89" s="32" t="n"/>
      <c r="B89" s="20" t="n"/>
      <c r="C89" s="20" t="n"/>
      <c r="D89" s="20" t="n"/>
      <c r="E89" s="20" t="n"/>
    </row>
    <row r="90">
      <c r="A90" s="32" t="n"/>
      <c r="B90" s="20" t="n"/>
      <c r="C90" s="20" t="n"/>
      <c r="D90" s="20" t="n"/>
      <c r="E90" s="20" t="n"/>
    </row>
    <row r="91">
      <c r="A91" s="32" t="n"/>
      <c r="B91" s="20" t="n"/>
      <c r="C91" s="20" t="n"/>
      <c r="D91" s="20" t="n"/>
      <c r="E91" s="20" t="n"/>
    </row>
    <row r="92">
      <c r="A92" s="32" t="n"/>
      <c r="B92" s="20" t="n"/>
      <c r="C92" s="20" t="n"/>
      <c r="D92" s="20" t="n"/>
      <c r="E92" s="20" t="n"/>
    </row>
    <row r="93">
      <c r="A93" s="32" t="n"/>
      <c r="B93" s="20" t="n"/>
      <c r="C93" s="20" t="n"/>
      <c r="D93" s="20" t="n"/>
      <c r="E93" s="20" t="n"/>
    </row>
    <row r="94">
      <c r="A94" s="32" t="n"/>
      <c r="B94" s="20" t="n"/>
      <c r="C94" s="20" t="n"/>
      <c r="D94" s="20" t="n"/>
      <c r="E94" s="20" t="n"/>
    </row>
    <row r="95">
      <c r="A95" s="32" t="n"/>
      <c r="B95" s="20" t="n"/>
      <c r="C95" s="20" t="n"/>
      <c r="D95" s="20" t="n"/>
      <c r="E95" s="20" t="n"/>
    </row>
    <row r="96">
      <c r="A96" s="32" t="n"/>
      <c r="B96" s="20" t="n"/>
      <c r="C96" s="20" t="n"/>
      <c r="D96" s="20" t="n"/>
      <c r="E96" s="20" t="n"/>
    </row>
    <row r="97">
      <c r="A97" s="32" t="n"/>
      <c r="B97" s="20" t="n"/>
      <c r="C97" s="20" t="n"/>
      <c r="D97" s="20" t="n"/>
      <c r="E97" s="20" t="n"/>
    </row>
    <row r="98">
      <c r="A98" s="32" t="n"/>
      <c r="B98" s="20" t="n"/>
      <c r="C98" s="20" t="n"/>
      <c r="D98" s="20" t="n"/>
      <c r="E98" s="20" t="n"/>
    </row>
    <row r="99">
      <c r="A99" s="32" t="n"/>
      <c r="B99" s="20" t="n"/>
      <c r="C99" s="20" t="n"/>
      <c r="D99" s="20" t="n"/>
      <c r="E99" s="20" t="n"/>
    </row>
    <row r="100">
      <c r="A100" s="32" t="n"/>
      <c r="B100" s="20" t="n"/>
      <c r="C100" s="20" t="n"/>
      <c r="D100" s="20" t="n"/>
      <c r="E100" s="20" t="n"/>
    </row>
    <row r="101">
      <c r="A101" s="32" t="n"/>
      <c r="B101" s="20" t="n"/>
      <c r="C101" s="20" t="n"/>
      <c r="D101" s="20" t="n"/>
      <c r="E101" s="20" t="n"/>
    </row>
    <row r="102">
      <c r="A102" s="32" t="n"/>
      <c r="B102" s="20" t="n"/>
      <c r="C102" s="20" t="n"/>
      <c r="D102" s="20" t="n"/>
      <c r="E102" s="20" t="n"/>
    </row>
    <row r="103">
      <c r="A103" s="32" t="n"/>
      <c r="B103" s="20" t="n"/>
      <c r="C103" s="20" t="n"/>
      <c r="D103" s="20" t="n"/>
      <c r="E103" s="20" t="n"/>
    </row>
    <row r="104">
      <c r="A104" s="32" t="n"/>
      <c r="B104" s="20" t="n"/>
      <c r="C104" s="20" t="n"/>
      <c r="D104" s="20" t="n"/>
      <c r="E104" s="20" t="n"/>
    </row>
    <row r="105">
      <c r="A105" s="32" t="n"/>
      <c r="B105" s="20" t="n"/>
      <c r="C105" s="20" t="n"/>
      <c r="D105" s="20" t="n"/>
      <c r="E105" s="20" t="n"/>
    </row>
    <row r="106">
      <c r="A106" s="32" t="n"/>
      <c r="B106" s="20" t="n"/>
      <c r="C106" s="20" t="n"/>
      <c r="D106" s="20" t="n"/>
      <c r="E106" s="20" t="n"/>
    </row>
    <row r="107">
      <c r="A107" s="32" t="n"/>
      <c r="B107" s="20" t="n"/>
      <c r="C107" s="20" t="n"/>
      <c r="D107" s="20" t="n"/>
      <c r="E107" s="20" t="n"/>
    </row>
    <row r="108">
      <c r="A108" s="32" t="n"/>
      <c r="B108" s="20" t="n"/>
      <c r="C108" s="20" t="n"/>
      <c r="D108" s="20" t="n"/>
      <c r="E108" s="20" t="n"/>
    </row>
    <row r="109">
      <c r="A109" s="32" t="n"/>
      <c r="B109" s="20" t="n"/>
      <c r="C109" s="20" t="n"/>
      <c r="D109" s="20" t="n"/>
      <c r="E109" s="20" t="n"/>
    </row>
    <row r="110">
      <c r="A110" s="32" t="n"/>
      <c r="B110" s="20" t="n"/>
      <c r="C110" s="20" t="n"/>
      <c r="D110" s="20" t="n"/>
      <c r="E110" s="20" t="n"/>
    </row>
    <row r="111">
      <c r="A111" s="32" t="n"/>
      <c r="B111" s="20" t="n"/>
      <c r="C111" s="20" t="n"/>
      <c r="D111" s="20" t="n"/>
      <c r="E111" s="20" t="n"/>
    </row>
    <row r="112">
      <c r="A112" s="32" t="n"/>
      <c r="B112" s="20" t="n"/>
      <c r="C112" s="20" t="n"/>
      <c r="D112" s="20" t="n"/>
      <c r="E112" s="20" t="n"/>
    </row>
    <row r="113">
      <c r="A113" s="32" t="n"/>
      <c r="B113" s="20" t="n"/>
      <c r="C113" s="20" t="n"/>
      <c r="D113" s="20" t="n"/>
      <c r="E113" s="20" t="n"/>
    </row>
    <row r="114">
      <c r="A114" s="32" t="n"/>
      <c r="B114" s="20" t="n"/>
      <c r="C114" s="20" t="n"/>
      <c r="D114" s="20" t="n"/>
      <c r="E114" s="20" t="n"/>
    </row>
    <row r="115">
      <c r="A115" s="32" t="n"/>
      <c r="B115" s="20" t="n"/>
      <c r="C115" s="20" t="n"/>
      <c r="D115" s="20" t="n"/>
      <c r="E115" s="20" t="n"/>
    </row>
    <row r="116">
      <c r="A116" s="32" t="n"/>
      <c r="B116" s="20" t="n"/>
      <c r="C116" s="20" t="n"/>
      <c r="D116" s="20" t="n"/>
      <c r="E116" s="20" t="n"/>
    </row>
    <row r="117">
      <c r="A117" s="32" t="n"/>
      <c r="B117" s="20" t="n"/>
      <c r="C117" s="20" t="n"/>
      <c r="D117" s="20" t="n"/>
      <c r="E117" s="20" t="n"/>
    </row>
    <row r="118">
      <c r="A118" s="32" t="n"/>
      <c r="B118" s="20" t="n"/>
      <c r="C118" s="20" t="n"/>
      <c r="D118" s="20" t="n"/>
      <c r="E118" s="20" t="n"/>
    </row>
    <row r="119">
      <c r="A119" s="32" t="n"/>
      <c r="B119" s="20" t="n"/>
      <c r="C119" s="20" t="n"/>
      <c r="D119" s="20" t="n"/>
      <c r="E119" s="20" t="n"/>
    </row>
    <row r="120">
      <c r="A120" s="32" t="n"/>
      <c r="B120" s="20" t="n"/>
      <c r="C120" s="20" t="n"/>
      <c r="D120" s="20" t="n"/>
      <c r="E120" s="20" t="n"/>
    </row>
    <row r="121">
      <c r="A121" s="32" t="n"/>
      <c r="B121" s="20" t="n"/>
      <c r="C121" s="20" t="n"/>
      <c r="D121" s="20" t="n"/>
      <c r="E121" s="20" t="n"/>
    </row>
    <row r="122">
      <c r="A122" s="32" t="n"/>
      <c r="B122" s="20" t="n"/>
      <c r="C122" s="20" t="n"/>
      <c r="D122" s="20" t="n"/>
      <c r="E122" s="20" t="n"/>
    </row>
    <row r="123">
      <c r="A123" s="32" t="n"/>
      <c r="B123" s="20" t="n"/>
      <c r="C123" s="20" t="n"/>
      <c r="D123" s="20" t="n"/>
      <c r="E123" s="20" t="n"/>
    </row>
    <row r="124">
      <c r="A124" s="32" t="n"/>
      <c r="B124" s="20" t="n"/>
      <c r="C124" s="20" t="n"/>
      <c r="D124" s="20" t="n"/>
      <c r="E124" s="20" t="n"/>
    </row>
    <row r="125">
      <c r="A125" s="32" t="n"/>
      <c r="B125" s="20" t="n"/>
      <c r="C125" s="20" t="n"/>
      <c r="D125" s="20" t="n"/>
      <c r="E125" s="20" t="n"/>
    </row>
    <row r="126">
      <c r="A126" s="32" t="n"/>
      <c r="B126" s="20" t="n"/>
      <c r="C126" s="20" t="n"/>
      <c r="D126" s="20" t="n"/>
      <c r="E126" s="20" t="n"/>
    </row>
    <row r="127">
      <c r="A127" s="32" t="n"/>
      <c r="B127" s="20" t="n"/>
      <c r="C127" s="20" t="n"/>
      <c r="D127" s="20" t="n"/>
      <c r="E127" s="20" t="n"/>
    </row>
    <row r="128">
      <c r="A128" s="32" t="n"/>
      <c r="B128" s="20" t="n"/>
      <c r="C128" s="20" t="n"/>
      <c r="D128" s="20" t="n"/>
      <c r="E128" s="20" t="n"/>
    </row>
    <row r="129">
      <c r="A129" s="32" t="n"/>
      <c r="B129" s="20" t="n"/>
      <c r="C129" s="20" t="n"/>
      <c r="D129" s="20" t="n"/>
      <c r="E129" s="20" t="n"/>
    </row>
    <row r="130">
      <c r="A130" s="32" t="n"/>
      <c r="B130" s="20" t="n"/>
      <c r="C130" s="20" t="n"/>
      <c r="D130" s="20" t="n"/>
      <c r="E130" s="20" t="n"/>
    </row>
    <row r="131">
      <c r="A131" s="32" t="n"/>
      <c r="B131" s="20" t="n"/>
      <c r="C131" s="20" t="n"/>
      <c r="D131" s="20" t="n"/>
      <c r="E131" s="20" t="n"/>
    </row>
    <row r="132">
      <c r="A132" s="32" t="n"/>
      <c r="B132" s="20" t="n"/>
      <c r="C132" s="20" t="n"/>
      <c r="D132" s="20" t="n"/>
      <c r="E132" s="20" t="n"/>
    </row>
    <row r="133">
      <c r="A133" s="32" t="n"/>
      <c r="B133" s="20" t="n"/>
      <c r="C133" s="20" t="n"/>
      <c r="D133" s="20" t="n"/>
      <c r="E133" s="20" t="n"/>
    </row>
    <row r="134">
      <c r="A134" s="32" t="n"/>
      <c r="B134" s="20" t="n"/>
      <c r="C134" s="20" t="n"/>
      <c r="D134" s="20" t="n"/>
      <c r="E134" s="20" t="n"/>
    </row>
    <row r="135">
      <c r="A135" s="32" t="n"/>
      <c r="B135" s="20" t="n"/>
      <c r="C135" s="20" t="n"/>
      <c r="D135" s="20" t="n"/>
      <c r="E135" s="20" t="n"/>
    </row>
    <row r="136">
      <c r="A136" s="32" t="n"/>
      <c r="B136" s="20" t="n"/>
      <c r="C136" s="20" t="n"/>
      <c r="D136" s="20" t="n"/>
      <c r="E136" s="20" t="n"/>
    </row>
    <row r="137">
      <c r="A137" s="32" t="n"/>
      <c r="B137" s="20" t="n"/>
      <c r="C137" s="20" t="n"/>
      <c r="D137" s="20" t="n"/>
      <c r="E137" s="20" t="n"/>
    </row>
    <row r="138">
      <c r="A138" s="32" t="n"/>
      <c r="B138" s="20" t="n"/>
      <c r="C138" s="20" t="n"/>
      <c r="D138" s="20" t="n"/>
      <c r="E138" s="20" t="n"/>
    </row>
    <row r="139">
      <c r="A139" s="32" t="n"/>
      <c r="B139" s="20" t="n"/>
      <c r="C139" s="20" t="n"/>
      <c r="D139" s="20" t="n"/>
      <c r="E139" s="20" t="n"/>
    </row>
    <row r="140">
      <c r="A140" s="32" t="n"/>
      <c r="B140" s="20" t="n"/>
      <c r="C140" s="20" t="n"/>
      <c r="D140" s="20" t="n"/>
      <c r="E140" s="20" t="n"/>
    </row>
    <row r="141">
      <c r="A141" s="32" t="n"/>
      <c r="B141" s="20" t="n"/>
      <c r="C141" s="20" t="n"/>
      <c r="D141" s="20" t="n"/>
      <c r="E141" s="20" t="n"/>
    </row>
    <row r="142">
      <c r="A142" s="32" t="n"/>
      <c r="B142" s="20" t="n"/>
      <c r="C142" s="20" t="n"/>
      <c r="D142" s="20" t="n"/>
      <c r="E142" s="20" t="n"/>
    </row>
    <row r="143">
      <c r="A143" s="32" t="n"/>
      <c r="B143" s="20" t="n"/>
      <c r="C143" s="20" t="n"/>
      <c r="D143" s="20" t="n"/>
      <c r="E143" s="20" t="n"/>
    </row>
    <row r="144">
      <c r="A144" s="32" t="n"/>
      <c r="B144" s="20" t="n"/>
      <c r="C144" s="20" t="n"/>
      <c r="D144" s="20" t="n"/>
      <c r="E144" s="20" t="n"/>
    </row>
    <row r="145">
      <c r="A145" s="32" t="n"/>
      <c r="B145" s="20" t="n"/>
      <c r="C145" s="20" t="n"/>
      <c r="D145" s="20" t="n"/>
      <c r="E145" s="20" t="n"/>
    </row>
    <row r="146">
      <c r="A146" s="32" t="n"/>
      <c r="B146" s="20" t="n"/>
      <c r="C146" s="20" t="n"/>
      <c r="D146" s="20" t="n"/>
      <c r="E146" s="20" t="n"/>
    </row>
    <row r="147">
      <c r="A147" s="32" t="n"/>
      <c r="B147" s="20" t="n"/>
      <c r="C147" s="20" t="n"/>
      <c r="D147" s="20" t="n"/>
      <c r="E147" s="20" t="n"/>
    </row>
    <row r="148">
      <c r="A148" s="32" t="n"/>
      <c r="B148" s="20" t="n"/>
      <c r="C148" s="20" t="n"/>
      <c r="D148" s="20" t="n"/>
      <c r="E148" s="20" t="n"/>
    </row>
    <row r="149">
      <c r="A149" s="32" t="n"/>
      <c r="B149" s="20" t="n"/>
      <c r="C149" s="20" t="n"/>
      <c r="D149" s="20" t="n"/>
      <c r="E149" s="20" t="n"/>
    </row>
    <row r="150">
      <c r="A150" s="32" t="n"/>
      <c r="B150" s="20" t="n"/>
      <c r="C150" s="20" t="n"/>
      <c r="D150" s="20" t="n"/>
      <c r="E150" s="20" t="n"/>
    </row>
    <row r="151">
      <c r="A151" s="32" t="n"/>
      <c r="B151" s="20" t="n"/>
      <c r="C151" s="20" t="n"/>
      <c r="D151" s="20" t="n"/>
      <c r="E151" s="20" t="n"/>
    </row>
    <row r="152">
      <c r="A152" s="32" t="n"/>
      <c r="B152" s="20" t="n"/>
      <c r="C152" s="20" t="n"/>
      <c r="D152" s="20" t="n"/>
      <c r="E152" s="20" t="n"/>
    </row>
    <row r="153">
      <c r="A153" s="32" t="n"/>
      <c r="B153" s="20" t="n"/>
      <c r="C153" s="20" t="n"/>
      <c r="D153" s="20" t="n"/>
      <c r="E153" s="20" t="n"/>
    </row>
    <row r="154">
      <c r="A154" s="32" t="n"/>
      <c r="B154" s="20" t="n"/>
      <c r="C154" s="20" t="n"/>
      <c r="D154" s="20" t="n"/>
      <c r="E154" s="20" t="n"/>
    </row>
    <row r="155">
      <c r="A155" s="32" t="n"/>
      <c r="B155" s="20" t="n"/>
      <c r="C155" s="20" t="n"/>
      <c r="D155" s="20" t="n"/>
      <c r="E155" s="20" t="n"/>
    </row>
    <row r="156">
      <c r="A156" s="32" t="n"/>
      <c r="B156" s="20" t="n"/>
      <c r="C156" s="20" t="n"/>
      <c r="D156" s="20" t="n"/>
      <c r="E156" s="20" t="n"/>
    </row>
    <row r="157">
      <c r="A157" s="32" t="n"/>
      <c r="B157" s="20" t="n"/>
      <c r="C157" s="20" t="n"/>
      <c r="D157" s="20" t="n"/>
      <c r="E157" s="20" t="n"/>
    </row>
    <row r="158">
      <c r="A158" s="32" t="n"/>
      <c r="B158" s="20" t="n"/>
      <c r="C158" s="20" t="n"/>
      <c r="D158" s="20" t="n"/>
      <c r="E158" s="20" t="n"/>
    </row>
    <row r="159">
      <c r="A159" s="32" t="n"/>
      <c r="B159" s="20" t="n"/>
      <c r="C159" s="20" t="n"/>
      <c r="D159" s="20" t="n"/>
      <c r="E159" s="20" t="n"/>
    </row>
    <row r="160">
      <c r="A160" s="32" t="n"/>
      <c r="B160" s="20" t="n"/>
      <c r="C160" s="20" t="n"/>
      <c r="D160" s="20" t="n"/>
      <c r="E160" s="20" t="n"/>
    </row>
    <row r="161">
      <c r="A161" s="32" t="n"/>
      <c r="B161" s="20" t="n"/>
      <c r="C161" s="20" t="n"/>
      <c r="D161" s="20" t="n"/>
      <c r="E161" s="20" t="n"/>
    </row>
    <row r="162">
      <c r="A162" s="32" t="n"/>
      <c r="B162" s="20" t="n"/>
      <c r="C162" s="20" t="n"/>
      <c r="D162" s="20" t="n"/>
      <c r="E162" s="20" t="n"/>
    </row>
    <row r="163">
      <c r="A163" s="32" t="n"/>
      <c r="B163" s="20" t="n"/>
      <c r="C163" s="20" t="n"/>
      <c r="D163" s="20" t="n"/>
      <c r="E163" s="20" t="n"/>
    </row>
    <row r="164">
      <c r="A164" s="32" t="n"/>
      <c r="B164" s="20" t="n"/>
      <c r="C164" s="20" t="n"/>
      <c r="D164" s="20" t="n"/>
      <c r="E164" s="20" t="n"/>
    </row>
    <row r="165">
      <c r="A165" s="32" t="n"/>
      <c r="B165" s="20" t="n"/>
      <c r="C165" s="20" t="n"/>
      <c r="D165" s="20" t="n"/>
      <c r="E165" s="20" t="n"/>
    </row>
    <row r="166">
      <c r="A166" s="32" t="n"/>
      <c r="B166" s="20" t="n"/>
      <c r="C166" s="20" t="n"/>
      <c r="D166" s="20" t="n"/>
      <c r="E166" s="20" t="n"/>
    </row>
    <row r="167">
      <c r="A167" s="32" t="n"/>
      <c r="B167" s="20" t="n"/>
      <c r="C167" s="20" t="n"/>
      <c r="D167" s="20" t="n"/>
      <c r="E167" s="20" t="n"/>
    </row>
    <row r="168">
      <c r="A168" s="32" t="n"/>
      <c r="B168" s="20" t="n"/>
      <c r="C168" s="20" t="n"/>
      <c r="D168" s="20" t="n"/>
      <c r="E168" s="20" t="n"/>
    </row>
    <row r="169">
      <c r="A169" s="32" t="n"/>
      <c r="B169" s="20" t="n"/>
      <c r="C169" s="20" t="n"/>
      <c r="D169" s="20" t="n"/>
      <c r="E169" s="20" t="n"/>
    </row>
    <row r="170">
      <c r="A170" s="32" t="n"/>
      <c r="B170" s="20" t="n"/>
      <c r="C170" s="20" t="n"/>
      <c r="D170" s="20" t="n"/>
      <c r="E170" s="20" t="n"/>
    </row>
    <row r="171">
      <c r="A171" s="32" t="n"/>
      <c r="B171" s="20" t="n"/>
      <c r="C171" s="20" t="n"/>
      <c r="D171" s="20" t="n"/>
      <c r="E171" s="20" t="n"/>
    </row>
    <row r="172">
      <c r="A172" s="32" t="n"/>
      <c r="B172" s="20" t="n"/>
      <c r="C172" s="20" t="n"/>
      <c r="D172" s="20" t="n"/>
      <c r="E172" s="20" t="n"/>
    </row>
    <row r="173">
      <c r="A173" s="32" t="n"/>
      <c r="B173" s="20" t="n"/>
      <c r="C173" s="20" t="n"/>
      <c r="D173" s="20" t="n"/>
      <c r="E173" s="20" t="n"/>
    </row>
    <row r="174">
      <c r="A174" s="32" t="n"/>
      <c r="B174" s="20" t="n"/>
      <c r="C174" s="20" t="n"/>
      <c r="D174" s="20" t="n"/>
      <c r="E174" s="20" t="n"/>
    </row>
    <row r="175">
      <c r="A175" s="32" t="n"/>
      <c r="B175" s="20" t="n"/>
      <c r="C175" s="20" t="n"/>
      <c r="D175" s="20" t="n"/>
      <c r="E175" s="20" t="n"/>
    </row>
    <row r="176">
      <c r="A176" s="32" t="n"/>
      <c r="B176" s="20" t="n"/>
      <c r="C176" s="20" t="n"/>
      <c r="D176" s="20" t="n"/>
      <c r="E176" s="20" t="n"/>
    </row>
    <row r="177">
      <c r="A177" s="32" t="n"/>
      <c r="B177" s="20" t="n"/>
      <c r="C177" s="20" t="n"/>
      <c r="D177" s="20" t="n"/>
      <c r="E177" s="20" t="n"/>
    </row>
    <row r="178">
      <c r="A178" s="32" t="n"/>
      <c r="B178" s="20" t="n"/>
      <c r="C178" s="20" t="n"/>
      <c r="D178" s="20" t="n"/>
      <c r="E178" s="20" t="n"/>
    </row>
    <row r="179">
      <c r="A179" s="32" t="n"/>
      <c r="B179" s="20" t="n"/>
      <c r="C179" s="20" t="n"/>
      <c r="D179" s="20" t="n"/>
      <c r="E179" s="20" t="n"/>
    </row>
    <row r="180">
      <c r="A180" s="32" t="n"/>
      <c r="B180" s="20" t="n"/>
      <c r="C180" s="20" t="n"/>
      <c r="D180" s="20" t="n"/>
      <c r="E180" s="20" t="n"/>
    </row>
    <row r="181">
      <c r="A181" s="32" t="n"/>
      <c r="B181" s="20" t="n"/>
      <c r="C181" s="20" t="n"/>
      <c r="D181" s="20" t="n"/>
      <c r="E181" s="20" t="n"/>
    </row>
    <row r="182">
      <c r="A182" s="32" t="n"/>
      <c r="B182" s="20" t="n"/>
      <c r="C182" s="20" t="n"/>
      <c r="D182" s="20" t="n"/>
      <c r="E182" s="20" t="n"/>
    </row>
    <row r="183">
      <c r="A183" s="32" t="n"/>
      <c r="B183" s="20" t="n"/>
      <c r="C183" s="20" t="n"/>
      <c r="D183" s="20" t="n"/>
      <c r="E183" s="20" t="n"/>
    </row>
    <row r="184">
      <c r="A184" s="32" t="n"/>
      <c r="B184" s="20" t="n"/>
      <c r="C184" s="20" t="n"/>
      <c r="D184" s="20" t="n"/>
      <c r="E184" s="20" t="n"/>
    </row>
    <row r="185">
      <c r="A185" s="32" t="n"/>
      <c r="B185" s="20" t="n"/>
      <c r="C185" s="20" t="n"/>
      <c r="D185" s="20" t="n"/>
      <c r="E185" s="20" t="n"/>
    </row>
    <row r="186">
      <c r="A186" s="32" t="n"/>
      <c r="B186" s="20" t="n"/>
      <c r="C186" s="20" t="n"/>
      <c r="D186" s="20" t="n"/>
      <c r="E186" s="20" t="n"/>
    </row>
    <row r="187">
      <c r="A187" s="32" t="n"/>
      <c r="B187" s="20" t="n"/>
      <c r="C187" s="20" t="n"/>
      <c r="D187" s="20" t="n"/>
      <c r="E187" s="20" t="n"/>
    </row>
    <row r="188">
      <c r="A188" s="32" t="n"/>
      <c r="B188" s="20" t="n"/>
      <c r="C188" s="20" t="n"/>
      <c r="D188" s="20" t="n"/>
      <c r="E188" s="20" t="n"/>
    </row>
    <row r="189">
      <c r="A189" s="32" t="n"/>
      <c r="B189" s="20" t="n"/>
      <c r="C189" s="20" t="n"/>
      <c r="D189" s="20" t="n"/>
      <c r="E189" s="20" t="n"/>
    </row>
    <row r="190">
      <c r="A190" s="32" t="n"/>
      <c r="B190" s="20" t="n"/>
      <c r="C190" s="20" t="n"/>
      <c r="D190" s="20" t="n"/>
      <c r="E190" s="20" t="n"/>
    </row>
    <row r="191">
      <c r="A191" s="32" t="n"/>
      <c r="B191" s="20" t="n"/>
      <c r="C191" s="20" t="n"/>
      <c r="D191" s="20" t="n"/>
      <c r="E191" s="20" t="n"/>
    </row>
    <row r="192">
      <c r="A192" s="32" t="n"/>
      <c r="B192" s="20" t="n"/>
      <c r="C192" s="20" t="n"/>
      <c r="D192" s="20" t="n"/>
      <c r="E192" s="20" t="n"/>
    </row>
    <row r="193">
      <c r="A193" s="32" t="n"/>
      <c r="B193" s="20" t="n"/>
      <c r="C193" s="20" t="n"/>
      <c r="D193" s="20" t="n"/>
      <c r="E193" s="20" t="n"/>
    </row>
    <row r="194">
      <c r="A194" s="32" t="n"/>
      <c r="B194" s="20" t="n"/>
      <c r="C194" s="20" t="n"/>
      <c r="D194" s="20" t="n"/>
      <c r="E194" s="20" t="n"/>
    </row>
    <row r="195">
      <c r="A195" s="32" t="n"/>
      <c r="B195" s="20" t="n"/>
      <c r="C195" s="20" t="n"/>
      <c r="D195" s="20" t="n"/>
      <c r="E195" s="20" t="n"/>
    </row>
    <row r="196">
      <c r="A196" s="32" t="n"/>
      <c r="B196" s="20" t="n"/>
      <c r="C196" s="20" t="n"/>
      <c r="D196" s="20" t="n"/>
      <c r="E196" s="20" t="n"/>
    </row>
    <row r="197">
      <c r="A197" s="32" t="n"/>
      <c r="B197" s="20" t="n"/>
      <c r="C197" s="20" t="n"/>
      <c r="D197" s="20" t="n"/>
      <c r="E197" s="20" t="n"/>
    </row>
    <row r="198">
      <c r="A198" s="32" t="n"/>
      <c r="B198" s="20" t="n"/>
      <c r="C198" s="20" t="n"/>
      <c r="D198" s="20" t="n"/>
      <c r="E198" s="20" t="n"/>
    </row>
    <row r="199">
      <c r="A199" s="32" t="n"/>
      <c r="B199" s="20" t="n"/>
      <c r="C199" s="20" t="n"/>
      <c r="D199" s="20" t="n"/>
      <c r="E199" s="20" t="n"/>
    </row>
    <row r="200">
      <c r="A200" s="32" t="n"/>
      <c r="B200" s="20" t="n"/>
      <c r="C200" s="20" t="n"/>
      <c r="D200" s="20" t="n"/>
      <c r="E200" s="20" t="n"/>
    </row>
    <row r="201">
      <c r="A201" s="32" t="n"/>
      <c r="B201" s="20" t="n"/>
      <c r="C201" s="20" t="n"/>
      <c r="D201" s="20" t="n"/>
      <c r="E201" s="20" t="n"/>
    </row>
    <row r="202">
      <c r="A202" s="32" t="n"/>
      <c r="B202" s="20" t="n"/>
      <c r="C202" s="20" t="n"/>
      <c r="D202" s="20" t="n"/>
      <c r="E202" s="20" t="n"/>
    </row>
  </sheetData>
  <dataValidations count="1">
    <dataValidation sqref="B3:B202" showDropDown="0" showInputMessage="0" showErrorMessage="0" allowBlank="1" type="list">
      <formula1>=Setup!$B$13:$B$20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60" customWidth="1" min="4" max="4"/>
  </cols>
  <sheetData>
    <row r="1">
      <c r="A1" s="31" t="inlineStr">
        <is>
          <t>Log 10 · Training   |   Role-play: Y Yes, N No</t>
        </is>
      </c>
    </row>
    <row r="2" ht="32" customHeight="1">
      <c r="A2" s="15" t="inlineStr">
        <is>
          <t>Date</t>
        </is>
      </c>
      <c r="B2" s="15" t="inlineStr">
        <is>
          <t>Topic</t>
        </is>
      </c>
      <c r="C2" s="15" t="inlineStr">
        <is>
          <t>Role-play conducted</t>
        </is>
      </c>
      <c r="D2" s="15" t="inlineStr">
        <is>
          <t>Key points discussed</t>
        </is>
      </c>
    </row>
    <row r="3">
      <c r="A3" s="32" t="n"/>
      <c r="B3" s="20" t="n"/>
      <c r="C3" s="20" t="n"/>
      <c r="D3" s="20" t="n"/>
    </row>
    <row r="4">
      <c r="A4" s="32" t="n"/>
      <c r="B4" s="20" t="n"/>
      <c r="C4" s="20" t="n"/>
      <c r="D4" s="20" t="n"/>
    </row>
    <row r="5">
      <c r="A5" s="32" t="n"/>
      <c r="B5" s="20" t="n"/>
      <c r="C5" s="20" t="n"/>
      <c r="D5" s="20" t="n"/>
    </row>
    <row r="6">
      <c r="A6" s="32" t="n"/>
      <c r="B6" s="20" t="n"/>
      <c r="C6" s="20" t="n"/>
      <c r="D6" s="20" t="n"/>
    </row>
    <row r="7">
      <c r="A7" s="32" t="n"/>
      <c r="B7" s="20" t="n"/>
      <c r="C7" s="20" t="n"/>
      <c r="D7" s="20" t="n"/>
    </row>
    <row r="8">
      <c r="A8" s="32" t="n"/>
      <c r="B8" s="20" t="n"/>
      <c r="C8" s="20" t="n"/>
      <c r="D8" s="20" t="n"/>
    </row>
    <row r="9">
      <c r="A9" s="32" t="n"/>
      <c r="B9" s="20" t="n"/>
      <c r="C9" s="20" t="n"/>
      <c r="D9" s="20" t="n"/>
    </row>
    <row r="10">
      <c r="A10" s="32" t="n"/>
      <c r="B10" s="20" t="n"/>
      <c r="C10" s="20" t="n"/>
      <c r="D10" s="20" t="n"/>
    </row>
    <row r="11">
      <c r="A11" s="32" t="n"/>
      <c r="B11" s="20" t="n"/>
      <c r="C11" s="20" t="n"/>
      <c r="D11" s="20" t="n"/>
    </row>
    <row r="12">
      <c r="A12" s="32" t="n"/>
      <c r="B12" s="20" t="n"/>
      <c r="C12" s="20" t="n"/>
      <c r="D12" s="20" t="n"/>
    </row>
    <row r="13">
      <c r="A13" s="32" t="n"/>
      <c r="B13" s="20" t="n"/>
      <c r="C13" s="20" t="n"/>
      <c r="D13" s="20" t="n"/>
    </row>
    <row r="14">
      <c r="A14" s="32" t="n"/>
      <c r="B14" s="20" t="n"/>
      <c r="C14" s="20" t="n"/>
      <c r="D14" s="20" t="n"/>
    </row>
    <row r="15">
      <c r="A15" s="32" t="n"/>
      <c r="B15" s="20" t="n"/>
      <c r="C15" s="20" t="n"/>
      <c r="D15" s="20" t="n"/>
    </row>
    <row r="16">
      <c r="A16" s="32" t="n"/>
      <c r="B16" s="20" t="n"/>
      <c r="C16" s="20" t="n"/>
      <c r="D16" s="20" t="n"/>
    </row>
    <row r="17">
      <c r="A17" s="32" t="n"/>
      <c r="B17" s="20" t="n"/>
      <c r="C17" s="20" t="n"/>
      <c r="D17" s="20" t="n"/>
    </row>
    <row r="18">
      <c r="A18" s="32" t="n"/>
      <c r="B18" s="20" t="n"/>
      <c r="C18" s="20" t="n"/>
      <c r="D18" s="20" t="n"/>
    </row>
    <row r="19">
      <c r="A19" s="32" t="n"/>
      <c r="B19" s="20" t="n"/>
      <c r="C19" s="20" t="n"/>
      <c r="D19" s="20" t="n"/>
    </row>
    <row r="20">
      <c r="A20" s="32" t="n"/>
      <c r="B20" s="20" t="n"/>
      <c r="C20" s="20" t="n"/>
      <c r="D20" s="20" t="n"/>
    </row>
    <row r="21">
      <c r="A21" s="32" t="n"/>
      <c r="B21" s="20" t="n"/>
      <c r="C21" s="20" t="n"/>
      <c r="D21" s="20" t="n"/>
    </row>
    <row r="22">
      <c r="A22" s="32" t="n"/>
      <c r="B22" s="20" t="n"/>
      <c r="C22" s="20" t="n"/>
      <c r="D22" s="20" t="n"/>
    </row>
    <row r="23">
      <c r="A23" s="32" t="n"/>
      <c r="B23" s="20" t="n"/>
      <c r="C23" s="20" t="n"/>
      <c r="D23" s="20" t="n"/>
    </row>
    <row r="24">
      <c r="A24" s="32" t="n"/>
      <c r="B24" s="20" t="n"/>
      <c r="C24" s="20" t="n"/>
      <c r="D24" s="20" t="n"/>
    </row>
    <row r="25">
      <c r="A25" s="32" t="n"/>
      <c r="B25" s="20" t="n"/>
      <c r="C25" s="20" t="n"/>
      <c r="D25" s="20" t="n"/>
    </row>
    <row r="26">
      <c r="A26" s="32" t="n"/>
      <c r="B26" s="20" t="n"/>
      <c r="C26" s="20" t="n"/>
      <c r="D26" s="20" t="n"/>
    </row>
    <row r="27">
      <c r="A27" s="32" t="n"/>
      <c r="B27" s="20" t="n"/>
      <c r="C27" s="20" t="n"/>
      <c r="D27" s="20" t="n"/>
    </row>
    <row r="28">
      <c r="A28" s="32" t="n"/>
      <c r="B28" s="20" t="n"/>
      <c r="C28" s="20" t="n"/>
      <c r="D28" s="20" t="n"/>
    </row>
    <row r="29">
      <c r="A29" s="32" t="n"/>
      <c r="B29" s="20" t="n"/>
      <c r="C29" s="20" t="n"/>
      <c r="D29" s="20" t="n"/>
    </row>
    <row r="30">
      <c r="A30" s="32" t="n"/>
      <c r="B30" s="20" t="n"/>
      <c r="C30" s="20" t="n"/>
      <c r="D30" s="20" t="n"/>
    </row>
    <row r="31">
      <c r="A31" s="32" t="n"/>
      <c r="B31" s="20" t="n"/>
      <c r="C31" s="20" t="n"/>
      <c r="D31" s="20" t="n"/>
    </row>
    <row r="32">
      <c r="A32" s="32" t="n"/>
      <c r="B32" s="20" t="n"/>
      <c r="C32" s="20" t="n"/>
      <c r="D32" s="20" t="n"/>
    </row>
    <row r="33">
      <c r="A33" s="32" t="n"/>
      <c r="B33" s="20" t="n"/>
      <c r="C33" s="20" t="n"/>
      <c r="D33" s="20" t="n"/>
    </row>
    <row r="34">
      <c r="A34" s="32" t="n"/>
      <c r="B34" s="20" t="n"/>
      <c r="C34" s="20" t="n"/>
      <c r="D34" s="20" t="n"/>
    </row>
    <row r="35">
      <c r="A35" s="32" t="n"/>
      <c r="B35" s="20" t="n"/>
      <c r="C35" s="20" t="n"/>
      <c r="D35" s="20" t="n"/>
    </row>
    <row r="36">
      <c r="A36" s="32" t="n"/>
      <c r="B36" s="20" t="n"/>
      <c r="C36" s="20" t="n"/>
      <c r="D36" s="20" t="n"/>
    </row>
    <row r="37">
      <c r="A37" s="32" t="n"/>
      <c r="B37" s="20" t="n"/>
      <c r="C37" s="20" t="n"/>
      <c r="D37" s="20" t="n"/>
    </row>
    <row r="38">
      <c r="A38" s="32" t="n"/>
      <c r="B38" s="20" t="n"/>
      <c r="C38" s="20" t="n"/>
      <c r="D38" s="20" t="n"/>
    </row>
    <row r="39">
      <c r="A39" s="32" t="n"/>
      <c r="B39" s="20" t="n"/>
      <c r="C39" s="20" t="n"/>
      <c r="D39" s="20" t="n"/>
    </row>
    <row r="40">
      <c r="A40" s="32" t="n"/>
      <c r="B40" s="20" t="n"/>
      <c r="C40" s="20" t="n"/>
      <c r="D40" s="20" t="n"/>
    </row>
    <row r="41">
      <c r="A41" s="32" t="n"/>
      <c r="B41" s="20" t="n"/>
      <c r="C41" s="20" t="n"/>
      <c r="D41" s="20" t="n"/>
    </row>
    <row r="42">
      <c r="A42" s="32" t="n"/>
      <c r="B42" s="20" t="n"/>
      <c r="C42" s="20" t="n"/>
      <c r="D42" s="20" t="n"/>
    </row>
    <row r="43">
      <c r="A43" s="32" t="n"/>
      <c r="B43" s="20" t="n"/>
      <c r="C43" s="20" t="n"/>
      <c r="D43" s="20" t="n"/>
    </row>
    <row r="44">
      <c r="A44" s="32" t="n"/>
      <c r="B44" s="20" t="n"/>
      <c r="C44" s="20" t="n"/>
      <c r="D44" s="20" t="n"/>
    </row>
    <row r="45">
      <c r="A45" s="32" t="n"/>
      <c r="B45" s="20" t="n"/>
      <c r="C45" s="20" t="n"/>
      <c r="D45" s="20" t="n"/>
    </row>
    <row r="46">
      <c r="A46" s="32" t="n"/>
      <c r="B46" s="20" t="n"/>
      <c r="C46" s="20" t="n"/>
      <c r="D46" s="20" t="n"/>
    </row>
    <row r="47">
      <c r="A47" s="32" t="n"/>
      <c r="B47" s="20" t="n"/>
      <c r="C47" s="20" t="n"/>
      <c r="D47" s="20" t="n"/>
    </row>
    <row r="48">
      <c r="A48" s="32" t="n"/>
      <c r="B48" s="20" t="n"/>
      <c r="C48" s="20" t="n"/>
      <c r="D48" s="20" t="n"/>
    </row>
    <row r="49">
      <c r="A49" s="32" t="n"/>
      <c r="B49" s="20" t="n"/>
      <c r="C49" s="20" t="n"/>
      <c r="D49" s="20" t="n"/>
    </row>
    <row r="50">
      <c r="A50" s="32" t="n"/>
      <c r="B50" s="20" t="n"/>
      <c r="C50" s="20" t="n"/>
      <c r="D50" s="20" t="n"/>
    </row>
    <row r="51">
      <c r="A51" s="32" t="n"/>
      <c r="B51" s="20" t="n"/>
      <c r="C51" s="20" t="n"/>
      <c r="D51" s="20" t="n"/>
    </row>
    <row r="52">
      <c r="A52" s="32" t="n"/>
      <c r="B52" s="20" t="n"/>
      <c r="C52" s="20" t="n"/>
      <c r="D52" s="20" t="n"/>
    </row>
    <row r="53">
      <c r="A53" s="32" t="n"/>
      <c r="B53" s="20" t="n"/>
      <c r="C53" s="20" t="n"/>
      <c r="D53" s="20" t="n"/>
    </row>
    <row r="54">
      <c r="A54" s="32" t="n"/>
      <c r="B54" s="20" t="n"/>
      <c r="C54" s="20" t="n"/>
      <c r="D54" s="20" t="n"/>
    </row>
    <row r="55">
      <c r="A55" s="32" t="n"/>
      <c r="B55" s="20" t="n"/>
      <c r="C55" s="20" t="n"/>
      <c r="D55" s="20" t="n"/>
    </row>
    <row r="56">
      <c r="A56" s="32" t="n"/>
      <c r="B56" s="20" t="n"/>
      <c r="C56" s="20" t="n"/>
      <c r="D56" s="20" t="n"/>
    </row>
    <row r="57">
      <c r="A57" s="32" t="n"/>
      <c r="B57" s="20" t="n"/>
      <c r="C57" s="20" t="n"/>
      <c r="D57" s="20" t="n"/>
    </row>
    <row r="58">
      <c r="A58" s="32" t="n"/>
      <c r="B58" s="20" t="n"/>
      <c r="C58" s="20" t="n"/>
      <c r="D58" s="20" t="n"/>
    </row>
    <row r="59">
      <c r="A59" s="32" t="n"/>
      <c r="B59" s="20" t="n"/>
      <c r="C59" s="20" t="n"/>
      <c r="D59" s="20" t="n"/>
    </row>
    <row r="60">
      <c r="A60" s="32" t="n"/>
      <c r="B60" s="20" t="n"/>
      <c r="C60" s="20" t="n"/>
      <c r="D60" s="20" t="n"/>
    </row>
    <row r="61">
      <c r="A61" s="32" t="n"/>
      <c r="B61" s="20" t="n"/>
      <c r="C61" s="20" t="n"/>
      <c r="D61" s="20" t="n"/>
    </row>
    <row r="62">
      <c r="A62" s="32" t="n"/>
      <c r="B62" s="20" t="n"/>
      <c r="C62" s="20" t="n"/>
      <c r="D62" s="20" t="n"/>
    </row>
    <row r="63">
      <c r="A63" s="32" t="n"/>
      <c r="B63" s="20" t="n"/>
      <c r="C63" s="20" t="n"/>
      <c r="D63" s="20" t="n"/>
    </row>
    <row r="64">
      <c r="A64" s="32" t="n"/>
      <c r="B64" s="20" t="n"/>
      <c r="C64" s="20" t="n"/>
      <c r="D64" s="20" t="n"/>
    </row>
    <row r="65">
      <c r="A65" s="32" t="n"/>
      <c r="B65" s="20" t="n"/>
      <c r="C65" s="20" t="n"/>
      <c r="D65" s="20" t="n"/>
    </row>
    <row r="66">
      <c r="A66" s="32" t="n"/>
      <c r="B66" s="20" t="n"/>
      <c r="C66" s="20" t="n"/>
      <c r="D66" s="20" t="n"/>
    </row>
    <row r="67">
      <c r="A67" s="32" t="n"/>
      <c r="B67" s="20" t="n"/>
      <c r="C67" s="20" t="n"/>
      <c r="D67" s="20" t="n"/>
    </row>
    <row r="68">
      <c r="A68" s="32" t="n"/>
      <c r="B68" s="20" t="n"/>
      <c r="C68" s="20" t="n"/>
      <c r="D68" s="20" t="n"/>
    </row>
    <row r="69">
      <c r="A69" s="32" t="n"/>
      <c r="B69" s="20" t="n"/>
      <c r="C69" s="20" t="n"/>
      <c r="D69" s="20" t="n"/>
    </row>
    <row r="70">
      <c r="A70" s="32" t="n"/>
      <c r="B70" s="20" t="n"/>
      <c r="C70" s="20" t="n"/>
      <c r="D70" s="20" t="n"/>
    </row>
    <row r="71">
      <c r="A71" s="32" t="n"/>
      <c r="B71" s="20" t="n"/>
      <c r="C71" s="20" t="n"/>
      <c r="D71" s="20" t="n"/>
    </row>
    <row r="72">
      <c r="A72" s="32" t="n"/>
      <c r="B72" s="20" t="n"/>
      <c r="C72" s="20" t="n"/>
      <c r="D72" s="20" t="n"/>
    </row>
    <row r="73">
      <c r="A73" s="32" t="n"/>
      <c r="B73" s="20" t="n"/>
      <c r="C73" s="20" t="n"/>
      <c r="D73" s="20" t="n"/>
    </row>
    <row r="74">
      <c r="A74" s="32" t="n"/>
      <c r="B74" s="20" t="n"/>
      <c r="C74" s="20" t="n"/>
      <c r="D74" s="20" t="n"/>
    </row>
    <row r="75">
      <c r="A75" s="32" t="n"/>
      <c r="B75" s="20" t="n"/>
      <c r="C75" s="20" t="n"/>
      <c r="D75" s="20" t="n"/>
    </row>
    <row r="76">
      <c r="A76" s="32" t="n"/>
      <c r="B76" s="20" t="n"/>
      <c r="C76" s="20" t="n"/>
      <c r="D76" s="20" t="n"/>
    </row>
    <row r="77">
      <c r="A77" s="32" t="n"/>
      <c r="B77" s="20" t="n"/>
      <c r="C77" s="20" t="n"/>
      <c r="D77" s="20" t="n"/>
    </row>
    <row r="78">
      <c r="A78" s="32" t="n"/>
      <c r="B78" s="20" t="n"/>
      <c r="C78" s="20" t="n"/>
      <c r="D78" s="20" t="n"/>
    </row>
    <row r="79">
      <c r="A79" s="32" t="n"/>
      <c r="B79" s="20" t="n"/>
      <c r="C79" s="20" t="n"/>
      <c r="D79" s="20" t="n"/>
    </row>
    <row r="80">
      <c r="A80" s="32" t="n"/>
      <c r="B80" s="20" t="n"/>
      <c r="C80" s="20" t="n"/>
      <c r="D80" s="20" t="n"/>
    </row>
    <row r="81">
      <c r="A81" s="32" t="n"/>
      <c r="B81" s="20" t="n"/>
      <c r="C81" s="20" t="n"/>
      <c r="D81" s="20" t="n"/>
    </row>
    <row r="82">
      <c r="A82" s="32" t="n"/>
      <c r="B82" s="20" t="n"/>
      <c r="C82" s="20" t="n"/>
      <c r="D82" s="20" t="n"/>
    </row>
    <row r="83">
      <c r="A83" s="32" t="n"/>
      <c r="B83" s="20" t="n"/>
      <c r="C83" s="20" t="n"/>
      <c r="D83" s="20" t="n"/>
    </row>
    <row r="84">
      <c r="A84" s="32" t="n"/>
      <c r="B84" s="20" t="n"/>
      <c r="C84" s="20" t="n"/>
      <c r="D84" s="20" t="n"/>
    </row>
    <row r="85">
      <c r="A85" s="32" t="n"/>
      <c r="B85" s="20" t="n"/>
      <c r="C85" s="20" t="n"/>
      <c r="D85" s="20" t="n"/>
    </row>
    <row r="86">
      <c r="A86" s="32" t="n"/>
      <c r="B86" s="20" t="n"/>
      <c r="C86" s="20" t="n"/>
      <c r="D86" s="20" t="n"/>
    </row>
    <row r="87">
      <c r="A87" s="32" t="n"/>
      <c r="B87" s="20" t="n"/>
      <c r="C87" s="20" t="n"/>
      <c r="D87" s="20" t="n"/>
    </row>
    <row r="88">
      <c r="A88" s="32" t="n"/>
      <c r="B88" s="20" t="n"/>
      <c r="C88" s="20" t="n"/>
      <c r="D88" s="20" t="n"/>
    </row>
    <row r="89">
      <c r="A89" s="32" t="n"/>
      <c r="B89" s="20" t="n"/>
      <c r="C89" s="20" t="n"/>
      <c r="D89" s="20" t="n"/>
    </row>
    <row r="90">
      <c r="A90" s="32" t="n"/>
      <c r="B90" s="20" t="n"/>
      <c r="C90" s="20" t="n"/>
      <c r="D90" s="20" t="n"/>
    </row>
    <row r="91">
      <c r="A91" s="32" t="n"/>
      <c r="B91" s="20" t="n"/>
      <c r="C91" s="20" t="n"/>
      <c r="D91" s="20" t="n"/>
    </row>
    <row r="92">
      <c r="A92" s="32" t="n"/>
      <c r="B92" s="20" t="n"/>
      <c r="C92" s="20" t="n"/>
      <c r="D92" s="20" t="n"/>
    </row>
    <row r="93">
      <c r="A93" s="32" t="n"/>
      <c r="B93" s="20" t="n"/>
      <c r="C93" s="20" t="n"/>
      <c r="D93" s="20" t="n"/>
    </row>
    <row r="94">
      <c r="A94" s="32" t="n"/>
      <c r="B94" s="20" t="n"/>
      <c r="C94" s="20" t="n"/>
      <c r="D94" s="20" t="n"/>
    </row>
    <row r="95">
      <c r="A95" s="32" t="n"/>
      <c r="B95" s="20" t="n"/>
      <c r="C95" s="20" t="n"/>
      <c r="D95" s="20" t="n"/>
    </row>
    <row r="96">
      <c r="A96" s="32" t="n"/>
      <c r="B96" s="20" t="n"/>
      <c r="C96" s="20" t="n"/>
      <c r="D96" s="20" t="n"/>
    </row>
    <row r="97">
      <c r="A97" s="32" t="n"/>
      <c r="B97" s="20" t="n"/>
      <c r="C97" s="20" t="n"/>
      <c r="D97" s="20" t="n"/>
    </row>
    <row r="98">
      <c r="A98" s="32" t="n"/>
      <c r="B98" s="20" t="n"/>
      <c r="C98" s="20" t="n"/>
      <c r="D98" s="20" t="n"/>
    </row>
    <row r="99">
      <c r="A99" s="32" t="n"/>
      <c r="B99" s="20" t="n"/>
      <c r="C99" s="20" t="n"/>
      <c r="D99" s="20" t="n"/>
    </row>
    <row r="100">
      <c r="A100" s="32" t="n"/>
      <c r="B100" s="20" t="n"/>
      <c r="C100" s="20" t="n"/>
      <c r="D100" s="20" t="n"/>
    </row>
    <row r="101">
      <c r="A101" s="32" t="n"/>
      <c r="B101" s="20" t="n"/>
      <c r="C101" s="20" t="n"/>
      <c r="D101" s="20" t="n"/>
    </row>
    <row r="102">
      <c r="A102" s="32" t="n"/>
      <c r="B102" s="20" t="n"/>
      <c r="C102" s="20" t="n"/>
      <c r="D102" s="20" t="n"/>
    </row>
    <row r="103">
      <c r="A103" s="32" t="n"/>
      <c r="B103" s="20" t="n"/>
      <c r="C103" s="20" t="n"/>
      <c r="D103" s="20" t="n"/>
    </row>
    <row r="104">
      <c r="A104" s="32" t="n"/>
      <c r="B104" s="20" t="n"/>
      <c r="C104" s="20" t="n"/>
      <c r="D104" s="20" t="n"/>
    </row>
    <row r="105">
      <c r="A105" s="32" t="n"/>
      <c r="B105" s="20" t="n"/>
      <c r="C105" s="20" t="n"/>
      <c r="D105" s="20" t="n"/>
    </row>
    <row r="106">
      <c r="A106" s="32" t="n"/>
      <c r="B106" s="20" t="n"/>
      <c r="C106" s="20" t="n"/>
      <c r="D106" s="20" t="n"/>
    </row>
    <row r="107">
      <c r="A107" s="32" t="n"/>
      <c r="B107" s="20" t="n"/>
      <c r="C107" s="20" t="n"/>
      <c r="D107" s="20" t="n"/>
    </row>
    <row r="108">
      <c r="A108" s="32" t="n"/>
      <c r="B108" s="20" t="n"/>
      <c r="C108" s="20" t="n"/>
      <c r="D108" s="20" t="n"/>
    </row>
    <row r="109">
      <c r="A109" s="32" t="n"/>
      <c r="B109" s="20" t="n"/>
      <c r="C109" s="20" t="n"/>
      <c r="D109" s="20" t="n"/>
    </row>
    <row r="110">
      <c r="A110" s="32" t="n"/>
      <c r="B110" s="20" t="n"/>
      <c r="C110" s="20" t="n"/>
      <c r="D110" s="20" t="n"/>
    </row>
    <row r="111">
      <c r="A111" s="32" t="n"/>
      <c r="B111" s="20" t="n"/>
      <c r="C111" s="20" t="n"/>
      <c r="D111" s="20" t="n"/>
    </row>
    <row r="112">
      <c r="A112" s="32" t="n"/>
      <c r="B112" s="20" t="n"/>
      <c r="C112" s="20" t="n"/>
      <c r="D112" s="20" t="n"/>
    </row>
    <row r="113">
      <c r="A113" s="32" t="n"/>
      <c r="B113" s="20" t="n"/>
      <c r="C113" s="20" t="n"/>
      <c r="D113" s="20" t="n"/>
    </row>
    <row r="114">
      <c r="A114" s="32" t="n"/>
      <c r="B114" s="20" t="n"/>
      <c r="C114" s="20" t="n"/>
      <c r="D114" s="20" t="n"/>
    </row>
    <row r="115">
      <c r="A115" s="32" t="n"/>
      <c r="B115" s="20" t="n"/>
      <c r="C115" s="20" t="n"/>
      <c r="D115" s="20" t="n"/>
    </row>
    <row r="116">
      <c r="A116" s="32" t="n"/>
      <c r="B116" s="20" t="n"/>
      <c r="C116" s="20" t="n"/>
      <c r="D116" s="20" t="n"/>
    </row>
    <row r="117">
      <c r="A117" s="32" t="n"/>
      <c r="B117" s="20" t="n"/>
      <c r="C117" s="20" t="n"/>
      <c r="D117" s="20" t="n"/>
    </row>
    <row r="118">
      <c r="A118" s="32" t="n"/>
      <c r="B118" s="20" t="n"/>
      <c r="C118" s="20" t="n"/>
      <c r="D118" s="20" t="n"/>
    </row>
    <row r="119">
      <c r="A119" s="32" t="n"/>
      <c r="B119" s="20" t="n"/>
      <c r="C119" s="20" t="n"/>
      <c r="D119" s="20" t="n"/>
    </row>
    <row r="120">
      <c r="A120" s="32" t="n"/>
      <c r="B120" s="20" t="n"/>
      <c r="C120" s="20" t="n"/>
      <c r="D120" s="20" t="n"/>
    </row>
    <row r="121">
      <c r="A121" s="32" t="n"/>
      <c r="B121" s="20" t="n"/>
      <c r="C121" s="20" t="n"/>
      <c r="D121" s="20" t="n"/>
    </row>
    <row r="122">
      <c r="A122" s="32" t="n"/>
      <c r="B122" s="20" t="n"/>
      <c r="C122" s="20" t="n"/>
      <c r="D122" s="20" t="n"/>
    </row>
    <row r="123">
      <c r="A123" s="32" t="n"/>
      <c r="B123" s="20" t="n"/>
      <c r="C123" s="20" t="n"/>
      <c r="D123" s="20" t="n"/>
    </row>
    <row r="124">
      <c r="A124" s="32" t="n"/>
      <c r="B124" s="20" t="n"/>
      <c r="C124" s="20" t="n"/>
      <c r="D124" s="20" t="n"/>
    </row>
    <row r="125">
      <c r="A125" s="32" t="n"/>
      <c r="B125" s="20" t="n"/>
      <c r="C125" s="20" t="n"/>
      <c r="D125" s="20" t="n"/>
    </row>
    <row r="126">
      <c r="A126" s="32" t="n"/>
      <c r="B126" s="20" t="n"/>
      <c r="C126" s="20" t="n"/>
      <c r="D126" s="20" t="n"/>
    </row>
    <row r="127">
      <c r="A127" s="32" t="n"/>
      <c r="B127" s="20" t="n"/>
      <c r="C127" s="20" t="n"/>
      <c r="D127" s="20" t="n"/>
    </row>
    <row r="128">
      <c r="A128" s="32" t="n"/>
      <c r="B128" s="20" t="n"/>
      <c r="C128" s="20" t="n"/>
      <c r="D128" s="20" t="n"/>
    </row>
    <row r="129">
      <c r="A129" s="32" t="n"/>
      <c r="B129" s="20" t="n"/>
      <c r="C129" s="20" t="n"/>
      <c r="D129" s="20" t="n"/>
    </row>
    <row r="130">
      <c r="A130" s="32" t="n"/>
      <c r="B130" s="20" t="n"/>
      <c r="C130" s="20" t="n"/>
      <c r="D130" s="20" t="n"/>
    </row>
    <row r="131">
      <c r="A131" s="32" t="n"/>
      <c r="B131" s="20" t="n"/>
      <c r="C131" s="20" t="n"/>
      <c r="D131" s="20" t="n"/>
    </row>
    <row r="132">
      <c r="A132" s="32" t="n"/>
      <c r="B132" s="20" t="n"/>
      <c r="C132" s="20" t="n"/>
      <c r="D132" s="20" t="n"/>
    </row>
    <row r="133">
      <c r="A133" s="32" t="n"/>
      <c r="B133" s="20" t="n"/>
      <c r="C133" s="20" t="n"/>
      <c r="D133" s="20" t="n"/>
    </row>
    <row r="134">
      <c r="A134" s="32" t="n"/>
      <c r="B134" s="20" t="n"/>
      <c r="C134" s="20" t="n"/>
      <c r="D134" s="20" t="n"/>
    </row>
    <row r="135">
      <c r="A135" s="32" t="n"/>
      <c r="B135" s="20" t="n"/>
      <c r="C135" s="20" t="n"/>
      <c r="D135" s="20" t="n"/>
    </row>
    <row r="136">
      <c r="A136" s="32" t="n"/>
      <c r="B136" s="20" t="n"/>
      <c r="C136" s="20" t="n"/>
      <c r="D136" s="20" t="n"/>
    </row>
    <row r="137">
      <c r="A137" s="32" t="n"/>
      <c r="B137" s="20" t="n"/>
      <c r="C137" s="20" t="n"/>
      <c r="D137" s="20" t="n"/>
    </row>
    <row r="138">
      <c r="A138" s="32" t="n"/>
      <c r="B138" s="20" t="n"/>
      <c r="C138" s="20" t="n"/>
      <c r="D138" s="20" t="n"/>
    </row>
    <row r="139">
      <c r="A139" s="32" t="n"/>
      <c r="B139" s="20" t="n"/>
      <c r="C139" s="20" t="n"/>
      <c r="D139" s="20" t="n"/>
    </row>
    <row r="140">
      <c r="A140" s="32" t="n"/>
      <c r="B140" s="20" t="n"/>
      <c r="C140" s="20" t="n"/>
      <c r="D140" s="20" t="n"/>
    </row>
    <row r="141">
      <c r="A141" s="32" t="n"/>
      <c r="B141" s="20" t="n"/>
      <c r="C141" s="20" t="n"/>
      <c r="D141" s="20" t="n"/>
    </row>
    <row r="142">
      <c r="A142" s="32" t="n"/>
      <c r="B142" s="20" t="n"/>
      <c r="C142" s="20" t="n"/>
      <c r="D142" s="20" t="n"/>
    </row>
    <row r="143">
      <c r="A143" s="32" t="n"/>
      <c r="B143" s="20" t="n"/>
      <c r="C143" s="20" t="n"/>
      <c r="D143" s="20" t="n"/>
    </row>
    <row r="144">
      <c r="A144" s="32" t="n"/>
      <c r="B144" s="20" t="n"/>
      <c r="C144" s="20" t="n"/>
      <c r="D144" s="20" t="n"/>
    </row>
    <row r="145">
      <c r="A145" s="32" t="n"/>
      <c r="B145" s="20" t="n"/>
      <c r="C145" s="20" t="n"/>
      <c r="D145" s="20" t="n"/>
    </row>
    <row r="146">
      <c r="A146" s="32" t="n"/>
      <c r="B146" s="20" t="n"/>
      <c r="C146" s="20" t="n"/>
      <c r="D146" s="20" t="n"/>
    </row>
    <row r="147">
      <c r="A147" s="32" t="n"/>
      <c r="B147" s="20" t="n"/>
      <c r="C147" s="20" t="n"/>
      <c r="D147" s="20" t="n"/>
    </row>
    <row r="148">
      <c r="A148" s="32" t="n"/>
      <c r="B148" s="20" t="n"/>
      <c r="C148" s="20" t="n"/>
      <c r="D148" s="20" t="n"/>
    </row>
    <row r="149">
      <c r="A149" s="32" t="n"/>
      <c r="B149" s="20" t="n"/>
      <c r="C149" s="20" t="n"/>
      <c r="D149" s="20" t="n"/>
    </row>
    <row r="150">
      <c r="A150" s="32" t="n"/>
      <c r="B150" s="20" t="n"/>
      <c r="C150" s="20" t="n"/>
      <c r="D150" s="20" t="n"/>
    </row>
    <row r="151">
      <c r="A151" s="32" t="n"/>
      <c r="B151" s="20" t="n"/>
      <c r="C151" s="20" t="n"/>
      <c r="D151" s="20" t="n"/>
    </row>
    <row r="152">
      <c r="A152" s="32" t="n"/>
      <c r="B152" s="20" t="n"/>
      <c r="C152" s="20" t="n"/>
      <c r="D152" s="20" t="n"/>
    </row>
    <row r="153">
      <c r="A153" s="32" t="n"/>
      <c r="B153" s="20" t="n"/>
      <c r="C153" s="20" t="n"/>
      <c r="D153" s="20" t="n"/>
    </row>
    <row r="154">
      <c r="A154" s="32" t="n"/>
      <c r="B154" s="20" t="n"/>
      <c r="C154" s="20" t="n"/>
      <c r="D154" s="20" t="n"/>
    </row>
    <row r="155">
      <c r="A155" s="32" t="n"/>
      <c r="B155" s="20" t="n"/>
      <c r="C155" s="20" t="n"/>
      <c r="D155" s="20" t="n"/>
    </row>
    <row r="156">
      <c r="A156" s="32" t="n"/>
      <c r="B156" s="20" t="n"/>
      <c r="C156" s="20" t="n"/>
      <c r="D156" s="20" t="n"/>
    </row>
    <row r="157">
      <c r="A157" s="32" t="n"/>
      <c r="B157" s="20" t="n"/>
      <c r="C157" s="20" t="n"/>
      <c r="D157" s="20" t="n"/>
    </row>
    <row r="158">
      <c r="A158" s="32" t="n"/>
      <c r="B158" s="20" t="n"/>
      <c r="C158" s="20" t="n"/>
      <c r="D158" s="20" t="n"/>
    </row>
    <row r="159">
      <c r="A159" s="32" t="n"/>
      <c r="B159" s="20" t="n"/>
      <c r="C159" s="20" t="n"/>
      <c r="D159" s="20" t="n"/>
    </row>
    <row r="160">
      <c r="A160" s="32" t="n"/>
      <c r="B160" s="20" t="n"/>
      <c r="C160" s="20" t="n"/>
      <c r="D160" s="20" t="n"/>
    </row>
    <row r="161">
      <c r="A161" s="32" t="n"/>
      <c r="B161" s="20" t="n"/>
      <c r="C161" s="20" t="n"/>
      <c r="D161" s="20" t="n"/>
    </row>
    <row r="162">
      <c r="A162" s="32" t="n"/>
      <c r="B162" s="20" t="n"/>
      <c r="C162" s="20" t="n"/>
      <c r="D162" s="20" t="n"/>
    </row>
    <row r="163">
      <c r="A163" s="32" t="n"/>
      <c r="B163" s="20" t="n"/>
      <c r="C163" s="20" t="n"/>
      <c r="D163" s="20" t="n"/>
    </row>
    <row r="164">
      <c r="A164" s="32" t="n"/>
      <c r="B164" s="20" t="n"/>
      <c r="C164" s="20" t="n"/>
      <c r="D164" s="20" t="n"/>
    </row>
    <row r="165">
      <c r="A165" s="32" t="n"/>
      <c r="B165" s="20" t="n"/>
      <c r="C165" s="20" t="n"/>
      <c r="D165" s="20" t="n"/>
    </row>
    <row r="166">
      <c r="A166" s="32" t="n"/>
      <c r="B166" s="20" t="n"/>
      <c r="C166" s="20" t="n"/>
      <c r="D166" s="20" t="n"/>
    </row>
    <row r="167">
      <c r="A167" s="32" t="n"/>
      <c r="B167" s="20" t="n"/>
      <c r="C167" s="20" t="n"/>
      <c r="D167" s="20" t="n"/>
    </row>
    <row r="168">
      <c r="A168" s="32" t="n"/>
      <c r="B168" s="20" t="n"/>
      <c r="C168" s="20" t="n"/>
      <c r="D168" s="20" t="n"/>
    </row>
    <row r="169">
      <c r="A169" s="32" t="n"/>
      <c r="B169" s="20" t="n"/>
      <c r="C169" s="20" t="n"/>
      <c r="D169" s="20" t="n"/>
    </row>
    <row r="170">
      <c r="A170" s="32" t="n"/>
      <c r="B170" s="20" t="n"/>
      <c r="C170" s="20" t="n"/>
      <c r="D170" s="20" t="n"/>
    </row>
    <row r="171">
      <c r="A171" s="32" t="n"/>
      <c r="B171" s="20" t="n"/>
      <c r="C171" s="20" t="n"/>
      <c r="D171" s="20" t="n"/>
    </row>
    <row r="172">
      <c r="A172" s="32" t="n"/>
      <c r="B172" s="20" t="n"/>
      <c r="C172" s="20" t="n"/>
      <c r="D172" s="20" t="n"/>
    </row>
    <row r="173">
      <c r="A173" s="32" t="n"/>
      <c r="B173" s="20" t="n"/>
      <c r="C173" s="20" t="n"/>
      <c r="D173" s="20" t="n"/>
    </row>
    <row r="174">
      <c r="A174" s="32" t="n"/>
      <c r="B174" s="20" t="n"/>
      <c r="C174" s="20" t="n"/>
      <c r="D174" s="20" t="n"/>
    </row>
    <row r="175">
      <c r="A175" s="32" t="n"/>
      <c r="B175" s="20" t="n"/>
      <c r="C175" s="20" t="n"/>
      <c r="D175" s="20" t="n"/>
    </row>
    <row r="176">
      <c r="A176" s="32" t="n"/>
      <c r="B176" s="20" t="n"/>
      <c r="C176" s="20" t="n"/>
      <c r="D176" s="20" t="n"/>
    </row>
    <row r="177">
      <c r="A177" s="32" t="n"/>
      <c r="B177" s="20" t="n"/>
      <c r="C177" s="20" t="n"/>
      <c r="D177" s="20" t="n"/>
    </row>
    <row r="178">
      <c r="A178" s="32" t="n"/>
      <c r="B178" s="20" t="n"/>
      <c r="C178" s="20" t="n"/>
      <c r="D178" s="20" t="n"/>
    </row>
    <row r="179">
      <c r="A179" s="32" t="n"/>
      <c r="B179" s="20" t="n"/>
      <c r="C179" s="20" t="n"/>
      <c r="D179" s="20" t="n"/>
    </row>
    <row r="180">
      <c r="A180" s="32" t="n"/>
      <c r="B180" s="20" t="n"/>
      <c r="C180" s="20" t="n"/>
      <c r="D180" s="20" t="n"/>
    </row>
    <row r="181">
      <c r="A181" s="32" t="n"/>
      <c r="B181" s="20" t="n"/>
      <c r="C181" s="20" t="n"/>
      <c r="D181" s="20" t="n"/>
    </row>
    <row r="182">
      <c r="A182" s="32" t="n"/>
      <c r="B182" s="20" t="n"/>
      <c r="C182" s="20" t="n"/>
      <c r="D182" s="20" t="n"/>
    </row>
    <row r="183">
      <c r="A183" s="32" t="n"/>
      <c r="B183" s="20" t="n"/>
      <c r="C183" s="20" t="n"/>
      <c r="D183" s="20" t="n"/>
    </row>
    <row r="184">
      <c r="A184" s="32" t="n"/>
      <c r="B184" s="20" t="n"/>
      <c r="C184" s="20" t="n"/>
      <c r="D184" s="20" t="n"/>
    </row>
    <row r="185">
      <c r="A185" s="32" t="n"/>
      <c r="B185" s="20" t="n"/>
      <c r="C185" s="20" t="n"/>
      <c r="D185" s="20" t="n"/>
    </row>
    <row r="186">
      <c r="A186" s="32" t="n"/>
      <c r="B186" s="20" t="n"/>
      <c r="C186" s="20" t="n"/>
      <c r="D186" s="20" t="n"/>
    </row>
    <row r="187">
      <c r="A187" s="32" t="n"/>
      <c r="B187" s="20" t="n"/>
      <c r="C187" s="20" t="n"/>
      <c r="D187" s="20" t="n"/>
    </row>
    <row r="188">
      <c r="A188" s="32" t="n"/>
      <c r="B188" s="20" t="n"/>
      <c r="C188" s="20" t="n"/>
      <c r="D188" s="20" t="n"/>
    </row>
    <row r="189">
      <c r="A189" s="32" t="n"/>
      <c r="B189" s="20" t="n"/>
      <c r="C189" s="20" t="n"/>
      <c r="D189" s="20" t="n"/>
    </row>
    <row r="190">
      <c r="A190" s="32" t="n"/>
      <c r="B190" s="20" t="n"/>
      <c r="C190" s="20" t="n"/>
      <c r="D190" s="20" t="n"/>
    </row>
    <row r="191">
      <c r="A191" s="32" t="n"/>
      <c r="B191" s="20" t="n"/>
      <c r="C191" s="20" t="n"/>
      <c r="D191" s="20" t="n"/>
    </row>
    <row r="192">
      <c r="A192" s="32" t="n"/>
      <c r="B192" s="20" t="n"/>
      <c r="C192" s="20" t="n"/>
      <c r="D192" s="20" t="n"/>
    </row>
    <row r="193">
      <c r="A193" s="32" t="n"/>
      <c r="B193" s="20" t="n"/>
      <c r="C193" s="20" t="n"/>
      <c r="D193" s="20" t="n"/>
    </row>
    <row r="194">
      <c r="A194" s="32" t="n"/>
      <c r="B194" s="20" t="n"/>
      <c r="C194" s="20" t="n"/>
      <c r="D194" s="20" t="n"/>
    </row>
    <row r="195">
      <c r="A195" s="32" t="n"/>
      <c r="B195" s="20" t="n"/>
      <c r="C195" s="20" t="n"/>
      <c r="D195" s="20" t="n"/>
    </row>
    <row r="196">
      <c r="A196" s="32" t="n"/>
      <c r="B196" s="20" t="n"/>
      <c r="C196" s="20" t="n"/>
      <c r="D196" s="20" t="n"/>
    </row>
    <row r="197">
      <c r="A197" s="32" t="n"/>
      <c r="B197" s="20" t="n"/>
      <c r="C197" s="20" t="n"/>
      <c r="D197" s="20" t="n"/>
    </row>
    <row r="198">
      <c r="A198" s="32" t="n"/>
      <c r="B198" s="20" t="n"/>
      <c r="C198" s="20" t="n"/>
      <c r="D198" s="20" t="n"/>
    </row>
    <row r="199">
      <c r="A199" s="32" t="n"/>
      <c r="B199" s="20" t="n"/>
      <c r="C199" s="20" t="n"/>
      <c r="D199" s="20" t="n"/>
    </row>
    <row r="200">
      <c r="A200" s="32" t="n"/>
      <c r="B200" s="20" t="n"/>
      <c r="C200" s="20" t="n"/>
      <c r="D200" s="20" t="n"/>
    </row>
    <row r="201">
      <c r="A201" s="32" t="n"/>
      <c r="B201" s="20" t="n"/>
      <c r="C201" s="20" t="n"/>
      <c r="D201" s="20" t="n"/>
    </row>
    <row r="202">
      <c r="A202" s="32" t="n"/>
      <c r="B202" s="20" t="n"/>
      <c r="C202" s="20" t="n"/>
      <c r="D202" s="20" t="n"/>
    </row>
  </sheetData>
  <dataValidations count="1">
    <dataValidation sqref="C3:C20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6" customWidth="1" min="3" max="3"/>
    <col width="10" customWidth="1" min="4" max="4"/>
    <col width="60" customWidth="1" min="5" max="5"/>
  </cols>
  <sheetData>
    <row r="1">
      <c r="A1" s="31" t="inlineStr">
        <is>
          <t>Chat review issues   |   Issue code: GT QL PI PQ OH NC SR NF GC PB OT</t>
        </is>
      </c>
    </row>
    <row r="2" ht="32" customHeight="1">
      <c r="A2" s="15" t="inlineStr">
        <is>
          <t>Chat date</t>
        </is>
      </c>
      <c r="B2" s="15" t="inlineStr">
        <is>
          <t>Agent</t>
        </is>
      </c>
      <c r="C2" s="15" t="inlineStr">
        <is>
          <t>Client name / Deal ID</t>
        </is>
      </c>
      <c r="D2" s="15" t="inlineStr">
        <is>
          <t>Issue code</t>
        </is>
      </c>
      <c r="E2" s="15" t="inlineStr">
        <is>
          <t>Feedback given to the agent</t>
        </is>
      </c>
    </row>
    <row r="3">
      <c r="A3" s="32" t="n"/>
      <c r="B3" s="20" t="n"/>
      <c r="C3" s="20" t="n"/>
      <c r="D3" s="20" t="n"/>
      <c r="E3" s="20" t="n"/>
    </row>
    <row r="4">
      <c r="A4" s="32" t="n"/>
      <c r="B4" s="20" t="n"/>
      <c r="C4" s="20" t="n"/>
      <c r="D4" s="20" t="n"/>
      <c r="E4" s="20" t="n"/>
    </row>
    <row r="5">
      <c r="A5" s="32" t="n"/>
      <c r="B5" s="20" t="n"/>
      <c r="C5" s="20" t="n"/>
      <c r="D5" s="20" t="n"/>
      <c r="E5" s="20" t="n"/>
    </row>
    <row r="6">
      <c r="A6" s="32" t="n"/>
      <c r="B6" s="20" t="n"/>
      <c r="C6" s="20" t="n"/>
      <c r="D6" s="20" t="n"/>
      <c r="E6" s="20" t="n"/>
    </row>
    <row r="7">
      <c r="A7" s="32" t="n"/>
      <c r="B7" s="20" t="n"/>
      <c r="C7" s="20" t="n"/>
      <c r="D7" s="20" t="n"/>
      <c r="E7" s="20" t="n"/>
    </row>
    <row r="8">
      <c r="A8" s="32" t="n"/>
      <c r="B8" s="20" t="n"/>
      <c r="C8" s="20" t="n"/>
      <c r="D8" s="20" t="n"/>
      <c r="E8" s="20" t="n"/>
    </row>
    <row r="9">
      <c r="A9" s="32" t="n"/>
      <c r="B9" s="20" t="n"/>
      <c r="C9" s="20" t="n"/>
      <c r="D9" s="20" t="n"/>
      <c r="E9" s="20" t="n"/>
    </row>
    <row r="10">
      <c r="A10" s="32" t="n"/>
      <c r="B10" s="20" t="n"/>
      <c r="C10" s="20" t="n"/>
      <c r="D10" s="20" t="n"/>
      <c r="E10" s="20" t="n"/>
    </row>
    <row r="11">
      <c r="A11" s="32" t="n"/>
      <c r="B11" s="20" t="n"/>
      <c r="C11" s="20" t="n"/>
      <c r="D11" s="20" t="n"/>
      <c r="E11" s="20" t="n"/>
    </row>
    <row r="12">
      <c r="A12" s="32" t="n"/>
      <c r="B12" s="20" t="n"/>
      <c r="C12" s="20" t="n"/>
      <c r="D12" s="20" t="n"/>
      <c r="E12" s="20" t="n"/>
    </row>
    <row r="13">
      <c r="A13" s="32" t="n"/>
      <c r="B13" s="20" t="n"/>
      <c r="C13" s="20" t="n"/>
      <c r="D13" s="20" t="n"/>
      <c r="E13" s="20" t="n"/>
    </row>
    <row r="14">
      <c r="A14" s="32" t="n"/>
      <c r="B14" s="20" t="n"/>
      <c r="C14" s="20" t="n"/>
      <c r="D14" s="20" t="n"/>
      <c r="E14" s="20" t="n"/>
    </row>
    <row r="15">
      <c r="A15" s="32" t="n"/>
      <c r="B15" s="20" t="n"/>
      <c r="C15" s="20" t="n"/>
      <c r="D15" s="20" t="n"/>
      <c r="E15" s="20" t="n"/>
    </row>
    <row r="16">
      <c r="A16" s="32" t="n"/>
      <c r="B16" s="20" t="n"/>
      <c r="C16" s="20" t="n"/>
      <c r="D16" s="20" t="n"/>
      <c r="E16" s="20" t="n"/>
    </row>
    <row r="17">
      <c r="A17" s="32" t="n"/>
      <c r="B17" s="20" t="n"/>
      <c r="C17" s="20" t="n"/>
      <c r="D17" s="20" t="n"/>
      <c r="E17" s="20" t="n"/>
    </row>
    <row r="18">
      <c r="A18" s="32" t="n"/>
      <c r="B18" s="20" t="n"/>
      <c r="C18" s="20" t="n"/>
      <c r="D18" s="20" t="n"/>
      <c r="E18" s="20" t="n"/>
    </row>
    <row r="19">
      <c r="A19" s="32" t="n"/>
      <c r="B19" s="20" t="n"/>
      <c r="C19" s="20" t="n"/>
      <c r="D19" s="20" t="n"/>
      <c r="E19" s="20" t="n"/>
    </row>
    <row r="20">
      <c r="A20" s="32" t="n"/>
      <c r="B20" s="20" t="n"/>
      <c r="C20" s="20" t="n"/>
      <c r="D20" s="20" t="n"/>
      <c r="E20" s="20" t="n"/>
    </row>
    <row r="21">
      <c r="A21" s="32" t="n"/>
      <c r="B21" s="20" t="n"/>
      <c r="C21" s="20" t="n"/>
      <c r="D21" s="20" t="n"/>
      <c r="E21" s="20" t="n"/>
    </row>
    <row r="22">
      <c r="A22" s="32" t="n"/>
      <c r="B22" s="20" t="n"/>
      <c r="C22" s="20" t="n"/>
      <c r="D22" s="20" t="n"/>
      <c r="E22" s="20" t="n"/>
    </row>
    <row r="23">
      <c r="A23" s="32" t="n"/>
      <c r="B23" s="20" t="n"/>
      <c r="C23" s="20" t="n"/>
      <c r="D23" s="20" t="n"/>
      <c r="E23" s="20" t="n"/>
    </row>
    <row r="24">
      <c r="A24" s="32" t="n"/>
      <c r="B24" s="20" t="n"/>
      <c r="C24" s="20" t="n"/>
      <c r="D24" s="20" t="n"/>
      <c r="E24" s="20" t="n"/>
    </row>
    <row r="25">
      <c r="A25" s="32" t="n"/>
      <c r="B25" s="20" t="n"/>
      <c r="C25" s="20" t="n"/>
      <c r="D25" s="20" t="n"/>
      <c r="E25" s="20" t="n"/>
    </row>
    <row r="26">
      <c r="A26" s="32" t="n"/>
      <c r="B26" s="20" t="n"/>
      <c r="C26" s="20" t="n"/>
      <c r="D26" s="20" t="n"/>
      <c r="E26" s="20" t="n"/>
    </row>
    <row r="27">
      <c r="A27" s="32" t="n"/>
      <c r="B27" s="20" t="n"/>
      <c r="C27" s="20" t="n"/>
      <c r="D27" s="20" t="n"/>
      <c r="E27" s="20" t="n"/>
    </row>
    <row r="28">
      <c r="A28" s="32" t="n"/>
      <c r="B28" s="20" t="n"/>
      <c r="C28" s="20" t="n"/>
      <c r="D28" s="20" t="n"/>
      <c r="E28" s="20" t="n"/>
    </row>
    <row r="29">
      <c r="A29" s="32" t="n"/>
      <c r="B29" s="20" t="n"/>
      <c r="C29" s="20" t="n"/>
      <c r="D29" s="20" t="n"/>
      <c r="E29" s="20" t="n"/>
    </row>
    <row r="30">
      <c r="A30" s="32" t="n"/>
      <c r="B30" s="20" t="n"/>
      <c r="C30" s="20" t="n"/>
      <c r="D30" s="20" t="n"/>
      <c r="E30" s="20" t="n"/>
    </row>
    <row r="31">
      <c r="A31" s="32" t="n"/>
      <c r="B31" s="20" t="n"/>
      <c r="C31" s="20" t="n"/>
      <c r="D31" s="20" t="n"/>
      <c r="E31" s="20" t="n"/>
    </row>
    <row r="32">
      <c r="A32" s="32" t="n"/>
      <c r="B32" s="20" t="n"/>
      <c r="C32" s="20" t="n"/>
      <c r="D32" s="20" t="n"/>
      <c r="E32" s="20" t="n"/>
    </row>
    <row r="33">
      <c r="A33" s="32" t="n"/>
      <c r="B33" s="20" t="n"/>
      <c r="C33" s="20" t="n"/>
      <c r="D33" s="20" t="n"/>
      <c r="E33" s="20" t="n"/>
    </row>
    <row r="34">
      <c r="A34" s="32" t="n"/>
      <c r="B34" s="20" t="n"/>
      <c r="C34" s="20" t="n"/>
      <c r="D34" s="20" t="n"/>
      <c r="E34" s="20" t="n"/>
    </row>
    <row r="35">
      <c r="A35" s="32" t="n"/>
      <c r="B35" s="20" t="n"/>
      <c r="C35" s="20" t="n"/>
      <c r="D35" s="20" t="n"/>
      <c r="E35" s="20" t="n"/>
    </row>
    <row r="36">
      <c r="A36" s="32" t="n"/>
      <c r="B36" s="20" t="n"/>
      <c r="C36" s="20" t="n"/>
      <c r="D36" s="20" t="n"/>
      <c r="E36" s="20" t="n"/>
    </row>
    <row r="37">
      <c r="A37" s="32" t="n"/>
      <c r="B37" s="20" t="n"/>
      <c r="C37" s="20" t="n"/>
      <c r="D37" s="20" t="n"/>
      <c r="E37" s="20" t="n"/>
    </row>
    <row r="38">
      <c r="A38" s="32" t="n"/>
      <c r="B38" s="20" t="n"/>
      <c r="C38" s="20" t="n"/>
      <c r="D38" s="20" t="n"/>
      <c r="E38" s="20" t="n"/>
    </row>
    <row r="39">
      <c r="A39" s="32" t="n"/>
      <c r="B39" s="20" t="n"/>
      <c r="C39" s="20" t="n"/>
      <c r="D39" s="20" t="n"/>
      <c r="E39" s="20" t="n"/>
    </row>
    <row r="40">
      <c r="A40" s="32" t="n"/>
      <c r="B40" s="20" t="n"/>
      <c r="C40" s="20" t="n"/>
      <c r="D40" s="20" t="n"/>
      <c r="E40" s="20" t="n"/>
    </row>
    <row r="41">
      <c r="A41" s="32" t="n"/>
      <c r="B41" s="20" t="n"/>
      <c r="C41" s="20" t="n"/>
      <c r="D41" s="20" t="n"/>
      <c r="E41" s="20" t="n"/>
    </row>
    <row r="42">
      <c r="A42" s="32" t="n"/>
      <c r="B42" s="20" t="n"/>
      <c r="C42" s="20" t="n"/>
      <c r="D42" s="20" t="n"/>
      <c r="E42" s="20" t="n"/>
    </row>
    <row r="43">
      <c r="A43" s="32" t="n"/>
      <c r="B43" s="20" t="n"/>
      <c r="C43" s="20" t="n"/>
      <c r="D43" s="20" t="n"/>
      <c r="E43" s="20" t="n"/>
    </row>
    <row r="44">
      <c r="A44" s="32" t="n"/>
      <c r="B44" s="20" t="n"/>
      <c r="C44" s="20" t="n"/>
      <c r="D44" s="20" t="n"/>
      <c r="E44" s="20" t="n"/>
    </row>
    <row r="45">
      <c r="A45" s="32" t="n"/>
      <c r="B45" s="20" t="n"/>
      <c r="C45" s="20" t="n"/>
      <c r="D45" s="20" t="n"/>
      <c r="E45" s="20" t="n"/>
    </row>
    <row r="46">
      <c r="A46" s="32" t="n"/>
      <c r="B46" s="20" t="n"/>
      <c r="C46" s="20" t="n"/>
      <c r="D46" s="20" t="n"/>
      <c r="E46" s="20" t="n"/>
    </row>
    <row r="47">
      <c r="A47" s="32" t="n"/>
      <c r="B47" s="20" t="n"/>
      <c r="C47" s="20" t="n"/>
      <c r="D47" s="20" t="n"/>
      <c r="E47" s="20" t="n"/>
    </row>
    <row r="48">
      <c r="A48" s="32" t="n"/>
      <c r="B48" s="20" t="n"/>
      <c r="C48" s="20" t="n"/>
      <c r="D48" s="20" t="n"/>
      <c r="E48" s="20" t="n"/>
    </row>
    <row r="49">
      <c r="A49" s="32" t="n"/>
      <c r="B49" s="20" t="n"/>
      <c r="C49" s="20" t="n"/>
      <c r="D49" s="20" t="n"/>
      <c r="E49" s="20" t="n"/>
    </row>
    <row r="50">
      <c r="A50" s="32" t="n"/>
      <c r="B50" s="20" t="n"/>
      <c r="C50" s="20" t="n"/>
      <c r="D50" s="20" t="n"/>
      <c r="E50" s="20" t="n"/>
    </row>
    <row r="51">
      <c r="A51" s="32" t="n"/>
      <c r="B51" s="20" t="n"/>
      <c r="C51" s="20" t="n"/>
      <c r="D51" s="20" t="n"/>
      <c r="E51" s="20" t="n"/>
    </row>
    <row r="52">
      <c r="A52" s="32" t="n"/>
      <c r="B52" s="20" t="n"/>
      <c r="C52" s="20" t="n"/>
      <c r="D52" s="20" t="n"/>
      <c r="E52" s="20" t="n"/>
    </row>
    <row r="53">
      <c r="A53" s="32" t="n"/>
      <c r="B53" s="20" t="n"/>
      <c r="C53" s="20" t="n"/>
      <c r="D53" s="20" t="n"/>
      <c r="E53" s="20" t="n"/>
    </row>
    <row r="54">
      <c r="A54" s="32" t="n"/>
      <c r="B54" s="20" t="n"/>
      <c r="C54" s="20" t="n"/>
      <c r="D54" s="20" t="n"/>
      <c r="E54" s="20" t="n"/>
    </row>
    <row r="55">
      <c r="A55" s="32" t="n"/>
      <c r="B55" s="20" t="n"/>
      <c r="C55" s="20" t="n"/>
      <c r="D55" s="20" t="n"/>
      <c r="E55" s="20" t="n"/>
    </row>
    <row r="56">
      <c r="A56" s="32" t="n"/>
      <c r="B56" s="20" t="n"/>
      <c r="C56" s="20" t="n"/>
      <c r="D56" s="20" t="n"/>
      <c r="E56" s="20" t="n"/>
    </row>
    <row r="57">
      <c r="A57" s="32" t="n"/>
      <c r="B57" s="20" t="n"/>
      <c r="C57" s="20" t="n"/>
      <c r="D57" s="20" t="n"/>
      <c r="E57" s="20" t="n"/>
    </row>
    <row r="58">
      <c r="A58" s="32" t="n"/>
      <c r="B58" s="20" t="n"/>
      <c r="C58" s="20" t="n"/>
      <c r="D58" s="20" t="n"/>
      <c r="E58" s="20" t="n"/>
    </row>
    <row r="59">
      <c r="A59" s="32" t="n"/>
      <c r="B59" s="20" t="n"/>
      <c r="C59" s="20" t="n"/>
      <c r="D59" s="20" t="n"/>
      <c r="E59" s="20" t="n"/>
    </row>
    <row r="60">
      <c r="A60" s="32" t="n"/>
      <c r="B60" s="20" t="n"/>
      <c r="C60" s="20" t="n"/>
      <c r="D60" s="20" t="n"/>
      <c r="E60" s="20" t="n"/>
    </row>
    <row r="61">
      <c r="A61" s="32" t="n"/>
      <c r="B61" s="20" t="n"/>
      <c r="C61" s="20" t="n"/>
      <c r="D61" s="20" t="n"/>
      <c r="E61" s="20" t="n"/>
    </row>
    <row r="62">
      <c r="A62" s="32" t="n"/>
      <c r="B62" s="20" t="n"/>
      <c r="C62" s="20" t="n"/>
      <c r="D62" s="20" t="n"/>
      <c r="E62" s="20" t="n"/>
    </row>
    <row r="63">
      <c r="A63" s="32" t="n"/>
      <c r="B63" s="20" t="n"/>
      <c r="C63" s="20" t="n"/>
      <c r="D63" s="20" t="n"/>
      <c r="E63" s="20" t="n"/>
    </row>
    <row r="64">
      <c r="A64" s="32" t="n"/>
      <c r="B64" s="20" t="n"/>
      <c r="C64" s="20" t="n"/>
      <c r="D64" s="20" t="n"/>
      <c r="E64" s="20" t="n"/>
    </row>
    <row r="65">
      <c r="A65" s="32" t="n"/>
      <c r="B65" s="20" t="n"/>
      <c r="C65" s="20" t="n"/>
      <c r="D65" s="20" t="n"/>
      <c r="E65" s="20" t="n"/>
    </row>
    <row r="66">
      <c r="A66" s="32" t="n"/>
      <c r="B66" s="20" t="n"/>
      <c r="C66" s="20" t="n"/>
      <c r="D66" s="20" t="n"/>
      <c r="E66" s="20" t="n"/>
    </row>
    <row r="67">
      <c r="A67" s="32" t="n"/>
      <c r="B67" s="20" t="n"/>
      <c r="C67" s="20" t="n"/>
      <c r="D67" s="20" t="n"/>
      <c r="E67" s="20" t="n"/>
    </row>
    <row r="68">
      <c r="A68" s="32" t="n"/>
      <c r="B68" s="20" t="n"/>
      <c r="C68" s="20" t="n"/>
      <c r="D68" s="20" t="n"/>
      <c r="E68" s="20" t="n"/>
    </row>
    <row r="69">
      <c r="A69" s="32" t="n"/>
      <c r="B69" s="20" t="n"/>
      <c r="C69" s="20" t="n"/>
      <c r="D69" s="20" t="n"/>
      <c r="E69" s="20" t="n"/>
    </row>
    <row r="70">
      <c r="A70" s="32" t="n"/>
      <c r="B70" s="20" t="n"/>
      <c r="C70" s="20" t="n"/>
      <c r="D70" s="20" t="n"/>
      <c r="E70" s="20" t="n"/>
    </row>
    <row r="71">
      <c r="A71" s="32" t="n"/>
      <c r="B71" s="20" t="n"/>
      <c r="C71" s="20" t="n"/>
      <c r="D71" s="20" t="n"/>
      <c r="E71" s="20" t="n"/>
    </row>
    <row r="72">
      <c r="A72" s="32" t="n"/>
      <c r="B72" s="20" t="n"/>
      <c r="C72" s="20" t="n"/>
      <c r="D72" s="20" t="n"/>
      <c r="E72" s="20" t="n"/>
    </row>
    <row r="73">
      <c r="A73" s="32" t="n"/>
      <c r="B73" s="20" t="n"/>
      <c r="C73" s="20" t="n"/>
      <c r="D73" s="20" t="n"/>
      <c r="E73" s="20" t="n"/>
    </row>
    <row r="74">
      <c r="A74" s="32" t="n"/>
      <c r="B74" s="20" t="n"/>
      <c r="C74" s="20" t="n"/>
      <c r="D74" s="20" t="n"/>
      <c r="E74" s="20" t="n"/>
    </row>
    <row r="75">
      <c r="A75" s="32" t="n"/>
      <c r="B75" s="20" t="n"/>
      <c r="C75" s="20" t="n"/>
      <c r="D75" s="20" t="n"/>
      <c r="E75" s="20" t="n"/>
    </row>
    <row r="76">
      <c r="A76" s="32" t="n"/>
      <c r="B76" s="20" t="n"/>
      <c r="C76" s="20" t="n"/>
      <c r="D76" s="20" t="n"/>
      <c r="E76" s="20" t="n"/>
    </row>
    <row r="77">
      <c r="A77" s="32" t="n"/>
      <c r="B77" s="20" t="n"/>
      <c r="C77" s="20" t="n"/>
      <c r="D77" s="20" t="n"/>
      <c r="E77" s="20" t="n"/>
    </row>
    <row r="78">
      <c r="A78" s="32" t="n"/>
      <c r="B78" s="20" t="n"/>
      <c r="C78" s="20" t="n"/>
      <c r="D78" s="20" t="n"/>
      <c r="E78" s="20" t="n"/>
    </row>
    <row r="79">
      <c r="A79" s="32" t="n"/>
      <c r="B79" s="20" t="n"/>
      <c r="C79" s="20" t="n"/>
      <c r="D79" s="20" t="n"/>
      <c r="E79" s="20" t="n"/>
    </row>
    <row r="80">
      <c r="A80" s="32" t="n"/>
      <c r="B80" s="20" t="n"/>
      <c r="C80" s="20" t="n"/>
      <c r="D80" s="20" t="n"/>
      <c r="E80" s="20" t="n"/>
    </row>
    <row r="81">
      <c r="A81" s="32" t="n"/>
      <c r="B81" s="20" t="n"/>
      <c r="C81" s="20" t="n"/>
      <c r="D81" s="20" t="n"/>
      <c r="E81" s="20" t="n"/>
    </row>
    <row r="82">
      <c r="A82" s="32" t="n"/>
      <c r="B82" s="20" t="n"/>
      <c r="C82" s="20" t="n"/>
      <c r="D82" s="20" t="n"/>
      <c r="E82" s="20" t="n"/>
    </row>
    <row r="83">
      <c r="A83" s="32" t="n"/>
      <c r="B83" s="20" t="n"/>
      <c r="C83" s="20" t="n"/>
      <c r="D83" s="20" t="n"/>
      <c r="E83" s="20" t="n"/>
    </row>
    <row r="84">
      <c r="A84" s="32" t="n"/>
      <c r="B84" s="20" t="n"/>
      <c r="C84" s="20" t="n"/>
      <c r="D84" s="20" t="n"/>
      <c r="E84" s="20" t="n"/>
    </row>
    <row r="85">
      <c r="A85" s="32" t="n"/>
      <c r="B85" s="20" t="n"/>
      <c r="C85" s="20" t="n"/>
      <c r="D85" s="20" t="n"/>
      <c r="E85" s="20" t="n"/>
    </row>
    <row r="86">
      <c r="A86" s="32" t="n"/>
      <c r="B86" s="20" t="n"/>
      <c r="C86" s="20" t="n"/>
      <c r="D86" s="20" t="n"/>
      <c r="E86" s="20" t="n"/>
    </row>
    <row r="87">
      <c r="A87" s="32" t="n"/>
      <c r="B87" s="20" t="n"/>
      <c r="C87" s="20" t="n"/>
      <c r="D87" s="20" t="n"/>
      <c r="E87" s="20" t="n"/>
    </row>
    <row r="88">
      <c r="A88" s="32" t="n"/>
      <c r="B88" s="20" t="n"/>
      <c r="C88" s="20" t="n"/>
      <c r="D88" s="20" t="n"/>
      <c r="E88" s="20" t="n"/>
    </row>
    <row r="89">
      <c r="A89" s="32" t="n"/>
      <c r="B89" s="20" t="n"/>
      <c r="C89" s="20" t="n"/>
      <c r="D89" s="20" t="n"/>
      <c r="E89" s="20" t="n"/>
    </row>
    <row r="90">
      <c r="A90" s="32" t="n"/>
      <c r="B90" s="20" t="n"/>
      <c r="C90" s="20" t="n"/>
      <c r="D90" s="20" t="n"/>
      <c r="E90" s="20" t="n"/>
    </row>
    <row r="91">
      <c r="A91" s="32" t="n"/>
      <c r="B91" s="20" t="n"/>
      <c r="C91" s="20" t="n"/>
      <c r="D91" s="20" t="n"/>
      <c r="E91" s="20" t="n"/>
    </row>
    <row r="92">
      <c r="A92" s="32" t="n"/>
      <c r="B92" s="20" t="n"/>
      <c r="C92" s="20" t="n"/>
      <c r="D92" s="20" t="n"/>
      <c r="E92" s="20" t="n"/>
    </row>
    <row r="93">
      <c r="A93" s="32" t="n"/>
      <c r="B93" s="20" t="n"/>
      <c r="C93" s="20" t="n"/>
      <c r="D93" s="20" t="n"/>
      <c r="E93" s="20" t="n"/>
    </row>
    <row r="94">
      <c r="A94" s="32" t="n"/>
      <c r="B94" s="20" t="n"/>
      <c r="C94" s="20" t="n"/>
      <c r="D94" s="20" t="n"/>
      <c r="E94" s="20" t="n"/>
    </row>
    <row r="95">
      <c r="A95" s="32" t="n"/>
      <c r="B95" s="20" t="n"/>
      <c r="C95" s="20" t="n"/>
      <c r="D95" s="20" t="n"/>
      <c r="E95" s="20" t="n"/>
    </row>
    <row r="96">
      <c r="A96" s="32" t="n"/>
      <c r="B96" s="20" t="n"/>
      <c r="C96" s="20" t="n"/>
      <c r="D96" s="20" t="n"/>
      <c r="E96" s="20" t="n"/>
    </row>
    <row r="97">
      <c r="A97" s="32" t="n"/>
      <c r="B97" s="20" t="n"/>
      <c r="C97" s="20" t="n"/>
      <c r="D97" s="20" t="n"/>
      <c r="E97" s="20" t="n"/>
    </row>
    <row r="98">
      <c r="A98" s="32" t="n"/>
      <c r="B98" s="20" t="n"/>
      <c r="C98" s="20" t="n"/>
      <c r="D98" s="20" t="n"/>
      <c r="E98" s="20" t="n"/>
    </row>
    <row r="99">
      <c r="A99" s="32" t="n"/>
      <c r="B99" s="20" t="n"/>
      <c r="C99" s="20" t="n"/>
      <c r="D99" s="20" t="n"/>
      <c r="E99" s="20" t="n"/>
    </row>
    <row r="100">
      <c r="A100" s="32" t="n"/>
      <c r="B100" s="20" t="n"/>
      <c r="C100" s="20" t="n"/>
      <c r="D100" s="20" t="n"/>
      <c r="E100" s="20" t="n"/>
    </row>
    <row r="101">
      <c r="A101" s="32" t="n"/>
      <c r="B101" s="20" t="n"/>
      <c r="C101" s="20" t="n"/>
      <c r="D101" s="20" t="n"/>
      <c r="E101" s="20" t="n"/>
    </row>
    <row r="102">
      <c r="A102" s="32" t="n"/>
      <c r="B102" s="20" t="n"/>
      <c r="C102" s="20" t="n"/>
      <c r="D102" s="20" t="n"/>
      <c r="E102" s="20" t="n"/>
    </row>
    <row r="103">
      <c r="A103" s="32" t="n"/>
      <c r="B103" s="20" t="n"/>
      <c r="C103" s="20" t="n"/>
      <c r="D103" s="20" t="n"/>
      <c r="E103" s="20" t="n"/>
    </row>
    <row r="104">
      <c r="A104" s="32" t="n"/>
      <c r="B104" s="20" t="n"/>
      <c r="C104" s="20" t="n"/>
      <c r="D104" s="20" t="n"/>
      <c r="E104" s="20" t="n"/>
    </row>
    <row r="105">
      <c r="A105" s="32" t="n"/>
      <c r="B105" s="20" t="n"/>
      <c r="C105" s="20" t="n"/>
      <c r="D105" s="20" t="n"/>
      <c r="E105" s="20" t="n"/>
    </row>
    <row r="106">
      <c r="A106" s="32" t="n"/>
      <c r="B106" s="20" t="n"/>
      <c r="C106" s="20" t="n"/>
      <c r="D106" s="20" t="n"/>
      <c r="E106" s="20" t="n"/>
    </row>
    <row r="107">
      <c r="A107" s="32" t="n"/>
      <c r="B107" s="20" t="n"/>
      <c r="C107" s="20" t="n"/>
      <c r="D107" s="20" t="n"/>
      <c r="E107" s="20" t="n"/>
    </row>
    <row r="108">
      <c r="A108" s="32" t="n"/>
      <c r="B108" s="20" t="n"/>
      <c r="C108" s="20" t="n"/>
      <c r="D108" s="20" t="n"/>
      <c r="E108" s="20" t="n"/>
    </row>
    <row r="109">
      <c r="A109" s="32" t="n"/>
      <c r="B109" s="20" t="n"/>
      <c r="C109" s="20" t="n"/>
      <c r="D109" s="20" t="n"/>
      <c r="E109" s="20" t="n"/>
    </row>
    <row r="110">
      <c r="A110" s="32" t="n"/>
      <c r="B110" s="20" t="n"/>
      <c r="C110" s="20" t="n"/>
      <c r="D110" s="20" t="n"/>
      <c r="E110" s="20" t="n"/>
    </row>
    <row r="111">
      <c r="A111" s="32" t="n"/>
      <c r="B111" s="20" t="n"/>
      <c r="C111" s="20" t="n"/>
      <c r="D111" s="20" t="n"/>
      <c r="E111" s="20" t="n"/>
    </row>
    <row r="112">
      <c r="A112" s="32" t="n"/>
      <c r="B112" s="20" t="n"/>
      <c r="C112" s="20" t="n"/>
      <c r="D112" s="20" t="n"/>
      <c r="E112" s="20" t="n"/>
    </row>
    <row r="113">
      <c r="A113" s="32" t="n"/>
      <c r="B113" s="20" t="n"/>
      <c r="C113" s="20" t="n"/>
      <c r="D113" s="20" t="n"/>
      <c r="E113" s="20" t="n"/>
    </row>
    <row r="114">
      <c r="A114" s="32" t="n"/>
      <c r="B114" s="20" t="n"/>
      <c r="C114" s="20" t="n"/>
      <c r="D114" s="20" t="n"/>
      <c r="E114" s="20" t="n"/>
    </row>
    <row r="115">
      <c r="A115" s="32" t="n"/>
      <c r="B115" s="20" t="n"/>
      <c r="C115" s="20" t="n"/>
      <c r="D115" s="20" t="n"/>
      <c r="E115" s="20" t="n"/>
    </row>
    <row r="116">
      <c r="A116" s="32" t="n"/>
      <c r="B116" s="20" t="n"/>
      <c r="C116" s="20" t="n"/>
      <c r="D116" s="20" t="n"/>
      <c r="E116" s="20" t="n"/>
    </row>
    <row r="117">
      <c r="A117" s="32" t="n"/>
      <c r="B117" s="20" t="n"/>
      <c r="C117" s="20" t="n"/>
      <c r="D117" s="20" t="n"/>
      <c r="E117" s="20" t="n"/>
    </row>
    <row r="118">
      <c r="A118" s="32" t="n"/>
      <c r="B118" s="20" t="n"/>
      <c r="C118" s="20" t="n"/>
      <c r="D118" s="20" t="n"/>
      <c r="E118" s="20" t="n"/>
    </row>
    <row r="119">
      <c r="A119" s="32" t="n"/>
      <c r="B119" s="20" t="n"/>
      <c r="C119" s="20" t="n"/>
      <c r="D119" s="20" t="n"/>
      <c r="E119" s="20" t="n"/>
    </row>
    <row r="120">
      <c r="A120" s="32" t="n"/>
      <c r="B120" s="20" t="n"/>
      <c r="C120" s="20" t="n"/>
      <c r="D120" s="20" t="n"/>
      <c r="E120" s="20" t="n"/>
    </row>
    <row r="121">
      <c r="A121" s="32" t="n"/>
      <c r="B121" s="20" t="n"/>
      <c r="C121" s="20" t="n"/>
      <c r="D121" s="20" t="n"/>
      <c r="E121" s="20" t="n"/>
    </row>
    <row r="122">
      <c r="A122" s="32" t="n"/>
      <c r="B122" s="20" t="n"/>
      <c r="C122" s="20" t="n"/>
      <c r="D122" s="20" t="n"/>
      <c r="E122" s="20" t="n"/>
    </row>
    <row r="123">
      <c r="A123" s="32" t="n"/>
      <c r="B123" s="20" t="n"/>
      <c r="C123" s="20" t="n"/>
      <c r="D123" s="20" t="n"/>
      <c r="E123" s="20" t="n"/>
    </row>
    <row r="124">
      <c r="A124" s="32" t="n"/>
      <c r="B124" s="20" t="n"/>
      <c r="C124" s="20" t="n"/>
      <c r="D124" s="20" t="n"/>
      <c r="E124" s="20" t="n"/>
    </row>
    <row r="125">
      <c r="A125" s="32" t="n"/>
      <c r="B125" s="20" t="n"/>
      <c r="C125" s="20" t="n"/>
      <c r="D125" s="20" t="n"/>
      <c r="E125" s="20" t="n"/>
    </row>
    <row r="126">
      <c r="A126" s="32" t="n"/>
      <c r="B126" s="20" t="n"/>
      <c r="C126" s="20" t="n"/>
      <c r="D126" s="20" t="n"/>
      <c r="E126" s="20" t="n"/>
    </row>
    <row r="127">
      <c r="A127" s="32" t="n"/>
      <c r="B127" s="20" t="n"/>
      <c r="C127" s="20" t="n"/>
      <c r="D127" s="20" t="n"/>
      <c r="E127" s="20" t="n"/>
    </row>
    <row r="128">
      <c r="A128" s="32" t="n"/>
      <c r="B128" s="20" t="n"/>
      <c r="C128" s="20" t="n"/>
      <c r="D128" s="20" t="n"/>
      <c r="E128" s="20" t="n"/>
    </row>
    <row r="129">
      <c r="A129" s="32" t="n"/>
      <c r="B129" s="20" t="n"/>
      <c r="C129" s="20" t="n"/>
      <c r="D129" s="20" t="n"/>
      <c r="E129" s="20" t="n"/>
    </row>
    <row r="130">
      <c r="A130" s="32" t="n"/>
      <c r="B130" s="20" t="n"/>
      <c r="C130" s="20" t="n"/>
      <c r="D130" s="20" t="n"/>
      <c r="E130" s="20" t="n"/>
    </row>
    <row r="131">
      <c r="A131" s="32" t="n"/>
      <c r="B131" s="20" t="n"/>
      <c r="C131" s="20" t="n"/>
      <c r="D131" s="20" t="n"/>
      <c r="E131" s="20" t="n"/>
    </row>
    <row r="132">
      <c r="A132" s="32" t="n"/>
      <c r="B132" s="20" t="n"/>
      <c r="C132" s="20" t="n"/>
      <c r="D132" s="20" t="n"/>
      <c r="E132" s="20" t="n"/>
    </row>
    <row r="133">
      <c r="A133" s="32" t="n"/>
      <c r="B133" s="20" t="n"/>
      <c r="C133" s="20" t="n"/>
      <c r="D133" s="20" t="n"/>
      <c r="E133" s="20" t="n"/>
    </row>
    <row r="134">
      <c r="A134" s="32" t="n"/>
      <c r="B134" s="20" t="n"/>
      <c r="C134" s="20" t="n"/>
      <c r="D134" s="20" t="n"/>
      <c r="E134" s="20" t="n"/>
    </row>
    <row r="135">
      <c r="A135" s="32" t="n"/>
      <c r="B135" s="20" t="n"/>
      <c r="C135" s="20" t="n"/>
      <c r="D135" s="20" t="n"/>
      <c r="E135" s="20" t="n"/>
    </row>
    <row r="136">
      <c r="A136" s="32" t="n"/>
      <c r="B136" s="20" t="n"/>
      <c r="C136" s="20" t="n"/>
      <c r="D136" s="20" t="n"/>
      <c r="E136" s="20" t="n"/>
    </row>
    <row r="137">
      <c r="A137" s="32" t="n"/>
      <c r="B137" s="20" t="n"/>
      <c r="C137" s="20" t="n"/>
      <c r="D137" s="20" t="n"/>
      <c r="E137" s="20" t="n"/>
    </row>
    <row r="138">
      <c r="A138" s="32" t="n"/>
      <c r="B138" s="20" t="n"/>
      <c r="C138" s="20" t="n"/>
      <c r="D138" s="20" t="n"/>
      <c r="E138" s="20" t="n"/>
    </row>
    <row r="139">
      <c r="A139" s="32" t="n"/>
      <c r="B139" s="20" t="n"/>
      <c r="C139" s="20" t="n"/>
      <c r="D139" s="20" t="n"/>
      <c r="E139" s="20" t="n"/>
    </row>
    <row r="140">
      <c r="A140" s="32" t="n"/>
      <c r="B140" s="20" t="n"/>
      <c r="C140" s="20" t="n"/>
      <c r="D140" s="20" t="n"/>
      <c r="E140" s="20" t="n"/>
    </row>
    <row r="141">
      <c r="A141" s="32" t="n"/>
      <c r="B141" s="20" t="n"/>
      <c r="C141" s="20" t="n"/>
      <c r="D141" s="20" t="n"/>
      <c r="E141" s="20" t="n"/>
    </row>
    <row r="142">
      <c r="A142" s="32" t="n"/>
      <c r="B142" s="20" t="n"/>
      <c r="C142" s="20" t="n"/>
      <c r="D142" s="20" t="n"/>
      <c r="E142" s="20" t="n"/>
    </row>
    <row r="143">
      <c r="A143" s="32" t="n"/>
      <c r="B143" s="20" t="n"/>
      <c r="C143" s="20" t="n"/>
      <c r="D143" s="20" t="n"/>
      <c r="E143" s="20" t="n"/>
    </row>
    <row r="144">
      <c r="A144" s="32" t="n"/>
      <c r="B144" s="20" t="n"/>
      <c r="C144" s="20" t="n"/>
      <c r="D144" s="20" t="n"/>
      <c r="E144" s="20" t="n"/>
    </row>
    <row r="145">
      <c r="A145" s="32" t="n"/>
      <c r="B145" s="20" t="n"/>
      <c r="C145" s="20" t="n"/>
      <c r="D145" s="20" t="n"/>
      <c r="E145" s="20" t="n"/>
    </row>
    <row r="146">
      <c r="A146" s="32" t="n"/>
      <c r="B146" s="20" t="n"/>
      <c r="C146" s="20" t="n"/>
      <c r="D146" s="20" t="n"/>
      <c r="E146" s="20" t="n"/>
    </row>
    <row r="147">
      <c r="A147" s="32" t="n"/>
      <c r="B147" s="20" t="n"/>
      <c r="C147" s="20" t="n"/>
      <c r="D147" s="20" t="n"/>
      <c r="E147" s="20" t="n"/>
    </row>
    <row r="148">
      <c r="A148" s="32" t="n"/>
      <c r="B148" s="20" t="n"/>
      <c r="C148" s="20" t="n"/>
      <c r="D148" s="20" t="n"/>
      <c r="E148" s="20" t="n"/>
    </row>
    <row r="149">
      <c r="A149" s="32" t="n"/>
      <c r="B149" s="20" t="n"/>
      <c r="C149" s="20" t="n"/>
      <c r="D149" s="20" t="n"/>
      <c r="E149" s="20" t="n"/>
    </row>
    <row r="150">
      <c r="A150" s="32" t="n"/>
      <c r="B150" s="20" t="n"/>
      <c r="C150" s="20" t="n"/>
      <c r="D150" s="20" t="n"/>
      <c r="E150" s="20" t="n"/>
    </row>
    <row r="151">
      <c r="A151" s="32" t="n"/>
      <c r="B151" s="20" t="n"/>
      <c r="C151" s="20" t="n"/>
      <c r="D151" s="20" t="n"/>
      <c r="E151" s="20" t="n"/>
    </row>
    <row r="152">
      <c r="A152" s="32" t="n"/>
      <c r="B152" s="20" t="n"/>
      <c r="C152" s="20" t="n"/>
      <c r="D152" s="20" t="n"/>
      <c r="E152" s="20" t="n"/>
    </row>
    <row r="153">
      <c r="A153" s="32" t="n"/>
      <c r="B153" s="20" t="n"/>
      <c r="C153" s="20" t="n"/>
      <c r="D153" s="20" t="n"/>
      <c r="E153" s="20" t="n"/>
    </row>
    <row r="154">
      <c r="A154" s="32" t="n"/>
      <c r="B154" s="20" t="n"/>
      <c r="C154" s="20" t="n"/>
      <c r="D154" s="20" t="n"/>
      <c r="E154" s="20" t="n"/>
    </row>
    <row r="155">
      <c r="A155" s="32" t="n"/>
      <c r="B155" s="20" t="n"/>
      <c r="C155" s="20" t="n"/>
      <c r="D155" s="20" t="n"/>
      <c r="E155" s="20" t="n"/>
    </row>
    <row r="156">
      <c r="A156" s="32" t="n"/>
      <c r="B156" s="20" t="n"/>
      <c r="C156" s="20" t="n"/>
      <c r="D156" s="20" t="n"/>
      <c r="E156" s="20" t="n"/>
    </row>
    <row r="157">
      <c r="A157" s="32" t="n"/>
      <c r="B157" s="20" t="n"/>
      <c r="C157" s="20" t="n"/>
      <c r="D157" s="20" t="n"/>
      <c r="E157" s="20" t="n"/>
    </row>
    <row r="158">
      <c r="A158" s="32" t="n"/>
      <c r="B158" s="20" t="n"/>
      <c r="C158" s="20" t="n"/>
      <c r="D158" s="20" t="n"/>
      <c r="E158" s="20" t="n"/>
    </row>
    <row r="159">
      <c r="A159" s="32" t="n"/>
      <c r="B159" s="20" t="n"/>
      <c r="C159" s="20" t="n"/>
      <c r="D159" s="20" t="n"/>
      <c r="E159" s="20" t="n"/>
    </row>
    <row r="160">
      <c r="A160" s="32" t="n"/>
      <c r="B160" s="20" t="n"/>
      <c r="C160" s="20" t="n"/>
      <c r="D160" s="20" t="n"/>
      <c r="E160" s="20" t="n"/>
    </row>
    <row r="161">
      <c r="A161" s="32" t="n"/>
      <c r="B161" s="20" t="n"/>
      <c r="C161" s="20" t="n"/>
      <c r="D161" s="20" t="n"/>
      <c r="E161" s="20" t="n"/>
    </row>
    <row r="162">
      <c r="A162" s="32" t="n"/>
      <c r="B162" s="20" t="n"/>
      <c r="C162" s="20" t="n"/>
      <c r="D162" s="20" t="n"/>
      <c r="E162" s="20" t="n"/>
    </row>
    <row r="163">
      <c r="A163" s="32" t="n"/>
      <c r="B163" s="20" t="n"/>
      <c r="C163" s="20" t="n"/>
      <c r="D163" s="20" t="n"/>
      <c r="E163" s="20" t="n"/>
    </row>
    <row r="164">
      <c r="A164" s="32" t="n"/>
      <c r="B164" s="20" t="n"/>
      <c r="C164" s="20" t="n"/>
      <c r="D164" s="20" t="n"/>
      <c r="E164" s="20" t="n"/>
    </row>
    <row r="165">
      <c r="A165" s="32" t="n"/>
      <c r="B165" s="20" t="n"/>
      <c r="C165" s="20" t="n"/>
      <c r="D165" s="20" t="n"/>
      <c r="E165" s="20" t="n"/>
    </row>
    <row r="166">
      <c r="A166" s="32" t="n"/>
      <c r="B166" s="20" t="n"/>
      <c r="C166" s="20" t="n"/>
      <c r="D166" s="20" t="n"/>
      <c r="E166" s="20" t="n"/>
    </row>
    <row r="167">
      <c r="A167" s="32" t="n"/>
      <c r="B167" s="20" t="n"/>
      <c r="C167" s="20" t="n"/>
      <c r="D167" s="20" t="n"/>
      <c r="E167" s="20" t="n"/>
    </row>
    <row r="168">
      <c r="A168" s="32" t="n"/>
      <c r="B168" s="20" t="n"/>
      <c r="C168" s="20" t="n"/>
      <c r="D168" s="20" t="n"/>
      <c r="E168" s="20" t="n"/>
    </row>
    <row r="169">
      <c r="A169" s="32" t="n"/>
      <c r="B169" s="20" t="n"/>
      <c r="C169" s="20" t="n"/>
      <c r="D169" s="20" t="n"/>
      <c r="E169" s="20" t="n"/>
    </row>
    <row r="170">
      <c r="A170" s="32" t="n"/>
      <c r="B170" s="20" t="n"/>
      <c r="C170" s="20" t="n"/>
      <c r="D170" s="20" t="n"/>
      <c r="E170" s="20" t="n"/>
    </row>
    <row r="171">
      <c r="A171" s="32" t="n"/>
      <c r="B171" s="20" t="n"/>
      <c r="C171" s="20" t="n"/>
      <c r="D171" s="20" t="n"/>
      <c r="E171" s="20" t="n"/>
    </row>
    <row r="172">
      <c r="A172" s="32" t="n"/>
      <c r="B172" s="20" t="n"/>
      <c r="C172" s="20" t="n"/>
      <c r="D172" s="20" t="n"/>
      <c r="E172" s="20" t="n"/>
    </row>
    <row r="173">
      <c r="A173" s="32" t="n"/>
      <c r="B173" s="20" t="n"/>
      <c r="C173" s="20" t="n"/>
      <c r="D173" s="20" t="n"/>
      <c r="E173" s="20" t="n"/>
    </row>
    <row r="174">
      <c r="A174" s="32" t="n"/>
      <c r="B174" s="20" t="n"/>
      <c r="C174" s="20" t="n"/>
      <c r="D174" s="20" t="n"/>
      <c r="E174" s="20" t="n"/>
    </row>
    <row r="175">
      <c r="A175" s="32" t="n"/>
      <c r="B175" s="20" t="n"/>
      <c r="C175" s="20" t="n"/>
      <c r="D175" s="20" t="n"/>
      <c r="E175" s="20" t="n"/>
    </row>
    <row r="176">
      <c r="A176" s="32" t="n"/>
      <c r="B176" s="20" t="n"/>
      <c r="C176" s="20" t="n"/>
      <c r="D176" s="20" t="n"/>
      <c r="E176" s="20" t="n"/>
    </row>
    <row r="177">
      <c r="A177" s="32" t="n"/>
      <c r="B177" s="20" t="n"/>
      <c r="C177" s="20" t="n"/>
      <c r="D177" s="20" t="n"/>
      <c r="E177" s="20" t="n"/>
    </row>
    <row r="178">
      <c r="A178" s="32" t="n"/>
      <c r="B178" s="20" t="n"/>
      <c r="C178" s="20" t="n"/>
      <c r="D178" s="20" t="n"/>
      <c r="E178" s="20" t="n"/>
    </row>
    <row r="179">
      <c r="A179" s="32" t="n"/>
      <c r="B179" s="20" t="n"/>
      <c r="C179" s="20" t="n"/>
      <c r="D179" s="20" t="n"/>
      <c r="E179" s="20" t="n"/>
    </row>
    <row r="180">
      <c r="A180" s="32" t="n"/>
      <c r="B180" s="20" t="n"/>
      <c r="C180" s="20" t="n"/>
      <c r="D180" s="20" t="n"/>
      <c r="E180" s="20" t="n"/>
    </row>
    <row r="181">
      <c r="A181" s="32" t="n"/>
      <c r="B181" s="20" t="n"/>
      <c r="C181" s="20" t="n"/>
      <c r="D181" s="20" t="n"/>
      <c r="E181" s="20" t="n"/>
    </row>
    <row r="182">
      <c r="A182" s="32" t="n"/>
      <c r="B182" s="20" t="n"/>
      <c r="C182" s="20" t="n"/>
      <c r="D182" s="20" t="n"/>
      <c r="E182" s="20" t="n"/>
    </row>
    <row r="183">
      <c r="A183" s="32" t="n"/>
      <c r="B183" s="20" t="n"/>
      <c r="C183" s="20" t="n"/>
      <c r="D183" s="20" t="n"/>
      <c r="E183" s="20" t="n"/>
    </row>
    <row r="184">
      <c r="A184" s="32" t="n"/>
      <c r="B184" s="20" t="n"/>
      <c r="C184" s="20" t="n"/>
      <c r="D184" s="20" t="n"/>
      <c r="E184" s="20" t="n"/>
    </row>
    <row r="185">
      <c r="A185" s="32" t="n"/>
      <c r="B185" s="20" t="n"/>
      <c r="C185" s="20" t="n"/>
      <c r="D185" s="20" t="n"/>
      <c r="E185" s="20" t="n"/>
    </row>
    <row r="186">
      <c r="A186" s="32" t="n"/>
      <c r="B186" s="20" t="n"/>
      <c r="C186" s="20" t="n"/>
      <c r="D186" s="20" t="n"/>
      <c r="E186" s="20" t="n"/>
    </row>
    <row r="187">
      <c r="A187" s="32" t="n"/>
      <c r="B187" s="20" t="n"/>
      <c r="C187" s="20" t="n"/>
      <c r="D187" s="20" t="n"/>
      <c r="E187" s="20" t="n"/>
    </row>
    <row r="188">
      <c r="A188" s="32" t="n"/>
      <c r="B188" s="20" t="n"/>
      <c r="C188" s="20" t="n"/>
      <c r="D188" s="20" t="n"/>
      <c r="E188" s="20" t="n"/>
    </row>
    <row r="189">
      <c r="A189" s="32" t="n"/>
      <c r="B189" s="20" t="n"/>
      <c r="C189" s="20" t="n"/>
      <c r="D189" s="20" t="n"/>
      <c r="E189" s="20" t="n"/>
    </row>
    <row r="190">
      <c r="A190" s="32" t="n"/>
      <c r="B190" s="20" t="n"/>
      <c r="C190" s="20" t="n"/>
      <c r="D190" s="20" t="n"/>
      <c r="E190" s="20" t="n"/>
    </row>
    <row r="191">
      <c r="A191" s="32" t="n"/>
      <c r="B191" s="20" t="n"/>
      <c r="C191" s="20" t="n"/>
      <c r="D191" s="20" t="n"/>
      <c r="E191" s="20" t="n"/>
    </row>
    <row r="192">
      <c r="A192" s="32" t="n"/>
      <c r="B192" s="20" t="n"/>
      <c r="C192" s="20" t="n"/>
      <c r="D192" s="20" t="n"/>
      <c r="E192" s="20" t="n"/>
    </row>
    <row r="193">
      <c r="A193" s="32" t="n"/>
      <c r="B193" s="20" t="n"/>
      <c r="C193" s="20" t="n"/>
      <c r="D193" s="20" t="n"/>
      <c r="E193" s="20" t="n"/>
    </row>
    <row r="194">
      <c r="A194" s="32" t="n"/>
      <c r="B194" s="20" t="n"/>
      <c r="C194" s="20" t="n"/>
      <c r="D194" s="20" t="n"/>
      <c r="E194" s="20" t="n"/>
    </row>
    <row r="195">
      <c r="A195" s="32" t="n"/>
      <c r="B195" s="20" t="n"/>
      <c r="C195" s="20" t="n"/>
      <c r="D195" s="20" t="n"/>
      <c r="E195" s="20" t="n"/>
    </row>
    <row r="196">
      <c r="A196" s="32" t="n"/>
      <c r="B196" s="20" t="n"/>
      <c r="C196" s="20" t="n"/>
      <c r="D196" s="20" t="n"/>
      <c r="E196" s="20" t="n"/>
    </row>
    <row r="197">
      <c r="A197" s="32" t="n"/>
      <c r="B197" s="20" t="n"/>
      <c r="C197" s="20" t="n"/>
      <c r="D197" s="20" t="n"/>
      <c r="E197" s="20" t="n"/>
    </row>
    <row r="198">
      <c r="A198" s="32" t="n"/>
      <c r="B198" s="20" t="n"/>
      <c r="C198" s="20" t="n"/>
      <c r="D198" s="20" t="n"/>
      <c r="E198" s="20" t="n"/>
    </row>
    <row r="199">
      <c r="A199" s="32" t="n"/>
      <c r="B199" s="20" t="n"/>
      <c r="C199" s="20" t="n"/>
      <c r="D199" s="20" t="n"/>
      <c r="E199" s="20" t="n"/>
    </row>
    <row r="200">
      <c r="A200" s="32" t="n"/>
      <c r="B200" s="20" t="n"/>
      <c r="C200" s="20" t="n"/>
      <c r="D200" s="20" t="n"/>
      <c r="E200" s="20" t="n"/>
    </row>
    <row r="201">
      <c r="A201" s="32" t="n"/>
      <c r="B201" s="20" t="n"/>
      <c r="C201" s="20" t="n"/>
      <c r="D201" s="20" t="n"/>
      <c r="E201" s="20" t="n"/>
    </row>
    <row r="202">
      <c r="A202" s="32" t="n"/>
      <c r="B202" s="20" t="n"/>
      <c r="C202" s="20" t="n"/>
      <c r="D202" s="20" t="n"/>
      <c r="E202" s="20" t="n"/>
    </row>
  </sheetData>
  <dataValidations count="2">
    <dataValidation sqref="B3:B202" showDropDown="0" showInputMessage="0" showErrorMessage="0" allowBlank="1" type="list">
      <formula1>=Setup!$B$13:$B$20</formula1>
    </dataValidation>
    <dataValidation sqref="D3:D202" showDropDown="0" showInputMessage="0" showErrorMessage="0" allowBlank="1" type="list">
      <formula1>"GT,QL,PI,PQ,OH,NC,SR,NF,GC,PB,OT"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8" customWidth="1" min="4" max="4"/>
  </cols>
  <sheetData>
    <row r="1">
      <c r="A1" s="15" t="inlineStr">
        <is>
          <t>Date</t>
        </is>
      </c>
      <c r="B1" s="15" t="inlineStr">
        <is>
          <t>Day</t>
        </is>
      </c>
      <c r="C1" s="15" t="inlineStr">
        <is>
          <t>Week #</t>
        </is>
      </c>
      <c r="D1" s="15" t="inlineStr">
        <is>
          <t>Working day (1/0)</t>
        </is>
      </c>
      <c r="F1" s="2" t="inlineStr">
        <is>
          <t>Calendar (automatic). Week = Monday to Saturday blocks numbered from the month start. Working day = not Sunday and not in the Setup holiday list.</t>
        </is>
      </c>
    </row>
    <row r="2">
      <c r="A2" s="18">
        <f>IF(Setup!$B$5+ROW()-2&gt;EOMONTH(Setup!$B$5,0),"",Setup!$B$5+ROW()-2)</f>
        <v/>
      </c>
      <c r="B2" s="12">
        <f>IF(A2="","",TEXT(A2,"ddd"))</f>
        <v/>
      </c>
      <c r="C2" s="12">
        <f>IF(A2="","",INT((A2-WEEKDAY(A2,3)-(Setup!$B$5-WEEKDAY(Setup!$B$5,3)))/7)+1)</f>
        <v/>
      </c>
      <c r="D2" s="12">
        <f>IF(A2="","",IF(OR(WEEKDAY(A2,2)=7,COUNTIF(Setup!$F$13:$F$22,A2)&gt;0),0,1))</f>
        <v/>
      </c>
    </row>
    <row r="3">
      <c r="A3" s="35">
        <f>IF(Setup!$B$5+ROW()-2&gt;EOMONTH(Setup!$B$5,0),"",Setup!$B$5+ROW()-2)</f>
        <v/>
      </c>
      <c r="B3" s="36">
        <f>IF(A3="","",TEXT(A3,"ddd"))</f>
        <v/>
      </c>
      <c r="C3" s="36">
        <f>IF(A3="","",INT((A3-WEEKDAY(A3,3)-(Setup!$B$5-WEEKDAY(Setup!$B$5,3)))/7)+1)</f>
        <v/>
      </c>
      <c r="D3" s="36">
        <f>IF(A3="","",IF(OR(WEEKDAY(A3,2)=7,COUNTIF(Setup!$F$13:$F$22,A3)&gt;0),0,1))</f>
        <v/>
      </c>
    </row>
    <row r="4">
      <c r="A4" s="18">
        <f>IF(Setup!$B$5+ROW()-2&gt;EOMONTH(Setup!$B$5,0),"",Setup!$B$5+ROW()-2)</f>
        <v/>
      </c>
      <c r="B4" s="12">
        <f>IF(A4="","",TEXT(A4,"ddd"))</f>
        <v/>
      </c>
      <c r="C4" s="12">
        <f>IF(A4="","",INT((A4-WEEKDAY(A4,3)-(Setup!$B$5-WEEKDAY(Setup!$B$5,3)))/7)+1)</f>
        <v/>
      </c>
      <c r="D4" s="12">
        <f>IF(A4="","",IF(OR(WEEKDAY(A4,2)=7,COUNTIF(Setup!$F$13:$F$22,A4)&gt;0),0,1))</f>
        <v/>
      </c>
    </row>
    <row r="5">
      <c r="A5" s="18">
        <f>IF(Setup!$B$5+ROW()-2&gt;EOMONTH(Setup!$B$5,0),"",Setup!$B$5+ROW()-2)</f>
        <v/>
      </c>
      <c r="B5" s="12">
        <f>IF(A5="","",TEXT(A5,"ddd"))</f>
        <v/>
      </c>
      <c r="C5" s="12">
        <f>IF(A5="","",INT((A5-WEEKDAY(A5,3)-(Setup!$B$5-WEEKDAY(Setup!$B$5,3)))/7)+1)</f>
        <v/>
      </c>
      <c r="D5" s="12">
        <f>IF(A5="","",IF(OR(WEEKDAY(A5,2)=7,COUNTIF(Setup!$F$13:$F$22,A5)&gt;0),0,1))</f>
        <v/>
      </c>
    </row>
    <row r="6">
      <c r="A6" s="18">
        <f>IF(Setup!$B$5+ROW()-2&gt;EOMONTH(Setup!$B$5,0),"",Setup!$B$5+ROW()-2)</f>
        <v/>
      </c>
      <c r="B6" s="12">
        <f>IF(A6="","",TEXT(A6,"ddd"))</f>
        <v/>
      </c>
      <c r="C6" s="12">
        <f>IF(A6="","",INT((A6-WEEKDAY(A6,3)-(Setup!$B$5-WEEKDAY(Setup!$B$5,3)))/7)+1)</f>
        <v/>
      </c>
      <c r="D6" s="12">
        <f>IF(A6="","",IF(OR(WEEKDAY(A6,2)=7,COUNTIF(Setup!$F$13:$F$22,A6)&gt;0),0,1))</f>
        <v/>
      </c>
    </row>
    <row r="7">
      <c r="A7" s="18">
        <f>IF(Setup!$B$5+ROW()-2&gt;EOMONTH(Setup!$B$5,0),"",Setup!$B$5+ROW()-2)</f>
        <v/>
      </c>
      <c r="B7" s="12">
        <f>IF(A7="","",TEXT(A7,"ddd"))</f>
        <v/>
      </c>
      <c r="C7" s="12">
        <f>IF(A7="","",INT((A7-WEEKDAY(A7,3)-(Setup!$B$5-WEEKDAY(Setup!$B$5,3)))/7)+1)</f>
        <v/>
      </c>
      <c r="D7" s="12">
        <f>IF(A7="","",IF(OR(WEEKDAY(A7,2)=7,COUNTIF(Setup!$F$13:$F$22,A7)&gt;0),0,1))</f>
        <v/>
      </c>
    </row>
    <row r="8">
      <c r="A8" s="18">
        <f>IF(Setup!$B$5+ROW()-2&gt;EOMONTH(Setup!$B$5,0),"",Setup!$B$5+ROW()-2)</f>
        <v/>
      </c>
      <c r="B8" s="12">
        <f>IF(A8="","",TEXT(A8,"ddd"))</f>
        <v/>
      </c>
      <c r="C8" s="12">
        <f>IF(A8="","",INT((A8-WEEKDAY(A8,3)-(Setup!$B$5-WEEKDAY(Setup!$B$5,3)))/7)+1)</f>
        <v/>
      </c>
      <c r="D8" s="12">
        <f>IF(A8="","",IF(OR(WEEKDAY(A8,2)=7,COUNTIF(Setup!$F$13:$F$22,A8)&gt;0),0,1))</f>
        <v/>
      </c>
    </row>
    <row r="9">
      <c r="A9" s="18">
        <f>IF(Setup!$B$5+ROW()-2&gt;EOMONTH(Setup!$B$5,0),"",Setup!$B$5+ROW()-2)</f>
        <v/>
      </c>
      <c r="B9" s="12">
        <f>IF(A9="","",TEXT(A9,"ddd"))</f>
        <v/>
      </c>
      <c r="C9" s="12">
        <f>IF(A9="","",INT((A9-WEEKDAY(A9,3)-(Setup!$B$5-WEEKDAY(Setup!$B$5,3)))/7)+1)</f>
        <v/>
      </c>
      <c r="D9" s="12">
        <f>IF(A9="","",IF(OR(WEEKDAY(A9,2)=7,COUNTIF(Setup!$F$13:$F$22,A9)&gt;0),0,1))</f>
        <v/>
      </c>
    </row>
    <row r="10">
      <c r="A10" s="18">
        <f>IF(Setup!$B$5+ROW()-2&gt;EOMONTH(Setup!$B$5,0),"",Setup!$B$5+ROW()-2)</f>
        <v/>
      </c>
      <c r="B10" s="12">
        <f>IF(A10="","",TEXT(A10,"ddd"))</f>
        <v/>
      </c>
      <c r="C10" s="12">
        <f>IF(A10="","",INT((A10-WEEKDAY(A10,3)-(Setup!$B$5-WEEKDAY(Setup!$B$5,3)))/7)+1)</f>
        <v/>
      </c>
      <c r="D10" s="12">
        <f>IF(A10="","",IF(OR(WEEKDAY(A10,2)=7,COUNTIF(Setup!$F$13:$F$22,A10)&gt;0),0,1))</f>
        <v/>
      </c>
    </row>
    <row r="11">
      <c r="A11" s="18">
        <f>IF(Setup!$B$5+ROW()-2&gt;EOMONTH(Setup!$B$5,0),"",Setup!$B$5+ROW()-2)</f>
        <v/>
      </c>
      <c r="B11" s="12">
        <f>IF(A11="","",TEXT(A11,"ddd"))</f>
        <v/>
      </c>
      <c r="C11" s="12">
        <f>IF(A11="","",INT((A11-WEEKDAY(A11,3)-(Setup!$B$5-WEEKDAY(Setup!$B$5,3)))/7)+1)</f>
        <v/>
      </c>
      <c r="D11" s="12">
        <f>IF(A11="","",IF(OR(WEEKDAY(A11,2)=7,COUNTIF(Setup!$F$13:$F$22,A11)&gt;0),0,1))</f>
        <v/>
      </c>
    </row>
    <row r="12">
      <c r="A12" s="18">
        <f>IF(Setup!$B$5+ROW()-2&gt;EOMONTH(Setup!$B$5,0),"",Setup!$B$5+ROW()-2)</f>
        <v/>
      </c>
      <c r="B12" s="12">
        <f>IF(A12="","",TEXT(A12,"ddd"))</f>
        <v/>
      </c>
      <c r="C12" s="12">
        <f>IF(A12="","",INT((A12-WEEKDAY(A12,3)-(Setup!$B$5-WEEKDAY(Setup!$B$5,3)))/7)+1)</f>
        <v/>
      </c>
      <c r="D12" s="12">
        <f>IF(A12="","",IF(OR(WEEKDAY(A12,2)=7,COUNTIF(Setup!$F$13:$F$22,A12)&gt;0),0,1))</f>
        <v/>
      </c>
    </row>
    <row r="13">
      <c r="A13" s="18">
        <f>IF(Setup!$B$5+ROW()-2&gt;EOMONTH(Setup!$B$5,0),"",Setup!$B$5+ROW()-2)</f>
        <v/>
      </c>
      <c r="B13" s="12">
        <f>IF(A13="","",TEXT(A13,"ddd"))</f>
        <v/>
      </c>
      <c r="C13" s="12">
        <f>IF(A13="","",INT((A13-WEEKDAY(A13,3)-(Setup!$B$5-WEEKDAY(Setup!$B$5,3)))/7)+1)</f>
        <v/>
      </c>
      <c r="D13" s="12">
        <f>IF(A13="","",IF(OR(WEEKDAY(A13,2)=7,COUNTIF(Setup!$F$13:$F$22,A13)&gt;0),0,1))</f>
        <v/>
      </c>
    </row>
    <row r="14">
      <c r="A14" s="18">
        <f>IF(Setup!$B$5+ROW()-2&gt;EOMONTH(Setup!$B$5,0),"",Setup!$B$5+ROW()-2)</f>
        <v/>
      </c>
      <c r="B14" s="12">
        <f>IF(A14="","",TEXT(A14,"ddd"))</f>
        <v/>
      </c>
      <c r="C14" s="12">
        <f>IF(A14="","",INT((A14-WEEKDAY(A14,3)-(Setup!$B$5-WEEKDAY(Setup!$B$5,3)))/7)+1)</f>
        <v/>
      </c>
      <c r="D14" s="12">
        <f>IF(A14="","",IF(OR(WEEKDAY(A14,2)=7,COUNTIF(Setup!$F$13:$F$22,A14)&gt;0),0,1))</f>
        <v/>
      </c>
    </row>
    <row r="15">
      <c r="A15" s="18">
        <f>IF(Setup!$B$5+ROW()-2&gt;EOMONTH(Setup!$B$5,0),"",Setup!$B$5+ROW()-2)</f>
        <v/>
      </c>
      <c r="B15" s="12">
        <f>IF(A15="","",TEXT(A15,"ddd"))</f>
        <v/>
      </c>
      <c r="C15" s="12">
        <f>IF(A15="","",INT((A15-WEEKDAY(A15,3)-(Setup!$B$5-WEEKDAY(Setup!$B$5,3)))/7)+1)</f>
        <v/>
      </c>
      <c r="D15" s="12">
        <f>IF(A15="","",IF(OR(WEEKDAY(A15,2)=7,COUNTIF(Setup!$F$13:$F$22,A15)&gt;0),0,1))</f>
        <v/>
      </c>
    </row>
    <row r="16">
      <c r="A16" s="18">
        <f>IF(Setup!$B$5+ROW()-2&gt;EOMONTH(Setup!$B$5,0),"",Setup!$B$5+ROW()-2)</f>
        <v/>
      </c>
      <c r="B16" s="12">
        <f>IF(A16="","",TEXT(A16,"ddd"))</f>
        <v/>
      </c>
      <c r="C16" s="12">
        <f>IF(A16="","",INT((A16-WEEKDAY(A16,3)-(Setup!$B$5-WEEKDAY(Setup!$B$5,3)))/7)+1)</f>
        <v/>
      </c>
      <c r="D16" s="12">
        <f>IF(A16="","",IF(OR(WEEKDAY(A16,2)=7,COUNTIF(Setup!$F$13:$F$22,A16)&gt;0),0,1))</f>
        <v/>
      </c>
    </row>
    <row r="17">
      <c r="A17" s="18">
        <f>IF(Setup!$B$5+ROW()-2&gt;EOMONTH(Setup!$B$5,0),"",Setup!$B$5+ROW()-2)</f>
        <v/>
      </c>
      <c r="B17" s="12">
        <f>IF(A17="","",TEXT(A17,"ddd"))</f>
        <v/>
      </c>
      <c r="C17" s="12">
        <f>IF(A17="","",INT((A17-WEEKDAY(A17,3)-(Setup!$B$5-WEEKDAY(Setup!$B$5,3)))/7)+1)</f>
        <v/>
      </c>
      <c r="D17" s="12">
        <f>IF(A17="","",IF(OR(WEEKDAY(A17,2)=7,COUNTIF(Setup!$F$13:$F$22,A17)&gt;0),0,1))</f>
        <v/>
      </c>
    </row>
    <row r="18">
      <c r="A18" s="18">
        <f>IF(Setup!$B$5+ROW()-2&gt;EOMONTH(Setup!$B$5,0),"",Setup!$B$5+ROW()-2)</f>
        <v/>
      </c>
      <c r="B18" s="12">
        <f>IF(A18="","",TEXT(A18,"ddd"))</f>
        <v/>
      </c>
      <c r="C18" s="12">
        <f>IF(A18="","",INT((A18-WEEKDAY(A18,3)-(Setup!$B$5-WEEKDAY(Setup!$B$5,3)))/7)+1)</f>
        <v/>
      </c>
      <c r="D18" s="12">
        <f>IF(A18="","",IF(OR(WEEKDAY(A18,2)=7,COUNTIF(Setup!$F$13:$F$22,A18)&gt;0),0,1))</f>
        <v/>
      </c>
    </row>
    <row r="19">
      <c r="A19" s="18">
        <f>IF(Setup!$B$5+ROW()-2&gt;EOMONTH(Setup!$B$5,0),"",Setup!$B$5+ROW()-2)</f>
        <v/>
      </c>
      <c r="B19" s="12">
        <f>IF(A19="","",TEXT(A19,"ddd"))</f>
        <v/>
      </c>
      <c r="C19" s="12">
        <f>IF(A19="","",INT((A19-WEEKDAY(A19,3)-(Setup!$B$5-WEEKDAY(Setup!$B$5,3)))/7)+1)</f>
        <v/>
      </c>
      <c r="D19" s="12">
        <f>IF(A19="","",IF(OR(WEEKDAY(A19,2)=7,COUNTIF(Setup!$F$13:$F$22,A19)&gt;0),0,1))</f>
        <v/>
      </c>
    </row>
    <row r="20">
      <c r="A20" s="18">
        <f>IF(Setup!$B$5+ROW()-2&gt;EOMONTH(Setup!$B$5,0),"",Setup!$B$5+ROW()-2)</f>
        <v/>
      </c>
      <c r="B20" s="12">
        <f>IF(A20="","",TEXT(A20,"ddd"))</f>
        <v/>
      </c>
      <c r="C20" s="12">
        <f>IF(A20="","",INT((A20-WEEKDAY(A20,3)-(Setup!$B$5-WEEKDAY(Setup!$B$5,3)))/7)+1)</f>
        <v/>
      </c>
      <c r="D20" s="12">
        <f>IF(A20="","",IF(OR(WEEKDAY(A20,2)=7,COUNTIF(Setup!$F$13:$F$22,A20)&gt;0),0,1))</f>
        <v/>
      </c>
    </row>
    <row r="21">
      <c r="A21" s="18">
        <f>IF(Setup!$B$5+ROW()-2&gt;EOMONTH(Setup!$B$5,0),"",Setup!$B$5+ROW()-2)</f>
        <v/>
      </c>
      <c r="B21" s="12">
        <f>IF(A21="","",TEXT(A21,"ddd"))</f>
        <v/>
      </c>
      <c r="C21" s="12">
        <f>IF(A21="","",INT((A21-WEEKDAY(A21,3)-(Setup!$B$5-WEEKDAY(Setup!$B$5,3)))/7)+1)</f>
        <v/>
      </c>
      <c r="D21" s="12">
        <f>IF(A21="","",IF(OR(WEEKDAY(A21,2)=7,COUNTIF(Setup!$F$13:$F$22,A21)&gt;0),0,1))</f>
        <v/>
      </c>
    </row>
    <row r="22">
      <c r="A22" s="18">
        <f>IF(Setup!$B$5+ROW()-2&gt;EOMONTH(Setup!$B$5,0),"",Setup!$B$5+ROW()-2)</f>
        <v/>
      </c>
      <c r="B22" s="12">
        <f>IF(A22="","",TEXT(A22,"ddd"))</f>
        <v/>
      </c>
      <c r="C22" s="12">
        <f>IF(A22="","",INT((A22-WEEKDAY(A22,3)-(Setup!$B$5-WEEKDAY(Setup!$B$5,3)))/7)+1)</f>
        <v/>
      </c>
      <c r="D22" s="12">
        <f>IF(A22="","",IF(OR(WEEKDAY(A22,2)=7,COUNTIF(Setup!$F$13:$F$22,A22)&gt;0),0,1))</f>
        <v/>
      </c>
    </row>
    <row r="23">
      <c r="A23" s="18">
        <f>IF(Setup!$B$5+ROW()-2&gt;EOMONTH(Setup!$B$5,0),"",Setup!$B$5+ROW()-2)</f>
        <v/>
      </c>
      <c r="B23" s="12">
        <f>IF(A23="","",TEXT(A23,"ddd"))</f>
        <v/>
      </c>
      <c r="C23" s="12">
        <f>IF(A23="","",INT((A23-WEEKDAY(A23,3)-(Setup!$B$5-WEEKDAY(Setup!$B$5,3)))/7)+1)</f>
        <v/>
      </c>
      <c r="D23" s="12">
        <f>IF(A23="","",IF(OR(WEEKDAY(A23,2)=7,COUNTIF(Setup!$F$13:$F$22,A23)&gt;0),0,1))</f>
        <v/>
      </c>
    </row>
    <row r="24">
      <c r="A24" s="18">
        <f>IF(Setup!$B$5+ROW()-2&gt;EOMONTH(Setup!$B$5,0),"",Setup!$B$5+ROW()-2)</f>
        <v/>
      </c>
      <c r="B24" s="12">
        <f>IF(A24="","",TEXT(A24,"ddd"))</f>
        <v/>
      </c>
      <c r="C24" s="12">
        <f>IF(A24="","",INT((A24-WEEKDAY(A24,3)-(Setup!$B$5-WEEKDAY(Setup!$B$5,3)))/7)+1)</f>
        <v/>
      </c>
      <c r="D24" s="12">
        <f>IF(A24="","",IF(OR(WEEKDAY(A24,2)=7,COUNTIF(Setup!$F$13:$F$22,A24)&gt;0),0,1))</f>
        <v/>
      </c>
    </row>
    <row r="25">
      <c r="A25" s="18">
        <f>IF(Setup!$B$5+ROW()-2&gt;EOMONTH(Setup!$B$5,0),"",Setup!$B$5+ROW()-2)</f>
        <v/>
      </c>
      <c r="B25" s="12">
        <f>IF(A25="","",TEXT(A25,"ddd"))</f>
        <v/>
      </c>
      <c r="C25" s="12">
        <f>IF(A25="","",INT((A25-WEEKDAY(A25,3)-(Setup!$B$5-WEEKDAY(Setup!$B$5,3)))/7)+1)</f>
        <v/>
      </c>
      <c r="D25" s="12">
        <f>IF(A25="","",IF(OR(WEEKDAY(A25,2)=7,COUNTIF(Setup!$F$13:$F$22,A25)&gt;0),0,1))</f>
        <v/>
      </c>
    </row>
    <row r="26">
      <c r="A26" s="18">
        <f>IF(Setup!$B$5+ROW()-2&gt;EOMONTH(Setup!$B$5,0),"",Setup!$B$5+ROW()-2)</f>
        <v/>
      </c>
      <c r="B26" s="12">
        <f>IF(A26="","",TEXT(A26,"ddd"))</f>
        <v/>
      </c>
      <c r="C26" s="12">
        <f>IF(A26="","",INT((A26-WEEKDAY(A26,3)-(Setup!$B$5-WEEKDAY(Setup!$B$5,3)))/7)+1)</f>
        <v/>
      </c>
      <c r="D26" s="12">
        <f>IF(A26="","",IF(OR(WEEKDAY(A26,2)=7,COUNTIF(Setup!$F$13:$F$22,A26)&gt;0),0,1))</f>
        <v/>
      </c>
    </row>
    <row r="27">
      <c r="A27" s="18">
        <f>IF(Setup!$B$5+ROW()-2&gt;EOMONTH(Setup!$B$5,0),"",Setup!$B$5+ROW()-2)</f>
        <v/>
      </c>
      <c r="B27" s="12">
        <f>IF(A27="","",TEXT(A27,"ddd"))</f>
        <v/>
      </c>
      <c r="C27" s="12">
        <f>IF(A27="","",INT((A27-WEEKDAY(A27,3)-(Setup!$B$5-WEEKDAY(Setup!$B$5,3)))/7)+1)</f>
        <v/>
      </c>
      <c r="D27" s="12">
        <f>IF(A27="","",IF(OR(WEEKDAY(A27,2)=7,COUNTIF(Setup!$F$13:$F$22,A27)&gt;0),0,1))</f>
        <v/>
      </c>
    </row>
    <row r="28">
      <c r="A28" s="18">
        <f>IF(Setup!$B$5+ROW()-2&gt;EOMONTH(Setup!$B$5,0),"",Setup!$B$5+ROW()-2)</f>
        <v/>
      </c>
      <c r="B28" s="12">
        <f>IF(A28="","",TEXT(A28,"ddd"))</f>
        <v/>
      </c>
      <c r="C28" s="12">
        <f>IF(A28="","",INT((A28-WEEKDAY(A28,3)-(Setup!$B$5-WEEKDAY(Setup!$B$5,3)))/7)+1)</f>
        <v/>
      </c>
      <c r="D28" s="12">
        <f>IF(A28="","",IF(OR(WEEKDAY(A28,2)=7,COUNTIF(Setup!$F$13:$F$22,A28)&gt;0),0,1))</f>
        <v/>
      </c>
    </row>
    <row r="29">
      <c r="A29" s="18">
        <f>IF(Setup!$B$5+ROW()-2&gt;EOMONTH(Setup!$B$5,0),"",Setup!$B$5+ROW()-2)</f>
        <v/>
      </c>
      <c r="B29" s="12">
        <f>IF(A29="","",TEXT(A29,"ddd"))</f>
        <v/>
      </c>
      <c r="C29" s="12">
        <f>IF(A29="","",INT((A29-WEEKDAY(A29,3)-(Setup!$B$5-WEEKDAY(Setup!$B$5,3)))/7)+1)</f>
        <v/>
      </c>
      <c r="D29" s="12">
        <f>IF(A29="","",IF(OR(WEEKDAY(A29,2)=7,COUNTIF(Setup!$F$13:$F$22,A29)&gt;0),0,1))</f>
        <v/>
      </c>
    </row>
    <row r="30">
      <c r="A30" s="18">
        <f>IF(Setup!$B$5+ROW()-2&gt;EOMONTH(Setup!$B$5,0),"",Setup!$B$5+ROW()-2)</f>
        <v/>
      </c>
      <c r="B30" s="12">
        <f>IF(A30="","",TEXT(A30,"ddd"))</f>
        <v/>
      </c>
      <c r="C30" s="12">
        <f>IF(A30="","",INT((A30-WEEKDAY(A30,3)-(Setup!$B$5-WEEKDAY(Setup!$B$5,3)))/7)+1)</f>
        <v/>
      </c>
      <c r="D30" s="12">
        <f>IF(A30="","",IF(OR(WEEKDAY(A30,2)=7,COUNTIF(Setup!$F$13:$F$22,A30)&gt;0),0,1))</f>
        <v/>
      </c>
    </row>
    <row r="31">
      <c r="A31" s="18">
        <f>IF(Setup!$B$5+ROW()-2&gt;EOMONTH(Setup!$B$5,0),"",Setup!$B$5+ROW()-2)</f>
        <v/>
      </c>
      <c r="B31" s="12">
        <f>IF(A31="","",TEXT(A31,"ddd"))</f>
        <v/>
      </c>
      <c r="C31" s="12">
        <f>IF(A31="","",INT((A31-WEEKDAY(A31,3)-(Setup!$B$5-WEEKDAY(Setup!$B$5,3)))/7)+1)</f>
        <v/>
      </c>
      <c r="D31" s="12">
        <f>IF(A31="","",IF(OR(WEEKDAY(A31,2)=7,COUNTIF(Setup!$F$13:$F$22,A31)&gt;0),0,1))</f>
        <v/>
      </c>
    </row>
    <row r="32">
      <c r="A32" s="18">
        <f>IF(Setup!$B$5+ROW()-2&gt;EOMONTH(Setup!$B$5,0),"",Setup!$B$5+ROW()-2)</f>
        <v/>
      </c>
      <c r="B32" s="12">
        <f>IF(A32="","",TEXT(A32,"ddd"))</f>
        <v/>
      </c>
      <c r="C32" s="12">
        <f>IF(A32="","",INT((A32-WEEKDAY(A32,3)-(Setup!$B$5-WEEKDAY(Setup!$B$5,3)))/7)+1)</f>
        <v/>
      </c>
      <c r="D32" s="12">
        <f>IF(A32="","",IF(OR(WEEKDAY(A32,2)=7,COUNTIF(Setup!$F$13:$F$22,A32)&gt;0),0,1))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2026-10-02T08:42:58Z</dcterms:created>
  <dcterms:modified xsi:type="dcterms:W3CDTF">2026-10-02T08:42:59Z</dcterms:modified>
</cp:coreProperties>
</file>