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Weekly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FFFFFFFF"/>
      <sz val="14"/>
    </font>
    <font>
      <name val="Arial"/>
      <color rgb="FF1F3864"/>
      <sz val="9"/>
    </font>
    <font>
      <name val="Arial"/>
      <b val="1"/>
      <color rgb="FFC00000"/>
      <sz val="9"/>
    </font>
    <font>
      <name val="Arial"/>
      <b val="1"/>
      <color rgb="FFFFFFFF"/>
      <sz val="9"/>
    </font>
    <font>
      <name val="Arial"/>
      <b val="1"/>
      <color rgb="FF1F3864"/>
      <sz val="9"/>
    </font>
    <font>
      <name val="Arial"/>
      <b val="1"/>
      <sz val="9"/>
    </font>
    <font>
      <name val="Arial"/>
      <sz val="9"/>
    </font>
    <font>
      <name val="Arial"/>
      <color rgb="FF0000FF"/>
      <sz val="9"/>
    </font>
    <font>
      <name val="Arial"/>
      <color rgb="FF808080"/>
      <sz val="9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FFFF00"/>
      </patternFill>
    </fill>
    <fill>
      <patternFill patternType="solid">
        <fgColor rgb="FF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6" fillId="5" borderId="0" applyAlignment="1" pivotButton="0" quotePrefix="0" xfId="0">
      <alignment horizontal="center" vertical="center"/>
    </xf>
    <xf numFmtId="0" fontId="9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8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2" customWidth="1" min="5" max="5"/>
    <col width="16" customWidth="1" min="6" max="6"/>
    <col width="14" customWidth="1" min="7" max="7"/>
    <col width="14" customWidth="1" min="8" max="8"/>
  </cols>
  <sheetData>
    <row r="1" ht="25.5" customHeight="1">
      <c r="A1" s="1" t="inlineStr">
        <is>
          <t>TRAVNOOK TRAVELS — SEPTEMBER 2026 TEAM PERFORMANCE DASHBOARD</t>
        </is>
      </c>
    </row>
    <row r="2">
      <c r="A2" s="2" t="inlineStr">
        <is>
          <t>Team Lead: Bindhya   |   Monthly Target: AED 25,000 per agent   |   Working Days: 26   |   Mid-Month Checkpoint (by 12 Sep): AED 10,577 per agent</t>
        </is>
      </c>
    </row>
    <row r="4">
      <c r="A4" s="3" t="inlineStr">
        <is>
          <t>▼  MONTHLY PERFORMANCE SUMMARY</t>
        </is>
      </c>
    </row>
    <row r="5" ht="31.5" customHeight="1">
      <c r="A5" s="4" t="inlineStr">
        <is>
          <t>TEAM TARGET</t>
        </is>
      </c>
      <c r="B5" s="4" t="inlineStr">
        <is>
          <t>TEAM ACHIEVED (MTD)</t>
        </is>
      </c>
      <c r="C5" s="4" t="inlineStr">
        <is>
          <t>TEAM DEFICIT (MTD)</t>
        </is>
      </c>
      <c r="D5" s="4" t="inlineStr">
        <is>
          <t>% ACHIEVED</t>
        </is>
      </c>
      <c r="E5" s="4" t="inlineStr">
        <is>
          <t>MID-MONTH TARGET (by 15th)</t>
        </is>
      </c>
      <c r="F5" s="4" t="inlineStr">
        <is>
          <t>MID-MONTH ACTUAL</t>
        </is>
      </c>
      <c r="G5" s="4" t="inlineStr">
        <is>
          <t>DAILY AIM (team)</t>
        </is>
      </c>
      <c r="H5" s="4" t="inlineStr">
        <is>
          <t>STATUS</t>
        </is>
      </c>
    </row>
    <row r="6">
      <c r="A6" s="5">
        <f>'Weekly Tracker'!C12</f>
        <v/>
      </c>
      <c r="B6" s="5">
        <f>'Weekly Tracker'!AS12</f>
        <v/>
      </c>
      <c r="C6" s="5">
        <f>A6-B6</f>
        <v/>
      </c>
      <c r="D6" s="5">
        <f>IFERROR(B6/A6,0)</f>
        <v/>
      </c>
      <c r="E6" s="5">
        <f>'Weekly Tracker'!D12+'Weekly Tracker'!L12</f>
        <v/>
      </c>
      <c r="F6" s="5">
        <f>'Weekly Tracker'!J12+'Weekly Tracker'!S12</f>
        <v/>
      </c>
      <c r="G6" s="5">
        <f>ROUND(A6/26,0)</f>
        <v/>
      </c>
      <c r="H6" s="5">
        <f>IF(D6&gt;=1,"🟢 On Target",IF(D6&gt;=0.7,"🟡 Watch","🔴 Critical"))</f>
        <v/>
      </c>
    </row>
    <row r="8">
      <c r="A8" s="3" t="inlineStr">
        <is>
          <t>▼  INDIVIDUAL AGENT PERFORMANCE</t>
        </is>
      </c>
    </row>
    <row r="9">
      <c r="A9" s="4" t="inlineStr">
        <is>
          <t>AGENT</t>
        </is>
      </c>
      <c r="B9" s="4" t="inlineStr">
        <is>
          <t>MONTHLY TARGET</t>
        </is>
      </c>
      <c r="C9" s="4" t="inlineStr">
        <is>
          <t>MTD ACHIEVED</t>
        </is>
      </c>
      <c r="D9" s="4" t="inlineStr">
        <is>
          <t>MTD DEFICIT</t>
        </is>
      </c>
      <c r="E9" s="4" t="inlineStr">
        <is>
          <t>% ACHIEVED</t>
        </is>
      </c>
      <c r="F9" s="4" t="inlineStr">
        <is>
          <t>DAILY AIM (agent)</t>
        </is>
      </c>
      <c r="G9" s="4" t="inlineStr">
        <is>
          <t>STATUS</t>
        </is>
      </c>
    </row>
    <row r="10">
      <c r="A10" s="6" t="inlineStr">
        <is>
          <t>SAHA</t>
        </is>
      </c>
      <c r="B10" s="5">
        <f>'Weekly Tracker'!C6</f>
        <v/>
      </c>
      <c r="C10" s="5">
        <f>'Weekly Tracker'!AS6</f>
        <v/>
      </c>
      <c r="D10" s="5">
        <f>B10-C10</f>
        <v/>
      </c>
      <c r="E10" s="5">
        <f>IFERROR(C10/B10,0)</f>
        <v/>
      </c>
      <c r="F10" s="5">
        <f>ROUND(B10/26,0)</f>
        <v/>
      </c>
      <c r="G10" s="5">
        <f>IF(E10&gt;=1,"🟢 On Target",IF(E10&gt;=0.7,"🟡 Watch","🔴 Critical"))</f>
        <v/>
      </c>
    </row>
    <row r="11">
      <c r="A11" s="6" t="inlineStr">
        <is>
          <t>IYAD</t>
        </is>
      </c>
      <c r="B11" s="5">
        <f>'Weekly Tracker'!C7</f>
        <v/>
      </c>
      <c r="C11" s="5">
        <f>'Weekly Tracker'!AS7</f>
        <v/>
      </c>
      <c r="D11" s="5">
        <f>B11-C11</f>
        <v/>
      </c>
      <c r="E11" s="5">
        <f>IFERROR(C11/B11,0)</f>
        <v/>
      </c>
      <c r="F11" s="5">
        <f>ROUND(B11/26,0)</f>
        <v/>
      </c>
      <c r="G11" s="5">
        <f>IF(E11&gt;=1,"🟢 On Target",IF(E11&gt;=0.7,"🟡 Watch","🔴 Critical"))</f>
        <v/>
      </c>
    </row>
    <row r="12">
      <c r="A12" s="6" t="inlineStr">
        <is>
          <t>RIHAB</t>
        </is>
      </c>
      <c r="B12" s="5">
        <f>'Weekly Tracker'!C8</f>
        <v/>
      </c>
      <c r="C12" s="5">
        <f>'Weekly Tracker'!AS8</f>
        <v/>
      </c>
      <c r="D12" s="5">
        <f>B12-C12</f>
        <v/>
      </c>
      <c r="E12" s="5">
        <f>IFERROR(C12/B12,0)</f>
        <v/>
      </c>
      <c r="F12" s="5">
        <f>ROUND(B12/26,0)</f>
        <v/>
      </c>
      <c r="G12" s="5">
        <f>IF(E12&gt;=1,"🟢 On Target",IF(E12&gt;=0.7,"🟡 Watch","🔴 Critical"))</f>
        <v/>
      </c>
    </row>
    <row r="13">
      <c r="A13" s="6" t="inlineStr">
        <is>
          <t>SHILPA</t>
        </is>
      </c>
      <c r="B13" s="5">
        <f>'Weekly Tracker'!C9</f>
        <v/>
      </c>
      <c r="C13" s="5">
        <f>'Weekly Tracker'!AS9</f>
        <v/>
      </c>
      <c r="D13" s="5">
        <f>B13-C13</f>
        <v/>
      </c>
      <c r="E13" s="5">
        <f>IFERROR(C13/B13,0)</f>
        <v/>
      </c>
      <c r="F13" s="5">
        <f>ROUND(B13/26,0)</f>
        <v/>
      </c>
      <c r="G13" s="5">
        <f>IF(E13&gt;=1,"🟢 On Target",IF(E13&gt;=0.7,"🟡 Watch","🔴 Critical"))</f>
        <v/>
      </c>
    </row>
    <row r="14">
      <c r="A14" s="6" t="inlineStr">
        <is>
          <t>ALSHIMAA</t>
        </is>
      </c>
      <c r="B14" s="5">
        <f>'Weekly Tracker'!C10</f>
        <v/>
      </c>
      <c r="C14" s="5">
        <f>'Weekly Tracker'!AS10</f>
        <v/>
      </c>
      <c r="D14" s="5">
        <f>B14-C14</f>
        <v/>
      </c>
      <c r="E14" s="5">
        <f>IFERROR(C14/B14,0)</f>
        <v/>
      </c>
      <c r="F14" s="5">
        <f>ROUND(B14/26,0)</f>
        <v/>
      </c>
      <c r="G14" s="5">
        <f>IF(E14&gt;=1,"🟢 On Target",IF(E14&gt;=0.7,"🟡 Watch","🔴 Critical"))</f>
        <v/>
      </c>
    </row>
    <row r="15">
      <c r="A15" s="6" t="inlineStr">
        <is>
          <t>HARINDER</t>
        </is>
      </c>
      <c r="B15" s="5">
        <f>'Weekly Tracker'!C11</f>
        <v/>
      </c>
      <c r="C15" s="5">
        <f>'Weekly Tracker'!AS11</f>
        <v/>
      </c>
      <c r="D15" s="5">
        <f>B15-C15</f>
        <v/>
      </c>
      <c r="E15" s="5">
        <f>IFERROR(C15/B15,0)</f>
        <v/>
      </c>
      <c r="F15" s="5">
        <f>ROUND(B15/26,0)</f>
        <v/>
      </c>
      <c r="G15" s="5">
        <f>IF(E15&gt;=1,"🟢 On Target",IF(E15&gt;=0.7,"🟡 Watch","🔴 Critical"))</f>
        <v/>
      </c>
    </row>
    <row r="16">
      <c r="A16" s="7" t="inlineStr">
        <is>
          <t>TEAM TOTAL</t>
        </is>
      </c>
      <c r="B16" s="7">
        <f>SUM(B10:B15)</f>
        <v/>
      </c>
      <c r="C16" s="7">
        <f>SUM(C10:C15)</f>
        <v/>
      </c>
      <c r="D16" s="7">
        <f>B16-C16</f>
        <v/>
      </c>
      <c r="E16" s="7">
        <f>IFERROR(C16/B16,0)</f>
        <v/>
      </c>
      <c r="F16" s="7">
        <f>SUM(F10:F15)</f>
        <v/>
      </c>
      <c r="G16" s="7">
        <f>IF(E16&gt;=1,"🟢 On Target",IF(E16&gt;=0.7,"🟡 Watch","🔴 Critical"))</f>
        <v/>
      </c>
    </row>
    <row r="18">
      <c r="A18" s="8" t="inlineStr">
        <is>
          <t>ℹ️  Each agent's monthly target is a flat AED 25,000 (6 agents × 25,000 = AED 150,000 team target). Yellow cells on 'Weekly Tracker' = daily entry; everything else here updates automatically.</t>
        </is>
      </c>
    </row>
  </sheetData>
  <mergeCells count="12">
    <mergeCell ref="A18:H18"/>
    <mergeCell ref="A4:H4"/>
    <mergeCell ref="G12:H12"/>
    <mergeCell ref="G16:H16"/>
    <mergeCell ref="G15:H15"/>
    <mergeCell ref="G10:H10"/>
    <mergeCell ref="A2:H2"/>
    <mergeCell ref="G11:H11"/>
    <mergeCell ref="G14:H14"/>
    <mergeCell ref="A1:H1"/>
    <mergeCell ref="A8:H8"/>
    <mergeCell ref="G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14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0" customWidth="1" min="3" max="3"/>
    <col width="9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9" customWidth="1" min="10" max="10"/>
    <col width="9" customWidth="1" min="11" max="11"/>
    <col width="9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9" customWidth="1" min="19" max="19"/>
    <col width="9" customWidth="1" min="20" max="20"/>
    <col width="9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  <col width="9" customWidth="1" min="28" max="28"/>
    <col width="9" customWidth="1" min="29" max="29"/>
    <col width="9" customWidth="1" min="30" max="30"/>
    <col width="8.5" customWidth="1" min="31" max="31"/>
    <col width="8.5" customWidth="1" min="32" max="32"/>
    <col width="8.5" customWidth="1" min="33" max="33"/>
    <col width="8.5" customWidth="1" min="34" max="34"/>
    <col width="8.5" customWidth="1" min="35" max="35"/>
    <col width="8.5" customWidth="1" min="36" max="36"/>
    <col width="9" customWidth="1" min="37" max="37"/>
    <col width="9" customWidth="1" min="38" max="38"/>
    <col width="9" customWidth="1" min="39" max="39"/>
    <col width="8.5" customWidth="1" min="40" max="40"/>
    <col width="8.5" customWidth="1" min="41" max="41"/>
    <col width="8.5" customWidth="1" min="42" max="42"/>
    <col width="9" customWidth="1" min="43" max="43"/>
    <col width="9" customWidth="1" min="44" max="44"/>
    <col width="11" customWidth="1" min="45" max="45"/>
    <col width="11" customWidth="1" min="46" max="46"/>
    <col width="11" customWidth="1" min="47" max="47"/>
    <col width="13" customWidth="1" min="48" max="48"/>
  </cols>
  <sheetData>
    <row r="1" ht="25.5" customHeight="1">
      <c r="A1" s="9" t="inlineStr">
        <is>
          <t>TRAVNOOK TRAVELS — SEPTEMBER 2026  WEEKLY &amp; MONTHLY TRACKER</t>
        </is>
      </c>
    </row>
    <row r="2">
      <c r="A2" s="2" t="inlineStr">
        <is>
          <t>Team Lead: Bindhya   |   Monthly Target: AED 25,000 per agent   |   Working Days: 26   |   🟡 Yellow cells = daily data entry</t>
        </is>
      </c>
    </row>
    <row r="3">
      <c r="A3" s="10" t="inlineStr">
        <is>
          <t>⚠️  Mid-month checkpoint: be at AED 10,577 per agent (AED 63,462 team) by 12 Sep / end of WK 2 to avoid a month-end rush.</t>
        </is>
      </c>
    </row>
    <row r="4" ht="19.5" customHeight="1">
      <c r="A4" s="4" t="inlineStr">
        <is>
          <t>AGENT</t>
        </is>
      </c>
      <c r="B4" s="4" t="inlineStr">
        <is>
          <t>DAILY
TARGET</t>
        </is>
      </c>
      <c r="C4" s="4" t="inlineStr">
        <is>
          <t>MONTHLY
TARGET</t>
        </is>
      </c>
      <c r="D4" s="4" t="inlineStr">
        <is>
          <t>WK 1  (1-5 Sep)</t>
        </is>
      </c>
      <c r="E4" s="4" t="n"/>
      <c r="F4" s="4" t="n"/>
      <c r="G4" s="4" t="n"/>
      <c r="H4" s="4" t="n"/>
      <c r="I4" s="4" t="n"/>
      <c r="J4" s="4" t="n"/>
      <c r="L4" s="4" t="inlineStr">
        <is>
          <t>WK 2  (7-12 Sep)</t>
        </is>
      </c>
      <c r="M4" s="4" t="n"/>
      <c r="N4" s="4" t="n"/>
      <c r="O4" s="4" t="n"/>
      <c r="P4" s="4" t="n"/>
      <c r="Q4" s="4" t="n"/>
      <c r="R4" s="4" t="n"/>
      <c r="S4" s="4" t="n"/>
      <c r="U4" s="4" t="inlineStr">
        <is>
          <t>WK 3  (14-19 Sep)</t>
        </is>
      </c>
      <c r="V4" s="4" t="n"/>
      <c r="W4" s="4" t="n"/>
      <c r="X4" s="4" t="n"/>
      <c r="Y4" s="4" t="n"/>
      <c r="Z4" s="4" t="n"/>
      <c r="AA4" s="4" t="n"/>
      <c r="AB4" s="4" t="n"/>
      <c r="AD4" s="4" t="inlineStr">
        <is>
          <t>WK 4  (21-26 Sep)</t>
        </is>
      </c>
      <c r="AE4" s="4" t="n"/>
      <c r="AF4" s="4" t="n"/>
      <c r="AG4" s="4" t="n"/>
      <c r="AH4" s="4" t="n"/>
      <c r="AI4" s="4" t="n"/>
      <c r="AJ4" s="4" t="n"/>
      <c r="AK4" s="4" t="n"/>
      <c r="AM4" s="4" t="inlineStr">
        <is>
          <t>WK 5  (28-30 Sep)</t>
        </is>
      </c>
      <c r="AN4" s="4" t="n"/>
      <c r="AO4" s="4" t="n"/>
      <c r="AP4" s="4" t="n"/>
      <c r="AQ4" s="4" t="n"/>
      <c r="AS4" s="4" t="inlineStr">
        <is>
          <t>MONTHLY
ACHIEVED</t>
        </is>
      </c>
      <c r="AT4" s="4" t="inlineStr">
        <is>
          <t>MONTHLY
DEFICIT</t>
        </is>
      </c>
      <c r="AU4" s="4" t="inlineStr">
        <is>
          <t>% vs
TARGET</t>
        </is>
      </c>
      <c r="AV4" s="4" t="inlineStr">
        <is>
          <t>STATUS</t>
        </is>
      </c>
    </row>
    <row r="5" ht="27.75" customHeight="1">
      <c r="D5" s="11" t="inlineStr">
        <is>
          <t>WK
TARGET</t>
        </is>
      </c>
      <c r="E5" s="11" t="inlineStr">
        <is>
          <t>Sep 1
Tue</t>
        </is>
      </c>
      <c r="F5" s="11" t="inlineStr">
        <is>
          <t>Sep 2
Wed</t>
        </is>
      </c>
      <c r="G5" s="11" t="inlineStr">
        <is>
          <t>Sep 3
Thu</t>
        </is>
      </c>
      <c r="H5" s="11" t="inlineStr">
        <is>
          <t>Sep 4
Fri</t>
        </is>
      </c>
      <c r="I5" s="11" t="inlineStr">
        <is>
          <t>Sep 5
Sat</t>
        </is>
      </c>
      <c r="J5" s="11" t="inlineStr">
        <is>
          <t>WK
ACHIEVED</t>
        </is>
      </c>
      <c r="K5" s="11" t="inlineStr">
        <is>
          <t>WK
DEFICIT</t>
        </is>
      </c>
      <c r="L5" s="11" t="inlineStr">
        <is>
          <t>WK
TARGET</t>
        </is>
      </c>
      <c r="M5" s="11" t="inlineStr">
        <is>
          <t>Sep 7
Mon</t>
        </is>
      </c>
      <c r="N5" s="11" t="inlineStr">
        <is>
          <t>Sep 8
Tue</t>
        </is>
      </c>
      <c r="O5" s="11" t="inlineStr">
        <is>
          <t>Sep 9
Wed</t>
        </is>
      </c>
      <c r="P5" s="11" t="inlineStr">
        <is>
          <t>Sep 10
Thu</t>
        </is>
      </c>
      <c r="Q5" s="11" t="inlineStr">
        <is>
          <t>Sep 11
Fri</t>
        </is>
      </c>
      <c r="R5" s="11" t="inlineStr">
        <is>
          <t>Sep 12
Sat</t>
        </is>
      </c>
      <c r="S5" s="11" t="inlineStr">
        <is>
          <t>WK
ACHIEVED</t>
        </is>
      </c>
      <c r="T5" s="11" t="inlineStr">
        <is>
          <t>WK
DEFICIT</t>
        </is>
      </c>
      <c r="U5" s="11" t="inlineStr">
        <is>
          <t>WK
TARGET</t>
        </is>
      </c>
      <c r="V5" s="11" t="inlineStr">
        <is>
          <t>Sep 14
Mon</t>
        </is>
      </c>
      <c r="W5" s="11" t="inlineStr">
        <is>
          <t>Sep 15
Tue</t>
        </is>
      </c>
      <c r="X5" s="11" t="inlineStr">
        <is>
          <t>Sep 16
Wed</t>
        </is>
      </c>
      <c r="Y5" s="11" t="inlineStr">
        <is>
          <t>Sep 17
Thu</t>
        </is>
      </c>
      <c r="Z5" s="11" t="inlineStr">
        <is>
          <t>Sep 18
Fri</t>
        </is>
      </c>
      <c r="AA5" s="11" t="inlineStr">
        <is>
          <t>Sep 19
Sat</t>
        </is>
      </c>
      <c r="AB5" s="11" t="inlineStr">
        <is>
          <t>WK
ACHIEVED</t>
        </is>
      </c>
      <c r="AC5" s="11" t="inlineStr">
        <is>
          <t>WK
DEFICIT</t>
        </is>
      </c>
      <c r="AD5" s="11" t="inlineStr">
        <is>
          <t>WK
TARGET</t>
        </is>
      </c>
      <c r="AE5" s="11" t="inlineStr">
        <is>
          <t>Sep 21
Mon</t>
        </is>
      </c>
      <c r="AF5" s="11" t="inlineStr">
        <is>
          <t>Sep 22
Tue</t>
        </is>
      </c>
      <c r="AG5" s="11" t="inlineStr">
        <is>
          <t>Sep 23
Wed</t>
        </is>
      </c>
      <c r="AH5" s="11" t="inlineStr">
        <is>
          <t>Sep 24
Thu</t>
        </is>
      </c>
      <c r="AI5" s="11" t="inlineStr">
        <is>
          <t>Sep 25
Fri</t>
        </is>
      </c>
      <c r="AJ5" s="11" t="inlineStr">
        <is>
          <t>Sep 26
Sat</t>
        </is>
      </c>
      <c r="AK5" s="11" t="inlineStr">
        <is>
          <t>WK
ACHIEVED</t>
        </is>
      </c>
      <c r="AL5" s="11" t="inlineStr">
        <is>
          <t>WK
DEFICIT</t>
        </is>
      </c>
      <c r="AM5" s="11" t="inlineStr">
        <is>
          <t>WK
TARGET</t>
        </is>
      </c>
      <c r="AN5" s="11" t="inlineStr">
        <is>
          <t>Sep 28
Mon</t>
        </is>
      </c>
      <c r="AO5" s="11" t="inlineStr">
        <is>
          <t>Sep 29
Tue</t>
        </is>
      </c>
      <c r="AP5" s="11" t="inlineStr">
        <is>
          <t>Sep 30
Wed</t>
        </is>
      </c>
      <c r="AQ5" s="11" t="inlineStr">
        <is>
          <t>WK
ACHIEVED</t>
        </is>
      </c>
      <c r="AR5" s="11" t="inlineStr">
        <is>
          <t>WK
DEFICIT</t>
        </is>
      </c>
    </row>
    <row r="6">
      <c r="A6" s="12" t="inlineStr">
        <is>
          <t>SAHA</t>
        </is>
      </c>
      <c r="B6" s="5">
        <f>ROUND(C6/26,0)</f>
        <v/>
      </c>
      <c r="C6" s="13" t="n">
        <v>25000</v>
      </c>
      <c r="D6" s="5">
        <f>ROUND($C6*5/26,0)</f>
        <v/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5">
        <f>SUM(E6:I6)</f>
        <v/>
      </c>
      <c r="K6" s="5">
        <f>D6-J6</f>
        <v/>
      </c>
      <c r="L6" s="5">
        <f>ROUND($C6*6/26,0)</f>
        <v/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5">
        <f>SUM(M6:R6)</f>
        <v/>
      </c>
      <c r="T6" s="5">
        <f>L6-S6</f>
        <v/>
      </c>
      <c r="U6" s="5">
        <f>ROUND($C6*6/26,0)</f>
        <v/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5">
        <f>SUM(V6:AA6)</f>
        <v/>
      </c>
      <c r="AC6" s="5">
        <f>U6-AB6</f>
        <v/>
      </c>
      <c r="AD6" s="5">
        <f>ROUND($C6*6/26,0)</f>
        <v/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5">
        <f>SUM(AE6:AJ6)</f>
        <v/>
      </c>
      <c r="AL6" s="5">
        <f>AD6-AK6</f>
        <v/>
      </c>
      <c r="AM6" s="5">
        <f>ROUND($C6*3/26,0)</f>
        <v/>
      </c>
      <c r="AN6" s="14" t="n">
        <v>0</v>
      </c>
      <c r="AO6" s="14" t="n">
        <v>0</v>
      </c>
      <c r="AP6" s="14" t="n">
        <v>0</v>
      </c>
      <c r="AQ6" s="5">
        <f>SUM(AN6:AP6)</f>
        <v/>
      </c>
      <c r="AR6" s="5">
        <f>AM6-AQ6</f>
        <v/>
      </c>
      <c r="AS6" s="5">
        <f>J6+S6+AB6+AK6+AQ6</f>
        <v/>
      </c>
      <c r="AT6" s="5">
        <f>C6-AS6</f>
        <v/>
      </c>
      <c r="AU6" s="5">
        <f>IFERROR(AS6/C6,0)</f>
        <v/>
      </c>
      <c r="AV6" s="5">
        <f>IF(AU6&gt;=1,"🟢 On Target",IF(AU6&gt;=0.7,"🟡 Watch","🔴 Critical"))</f>
        <v/>
      </c>
    </row>
    <row r="7">
      <c r="A7" s="12" t="inlineStr">
        <is>
          <t>IYAD</t>
        </is>
      </c>
      <c r="B7" s="5">
        <f>ROUND(C7/26,0)</f>
        <v/>
      </c>
      <c r="C7" s="13" t="n">
        <v>25000</v>
      </c>
      <c r="D7" s="5">
        <f>ROUND($C7*5/26,0)</f>
        <v/>
      </c>
      <c r="E7" s="14" t="n">
        <v>0</v>
      </c>
      <c r="F7" s="14" t="n">
        <v>0</v>
      </c>
      <c r="G7" s="14" t="n">
        <v>0</v>
      </c>
      <c r="H7" s="14" t="n">
        <v>0</v>
      </c>
      <c r="I7" s="14" t="n">
        <v>0</v>
      </c>
      <c r="J7" s="5">
        <f>SUM(E7:I7)</f>
        <v/>
      </c>
      <c r="K7" s="5">
        <f>D7-J7</f>
        <v/>
      </c>
      <c r="L7" s="5">
        <f>ROUND($C7*6/26,0)</f>
        <v/>
      </c>
      <c r="M7" s="14" t="n">
        <v>0</v>
      </c>
      <c r="N7" s="14" t="n">
        <v>0</v>
      </c>
      <c r="O7" s="14" t="n">
        <v>0</v>
      </c>
      <c r="P7" s="14" t="n">
        <v>0</v>
      </c>
      <c r="Q7" s="14" t="n">
        <v>0</v>
      </c>
      <c r="R7" s="14" t="n">
        <v>0</v>
      </c>
      <c r="S7" s="5">
        <f>SUM(M7:R7)</f>
        <v/>
      </c>
      <c r="T7" s="5">
        <f>L7-S7</f>
        <v/>
      </c>
      <c r="U7" s="5">
        <f>ROUND($C7*6/26,0)</f>
        <v/>
      </c>
      <c r="V7" s="14" t="n">
        <v>0</v>
      </c>
      <c r="W7" s="14" t="n">
        <v>0</v>
      </c>
      <c r="X7" s="14" t="n">
        <v>0</v>
      </c>
      <c r="Y7" s="14" t="n">
        <v>0</v>
      </c>
      <c r="Z7" s="14" t="n">
        <v>0</v>
      </c>
      <c r="AA7" s="14" t="n">
        <v>0</v>
      </c>
      <c r="AB7" s="5">
        <f>SUM(V7:AA7)</f>
        <v/>
      </c>
      <c r="AC7" s="5">
        <f>U7-AB7</f>
        <v/>
      </c>
      <c r="AD7" s="5">
        <f>ROUND($C7*6/26,0)</f>
        <v/>
      </c>
      <c r="AE7" s="14" t="n">
        <v>0</v>
      </c>
      <c r="AF7" s="14" t="n">
        <v>0</v>
      </c>
      <c r="AG7" s="14" t="n">
        <v>0</v>
      </c>
      <c r="AH7" s="14" t="n">
        <v>0</v>
      </c>
      <c r="AI7" s="14" t="n">
        <v>0</v>
      </c>
      <c r="AJ7" s="14" t="n">
        <v>0</v>
      </c>
      <c r="AK7" s="5">
        <f>SUM(AE7:AJ7)</f>
        <v/>
      </c>
      <c r="AL7" s="5">
        <f>AD7-AK7</f>
        <v/>
      </c>
      <c r="AM7" s="5">
        <f>ROUND($C7*3/26,0)</f>
        <v/>
      </c>
      <c r="AN7" s="14" t="n">
        <v>0</v>
      </c>
      <c r="AO7" s="14" t="n">
        <v>0</v>
      </c>
      <c r="AP7" s="14" t="n">
        <v>0</v>
      </c>
      <c r="AQ7" s="5">
        <f>SUM(AN7:AP7)</f>
        <v/>
      </c>
      <c r="AR7" s="5">
        <f>AM7-AQ7</f>
        <v/>
      </c>
      <c r="AS7" s="5">
        <f>J7+S7+AB7+AK7+AQ7</f>
        <v/>
      </c>
      <c r="AT7" s="5">
        <f>C7-AS7</f>
        <v/>
      </c>
      <c r="AU7" s="5">
        <f>IFERROR(AS7/C7,0)</f>
        <v/>
      </c>
      <c r="AV7" s="5">
        <f>IF(AU7&gt;=1,"🟢 On Target",IF(AU7&gt;=0.7,"🟡 Watch","🔴 Critical"))</f>
        <v/>
      </c>
    </row>
    <row r="8">
      <c r="A8" s="12" t="inlineStr">
        <is>
          <t>RIHAB</t>
        </is>
      </c>
      <c r="B8" s="5">
        <f>ROUND(C8/26,0)</f>
        <v/>
      </c>
      <c r="C8" s="13" t="n">
        <v>25000</v>
      </c>
      <c r="D8" s="5">
        <f>ROUND($C8*5/26,0)</f>
        <v/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5">
        <f>SUM(E8:I8)</f>
        <v/>
      </c>
      <c r="K8" s="5">
        <f>D8-J8</f>
        <v/>
      </c>
      <c r="L8" s="5">
        <f>ROUND($C8*6/26,0)</f>
        <v/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5">
        <f>SUM(M8:R8)</f>
        <v/>
      </c>
      <c r="T8" s="5">
        <f>L8-S8</f>
        <v/>
      </c>
      <c r="U8" s="5">
        <f>ROUND($C8*6/26,0)</f>
        <v/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5">
        <f>SUM(V8:AA8)</f>
        <v/>
      </c>
      <c r="AC8" s="5">
        <f>U8-AB8</f>
        <v/>
      </c>
      <c r="AD8" s="5">
        <f>ROUND($C8*6/26,0)</f>
        <v/>
      </c>
      <c r="AE8" s="14" t="n">
        <v>0</v>
      </c>
      <c r="AF8" s="14" t="n">
        <v>0</v>
      </c>
      <c r="AG8" s="14" t="n">
        <v>0</v>
      </c>
      <c r="AH8" s="14" t="n">
        <v>0</v>
      </c>
      <c r="AI8" s="14" t="n">
        <v>0</v>
      </c>
      <c r="AJ8" s="14" t="n">
        <v>0</v>
      </c>
      <c r="AK8" s="5">
        <f>SUM(AE8:AJ8)</f>
        <v/>
      </c>
      <c r="AL8" s="5">
        <f>AD8-AK8</f>
        <v/>
      </c>
      <c r="AM8" s="5">
        <f>ROUND($C8*3/26,0)</f>
        <v/>
      </c>
      <c r="AN8" s="14" t="n">
        <v>0</v>
      </c>
      <c r="AO8" s="14" t="n">
        <v>0</v>
      </c>
      <c r="AP8" s="14" t="n">
        <v>0</v>
      </c>
      <c r="AQ8" s="5">
        <f>SUM(AN8:AP8)</f>
        <v/>
      </c>
      <c r="AR8" s="5">
        <f>AM8-AQ8</f>
        <v/>
      </c>
      <c r="AS8" s="5">
        <f>J8+S8+AB8+AK8+AQ8</f>
        <v/>
      </c>
      <c r="AT8" s="5">
        <f>C8-AS8</f>
        <v/>
      </c>
      <c r="AU8" s="5">
        <f>IFERROR(AS8/C8,0)</f>
        <v/>
      </c>
      <c r="AV8" s="5">
        <f>IF(AU8&gt;=1,"🟢 On Target",IF(AU8&gt;=0.7,"🟡 Watch","🔴 Critical"))</f>
        <v/>
      </c>
    </row>
    <row r="9">
      <c r="A9" s="12" t="inlineStr">
        <is>
          <t>SHILPA</t>
        </is>
      </c>
      <c r="B9" s="5">
        <f>ROUND(C9/26,0)</f>
        <v/>
      </c>
      <c r="C9" s="13" t="n">
        <v>25000</v>
      </c>
      <c r="D9" s="5">
        <f>ROUND($C9*5/26,0)</f>
        <v/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5">
        <f>SUM(E9:I9)</f>
        <v/>
      </c>
      <c r="K9" s="5">
        <f>D9-J9</f>
        <v/>
      </c>
      <c r="L9" s="5">
        <f>ROUND($C9*6/26,0)</f>
        <v/>
      </c>
      <c r="M9" s="14" t="n">
        <v>0</v>
      </c>
      <c r="N9" s="14" t="n">
        <v>0</v>
      </c>
      <c r="O9" s="14" t="n">
        <v>0</v>
      </c>
      <c r="P9" s="14" t="n">
        <v>0</v>
      </c>
      <c r="Q9" s="14" t="n">
        <v>0</v>
      </c>
      <c r="R9" s="14" t="n">
        <v>0</v>
      </c>
      <c r="S9" s="5">
        <f>SUM(M9:R9)</f>
        <v/>
      </c>
      <c r="T9" s="5">
        <f>L9-S9</f>
        <v/>
      </c>
      <c r="U9" s="5">
        <f>ROUND($C9*6/26,0)</f>
        <v/>
      </c>
      <c r="V9" s="14" t="n">
        <v>0</v>
      </c>
      <c r="W9" s="14" t="n">
        <v>0</v>
      </c>
      <c r="X9" s="14" t="n">
        <v>0</v>
      </c>
      <c r="Y9" s="14" t="n">
        <v>0</v>
      </c>
      <c r="Z9" s="14" t="n">
        <v>0</v>
      </c>
      <c r="AA9" s="14" t="n">
        <v>0</v>
      </c>
      <c r="AB9" s="5">
        <f>SUM(V9:AA9)</f>
        <v/>
      </c>
      <c r="AC9" s="5">
        <f>U9-AB9</f>
        <v/>
      </c>
      <c r="AD9" s="5">
        <f>ROUND($C9*6/26,0)</f>
        <v/>
      </c>
      <c r="AE9" s="14" t="n">
        <v>0</v>
      </c>
      <c r="AF9" s="14" t="n">
        <v>0</v>
      </c>
      <c r="AG9" s="14" t="n">
        <v>0</v>
      </c>
      <c r="AH9" s="14" t="n">
        <v>0</v>
      </c>
      <c r="AI9" s="14" t="n">
        <v>0</v>
      </c>
      <c r="AJ9" s="14" t="n">
        <v>0</v>
      </c>
      <c r="AK9" s="5">
        <f>SUM(AE9:AJ9)</f>
        <v/>
      </c>
      <c r="AL9" s="5">
        <f>AD9-AK9</f>
        <v/>
      </c>
      <c r="AM9" s="5">
        <f>ROUND($C9*3/26,0)</f>
        <v/>
      </c>
      <c r="AN9" s="14" t="n">
        <v>0</v>
      </c>
      <c r="AO9" s="14" t="n">
        <v>0</v>
      </c>
      <c r="AP9" s="14" t="n">
        <v>0</v>
      </c>
      <c r="AQ9" s="5">
        <f>SUM(AN9:AP9)</f>
        <v/>
      </c>
      <c r="AR9" s="5">
        <f>AM9-AQ9</f>
        <v/>
      </c>
      <c r="AS9" s="5">
        <f>J9+S9+AB9+AK9+AQ9</f>
        <v/>
      </c>
      <c r="AT9" s="5">
        <f>C9-AS9</f>
        <v/>
      </c>
      <c r="AU9" s="5">
        <f>IFERROR(AS9/C9,0)</f>
        <v/>
      </c>
      <c r="AV9" s="5">
        <f>IF(AU9&gt;=1,"🟢 On Target",IF(AU9&gt;=0.7,"🟡 Watch","🔴 Critical"))</f>
        <v/>
      </c>
    </row>
    <row r="10">
      <c r="A10" s="12" t="inlineStr">
        <is>
          <t>ALSHIMAA</t>
        </is>
      </c>
      <c r="B10" s="5">
        <f>ROUND(C10/26,0)</f>
        <v/>
      </c>
      <c r="C10" s="13" t="n">
        <v>25000</v>
      </c>
      <c r="D10" s="5">
        <f>ROUND($C10*5/26,0)</f>
        <v/>
      </c>
      <c r="E10" s="14" t="n">
        <v>0</v>
      </c>
      <c r="F10" s="14" t="n">
        <v>0</v>
      </c>
      <c r="G10" s="14" t="n">
        <v>0</v>
      </c>
      <c r="H10" s="14" t="n">
        <v>0</v>
      </c>
      <c r="I10" s="14" t="n">
        <v>0</v>
      </c>
      <c r="J10" s="5">
        <f>SUM(E10:I10)</f>
        <v/>
      </c>
      <c r="K10" s="5">
        <f>D10-J10</f>
        <v/>
      </c>
      <c r="L10" s="5">
        <f>ROUND($C10*6/26,0)</f>
        <v/>
      </c>
      <c r="M10" s="14" t="n">
        <v>0</v>
      </c>
      <c r="N10" s="14" t="n">
        <v>0</v>
      </c>
      <c r="O10" s="14" t="n">
        <v>0</v>
      </c>
      <c r="P10" s="14" t="n">
        <v>0</v>
      </c>
      <c r="Q10" s="14" t="n">
        <v>0</v>
      </c>
      <c r="R10" s="14" t="n">
        <v>0</v>
      </c>
      <c r="S10" s="5">
        <f>SUM(M10:R10)</f>
        <v/>
      </c>
      <c r="T10" s="5">
        <f>L10-S10</f>
        <v/>
      </c>
      <c r="U10" s="5">
        <f>ROUND($C10*6/26,0)</f>
        <v/>
      </c>
      <c r="V10" s="14" t="n">
        <v>0</v>
      </c>
      <c r="W10" s="14" t="n">
        <v>0</v>
      </c>
      <c r="X10" s="14" t="n">
        <v>0</v>
      </c>
      <c r="Y10" s="14" t="n">
        <v>0</v>
      </c>
      <c r="Z10" s="14" t="n">
        <v>0</v>
      </c>
      <c r="AA10" s="14" t="n">
        <v>0</v>
      </c>
      <c r="AB10" s="5">
        <f>SUM(V10:AA10)</f>
        <v/>
      </c>
      <c r="AC10" s="5">
        <f>U10-AB10</f>
        <v/>
      </c>
      <c r="AD10" s="5">
        <f>ROUND($C10*6/26,0)</f>
        <v/>
      </c>
      <c r="AE10" s="14" t="n">
        <v>0</v>
      </c>
      <c r="AF10" s="14" t="n">
        <v>0</v>
      </c>
      <c r="AG10" s="14" t="n">
        <v>0</v>
      </c>
      <c r="AH10" s="14" t="n">
        <v>0</v>
      </c>
      <c r="AI10" s="14" t="n">
        <v>0</v>
      </c>
      <c r="AJ10" s="14" t="n">
        <v>0</v>
      </c>
      <c r="AK10" s="5">
        <f>SUM(AE10:AJ10)</f>
        <v/>
      </c>
      <c r="AL10" s="5">
        <f>AD10-AK10</f>
        <v/>
      </c>
      <c r="AM10" s="5">
        <f>ROUND($C10*3/26,0)</f>
        <v/>
      </c>
      <c r="AN10" s="14" t="n">
        <v>0</v>
      </c>
      <c r="AO10" s="14" t="n">
        <v>0</v>
      </c>
      <c r="AP10" s="14" t="n">
        <v>0</v>
      </c>
      <c r="AQ10" s="5">
        <f>SUM(AN10:AP10)</f>
        <v/>
      </c>
      <c r="AR10" s="5">
        <f>AM10-AQ10</f>
        <v/>
      </c>
      <c r="AS10" s="5">
        <f>J10+S10+AB10+AK10+AQ10</f>
        <v/>
      </c>
      <c r="AT10" s="5">
        <f>C10-AS10</f>
        <v/>
      </c>
      <c r="AU10" s="5">
        <f>IFERROR(AS10/C10,0)</f>
        <v/>
      </c>
      <c r="AV10" s="5">
        <f>IF(AU10&gt;=1,"🟢 On Target",IF(AU10&gt;=0.7,"🟡 Watch","🔴 Critical"))</f>
        <v/>
      </c>
    </row>
    <row r="11">
      <c r="A11" s="12" t="inlineStr">
        <is>
          <t>HARINDER</t>
        </is>
      </c>
      <c r="B11" s="5">
        <f>ROUND(C11/26,0)</f>
        <v/>
      </c>
      <c r="C11" s="13" t="n">
        <v>25000</v>
      </c>
      <c r="D11" s="5">
        <f>ROUND($C11*5/26,0)</f>
        <v/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5">
        <f>SUM(E11:I11)</f>
        <v/>
      </c>
      <c r="K11" s="5">
        <f>D11-J11</f>
        <v/>
      </c>
      <c r="L11" s="5">
        <f>ROUND($C11*6/26,0)</f>
        <v/>
      </c>
      <c r="M11" s="14" t="n">
        <v>0</v>
      </c>
      <c r="N11" s="14" t="n">
        <v>0</v>
      </c>
      <c r="O11" s="14" t="n">
        <v>0</v>
      </c>
      <c r="P11" s="14" t="n">
        <v>0</v>
      </c>
      <c r="Q11" s="14" t="n">
        <v>0</v>
      </c>
      <c r="R11" s="14" t="n">
        <v>0</v>
      </c>
      <c r="S11" s="5">
        <f>SUM(M11:R11)</f>
        <v/>
      </c>
      <c r="T11" s="5">
        <f>L11-S11</f>
        <v/>
      </c>
      <c r="U11" s="5">
        <f>ROUND($C11*6/26,0)</f>
        <v/>
      </c>
      <c r="V11" s="14" t="n">
        <v>0</v>
      </c>
      <c r="W11" s="14" t="n">
        <v>0</v>
      </c>
      <c r="X11" s="14" t="n">
        <v>0</v>
      </c>
      <c r="Y11" s="14" t="n">
        <v>0</v>
      </c>
      <c r="Z11" s="14" t="n">
        <v>0</v>
      </c>
      <c r="AA11" s="14" t="n">
        <v>0</v>
      </c>
      <c r="AB11" s="5">
        <f>SUM(V11:AA11)</f>
        <v/>
      </c>
      <c r="AC11" s="5">
        <f>U11-AB11</f>
        <v/>
      </c>
      <c r="AD11" s="5">
        <f>ROUND($C11*6/26,0)</f>
        <v/>
      </c>
      <c r="AE11" s="14" t="n">
        <v>0</v>
      </c>
      <c r="AF11" s="14" t="n">
        <v>0</v>
      </c>
      <c r="AG11" s="14" t="n">
        <v>0</v>
      </c>
      <c r="AH11" s="14" t="n">
        <v>0</v>
      </c>
      <c r="AI11" s="14" t="n">
        <v>0</v>
      </c>
      <c r="AJ11" s="14" t="n">
        <v>0</v>
      </c>
      <c r="AK11" s="5">
        <f>SUM(AE11:AJ11)</f>
        <v/>
      </c>
      <c r="AL11" s="5">
        <f>AD11-AK11</f>
        <v/>
      </c>
      <c r="AM11" s="5">
        <f>ROUND($C11*3/26,0)</f>
        <v/>
      </c>
      <c r="AN11" s="14" t="n">
        <v>0</v>
      </c>
      <c r="AO11" s="14" t="n">
        <v>0</v>
      </c>
      <c r="AP11" s="14" t="n">
        <v>0</v>
      </c>
      <c r="AQ11" s="5">
        <f>SUM(AN11:AP11)</f>
        <v/>
      </c>
      <c r="AR11" s="5">
        <f>AM11-AQ11</f>
        <v/>
      </c>
      <c r="AS11" s="5">
        <f>J11+S11+AB11+AK11+AQ11</f>
        <v/>
      </c>
      <c r="AT11" s="5">
        <f>C11-AS11</f>
        <v/>
      </c>
      <c r="AU11" s="5">
        <f>IFERROR(AS11/C11,0)</f>
        <v/>
      </c>
      <c r="AV11" s="5">
        <f>IF(AU11&gt;=1,"🟢 On Target",IF(AU11&gt;=0.7,"🟡 Watch","🔴 Critical"))</f>
        <v/>
      </c>
    </row>
    <row r="12">
      <c r="A12" s="7" t="inlineStr">
        <is>
          <t>TEAM TOTAL</t>
        </is>
      </c>
      <c r="B12" s="7">
        <f>SUM(B6:B11)</f>
        <v/>
      </c>
      <c r="C12" s="7">
        <f>SUM(C6:C11)</f>
        <v/>
      </c>
      <c r="D12" s="7">
        <f>SUM(D6:D11)</f>
        <v/>
      </c>
      <c r="J12" s="7">
        <f>SUM(J6:J11)</f>
        <v/>
      </c>
      <c r="K12" s="7">
        <f>SUM(K6:K11)</f>
        <v/>
      </c>
      <c r="L12" s="7">
        <f>SUM(L6:L11)</f>
        <v/>
      </c>
      <c r="S12" s="7">
        <f>SUM(S6:S11)</f>
        <v/>
      </c>
      <c r="T12" s="7">
        <f>SUM(T6:T11)</f>
        <v/>
      </c>
      <c r="U12" s="7">
        <f>SUM(U6:U11)</f>
        <v/>
      </c>
      <c r="AB12" s="7">
        <f>SUM(AB6:AB11)</f>
        <v/>
      </c>
      <c r="AC12" s="7">
        <f>SUM(AC6:AC11)</f>
        <v/>
      </c>
      <c r="AD12" s="7">
        <f>SUM(AD6:AD11)</f>
        <v/>
      </c>
      <c r="AK12" s="7">
        <f>SUM(AK6:AK11)</f>
        <v/>
      </c>
      <c r="AL12" s="7">
        <f>SUM(AL6:AL11)</f>
        <v/>
      </c>
      <c r="AM12" s="7">
        <f>SUM(AM6:AM11)</f>
        <v/>
      </c>
      <c r="AQ12" s="7">
        <f>SUM(AQ6:AQ11)</f>
        <v/>
      </c>
      <c r="AR12" s="7">
        <f>SUM(AR6:AR11)</f>
        <v/>
      </c>
      <c r="AS12" s="7">
        <f>SUM(AS6:AS11)</f>
        <v/>
      </c>
      <c r="AT12" s="7">
        <f>SUM(AT6:AT11)</f>
        <v/>
      </c>
      <c r="AU12" s="7">
        <f>IFERROR(AS12/C12,0)</f>
        <v/>
      </c>
      <c r="AV12" s="7">
        <f>IF(AU12&gt;=1,"🟢 On Target",IF(AU12&gt;=0.7,"🟡 Watch","🔴 Critical"))</f>
        <v/>
      </c>
    </row>
    <row r="14">
      <c r="A14" s="3" t="inlineStr">
        <is>
          <t>MID-MONTH CHECKPOINT (through 12 Sep / WK1–WK2)</t>
        </is>
      </c>
      <c r="D14" s="10">
        <f>"Team actual: AED "&amp;TEXT(J12+S12,"#,##0")&amp;"   |   Aim: AED 63,462 team (AED 10,577/agent)"</f>
        <v/>
      </c>
    </row>
  </sheetData>
  <mergeCells count="17">
    <mergeCell ref="L4:T4"/>
    <mergeCell ref="B4:B5"/>
    <mergeCell ref="D14:AV14"/>
    <mergeCell ref="A1:AV1"/>
    <mergeCell ref="C4:C5"/>
    <mergeCell ref="A4:A5"/>
    <mergeCell ref="A14:C14"/>
    <mergeCell ref="AV4:AV5"/>
    <mergeCell ref="AT4:AT5"/>
    <mergeCell ref="AU4:AU5"/>
    <mergeCell ref="A3:AV3"/>
    <mergeCell ref="AD4:AL4"/>
    <mergeCell ref="AM4:AR4"/>
    <mergeCell ref="AS4:AS5"/>
    <mergeCell ref="U4:AC4"/>
    <mergeCell ref="D4:K4"/>
    <mergeCell ref="A2:AV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2026-09-09T14:12:31Z</dcterms:created>
  <dcterms:modified xsi:type="dcterms:W3CDTF">2026-09-09T14:12:31Z</dcterms:modified>
</cp:coreProperties>
</file>