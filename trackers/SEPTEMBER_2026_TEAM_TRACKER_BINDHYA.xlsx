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Weekly Tracker"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4"/>
    </font>
    <font>
      <name val="Arial"/>
      <color rgb="FF1F3864"/>
      <sz val="9"/>
    </font>
    <font>
      <name val="Arial"/>
      <b val="1"/>
      <color rgb="FFC00000"/>
      <sz val="9"/>
    </font>
    <font>
      <name val="Arial"/>
      <b val="1"/>
      <color rgb="FFFFFFFF"/>
      <sz val="9"/>
    </font>
    <font>
      <name val="Arial"/>
      <b val="1"/>
      <color rgb="FF1F3864"/>
      <sz val="9"/>
    </font>
    <font>
      <name val="Arial"/>
      <b val="1"/>
      <sz val="9"/>
    </font>
    <font>
      <name val="Arial"/>
      <sz val="9"/>
    </font>
    <font>
      <name val="Arial"/>
      <color rgb="FF0000FF"/>
      <sz val="9"/>
    </font>
    <font>
      <name val="Arial"/>
      <color rgb="FF808080"/>
      <sz val="9"/>
    </font>
  </fonts>
  <fills count="6">
    <fill>
      <patternFill/>
    </fill>
    <fill>
      <patternFill patternType="gray125"/>
    </fill>
    <fill>
      <patternFill patternType="solid">
        <fgColor rgb="FF1F3864"/>
      </patternFill>
    </fill>
    <fill>
      <patternFill patternType="solid">
        <fgColor rgb="FFD9E2F3"/>
      </patternFill>
    </fill>
    <fill>
      <patternFill patternType="solid">
        <fgColor rgb="FFFFFF00"/>
      </patternFill>
    </fill>
    <fill>
      <patternFill patternType="solid">
        <fgColor rgb="FFBDD7EE"/>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5" fillId="0" borderId="0" pivotButton="0" quotePrefix="0" xfId="0"/>
    <xf numFmtId="0" fontId="4" fillId="2" borderId="0" applyAlignment="1" pivotButton="0" quotePrefix="0" xfId="0">
      <alignment horizontal="center" vertical="center" wrapText="1"/>
    </xf>
    <xf numFmtId="0" fontId="8" fillId="0" borderId="0" applyAlignment="1" pivotButton="0" quotePrefix="0" xfId="0">
      <alignment horizontal="center" vertical="center"/>
    </xf>
    <xf numFmtId="0" fontId="7" fillId="0" borderId="0" applyAlignment="1" pivotButton="0" quotePrefix="0" xfId="0">
      <alignment horizontal="center" vertical="center"/>
    </xf>
    <xf numFmtId="0" fontId="7" fillId="0" borderId="0" pivotButton="0" quotePrefix="0" xfId="0"/>
    <xf numFmtId="0" fontId="6" fillId="5" borderId="0" applyAlignment="1" pivotButton="0" quotePrefix="0" xfId="0">
      <alignment horizontal="center" vertical="center"/>
    </xf>
    <xf numFmtId="0" fontId="9" fillId="0" borderId="0" pivotButton="0" quotePrefix="0" xfId="0"/>
    <xf numFmtId="0" fontId="1" fillId="2" borderId="0" applyAlignment="1" pivotButton="0" quotePrefix="0" xfId="0">
      <alignment horizontal="left" vertical="center"/>
    </xf>
    <xf numFmtId="0" fontId="3" fillId="0" borderId="0" pivotButton="0" quotePrefix="0" xfId="0"/>
    <xf numFmtId="0" fontId="5" fillId="3" borderId="0" applyAlignment="1" pivotButton="0" quotePrefix="0" xfId="0">
      <alignment horizontal="center" vertical="center" wrapText="1"/>
    </xf>
    <xf numFmtId="0" fontId="6" fillId="0" borderId="0" pivotButton="0" quotePrefix="0" xfId="0"/>
    <xf numFmtId="0" fontId="7"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14" customWidth="1" min="1" max="1"/>
    <col width="16" customWidth="1" min="2" max="2"/>
    <col width="14" customWidth="1" min="3" max="3"/>
    <col width="14" customWidth="1" min="4" max="4"/>
    <col width="12" customWidth="1" min="5" max="5"/>
    <col width="16" customWidth="1" min="6" max="6"/>
    <col width="14" customWidth="1" min="7" max="7"/>
    <col width="14" customWidth="1" min="8" max="8"/>
  </cols>
  <sheetData>
    <row r="1" ht="25.5" customHeight="1">
      <c r="A1" s="1" t="inlineStr">
        <is>
          <t>TRAVNOOK TRAVELS — SEPTEMBER 2026 TEAM PERFORMANCE DASHBOARD</t>
        </is>
      </c>
    </row>
    <row r="2">
      <c r="A2" s="2" t="inlineStr">
        <is>
          <t>Team Lead: Bindhya Travnook   |   Team Target: AED 170,000   |   Per-Agent Base Target: AED 25,000   |   Working Days: 26   |   Mid-Month Checkpoint (by 12 Sep): AED 71,923 team</t>
        </is>
      </c>
    </row>
    <row r="4">
      <c r="A4" s="3" t="inlineStr">
        <is>
          <t>▼  MONTHLY PERFORMANCE SUMMARY</t>
        </is>
      </c>
    </row>
    <row r="5" ht="31.5" customHeight="1">
      <c r="A5" s="4" t="inlineStr">
        <is>
          <t>TEAM TARGET</t>
        </is>
      </c>
      <c r="B5" s="4" t="inlineStr">
        <is>
          <t>TEAM ACHIEVED (MTD)</t>
        </is>
      </c>
      <c r="C5" s="4" t="inlineStr">
        <is>
          <t>TEAM DEFICIT (MTD)</t>
        </is>
      </c>
      <c r="D5" s="4" t="inlineStr">
        <is>
          <t>% ACHIEVED</t>
        </is>
      </c>
      <c r="E5" s="4" t="inlineStr">
        <is>
          <t>MID-MONTH TARGET (by 15th)</t>
        </is>
      </c>
      <c r="F5" s="4" t="inlineStr">
        <is>
          <t>MID-MONTH ACTUAL</t>
        </is>
      </c>
      <c r="G5" s="4" t="inlineStr">
        <is>
          <t>DAILY AIM (team)</t>
        </is>
      </c>
      <c r="H5" s="4" t="inlineStr">
        <is>
          <t>STATUS</t>
        </is>
      </c>
    </row>
    <row r="6">
      <c r="A6" s="5" t="n">
        <v>170000</v>
      </c>
      <c r="B6" s="6">
        <f>'Weekly Tracker'!AS14</f>
        <v/>
      </c>
      <c r="C6" s="6">
        <f>A6-B6</f>
        <v/>
      </c>
      <c r="D6" s="6">
        <f>IFERROR(B6/A6,0)</f>
        <v/>
      </c>
      <c r="E6" s="6">
        <f>ROUND(A6*11/26,0)</f>
        <v/>
      </c>
      <c r="F6" s="6">
        <f>'Weekly Tracker'!J14+'Weekly Tracker'!S14</f>
        <v/>
      </c>
      <c r="G6" s="6">
        <f>ROUND(A6/26,0)</f>
        <v/>
      </c>
      <c r="H6" s="6">
        <f>IF(D6&gt;=1,"🟢 On Target",IF(D6&gt;=0.7,"🟡 Watch","🔴 Critical"))</f>
        <v/>
      </c>
    </row>
    <row r="8">
      <c r="A8" s="3" t="inlineStr">
        <is>
          <t>▼  INDIVIDUAL AGENT PERFORMANCE</t>
        </is>
      </c>
    </row>
    <row r="9">
      <c r="A9" s="4" t="inlineStr">
        <is>
          <t>AGENT</t>
        </is>
      </c>
      <c r="B9" s="4" t="inlineStr">
        <is>
          <t>MONTHLY TARGET</t>
        </is>
      </c>
      <c r="C9" s="4" t="inlineStr">
        <is>
          <t>MTD ACHIEVED</t>
        </is>
      </c>
      <c r="D9" s="4" t="inlineStr">
        <is>
          <t>MTD DEFICIT</t>
        </is>
      </c>
      <c r="E9" s="4" t="inlineStr">
        <is>
          <t>% ACHIEVED</t>
        </is>
      </c>
      <c r="F9" s="4" t="inlineStr">
        <is>
          <t>DAILY AIM (agent)</t>
        </is>
      </c>
      <c r="G9" s="4" t="inlineStr">
        <is>
          <t>STATUS</t>
        </is>
      </c>
    </row>
    <row r="10">
      <c r="A10" s="7" t="inlineStr">
        <is>
          <t>Iyan</t>
        </is>
      </c>
      <c r="B10" s="6">
        <f>'Weekly Tracker'!C6</f>
        <v/>
      </c>
      <c r="C10" s="6">
        <f>'Weekly Tracker'!AS6</f>
        <v/>
      </c>
      <c r="D10" s="6">
        <f>B10-C10</f>
        <v/>
      </c>
      <c r="E10" s="6">
        <f>IFERROR(C10/B10,0)</f>
        <v/>
      </c>
      <c r="F10" s="6">
        <f>ROUND(B10/26,0)</f>
        <v/>
      </c>
      <c r="G10" s="6">
        <f>IF(E10&gt;=1,"🟢 On Target",IF(E10&gt;=0.7,"🟡 Watch","🔴 Critical"))</f>
        <v/>
      </c>
    </row>
    <row r="11">
      <c r="A11" s="7" t="inlineStr">
        <is>
          <t>Harinder</t>
        </is>
      </c>
      <c r="B11" s="6">
        <f>'Weekly Tracker'!C7</f>
        <v/>
      </c>
      <c r="C11" s="6">
        <f>'Weekly Tracker'!AS7</f>
        <v/>
      </c>
      <c r="D11" s="6">
        <f>B11-C11</f>
        <v/>
      </c>
      <c r="E11" s="6">
        <f>IFERROR(C11/B11,0)</f>
        <v/>
      </c>
      <c r="F11" s="6">
        <f>ROUND(B11/26,0)</f>
        <v/>
      </c>
      <c r="G11" s="6">
        <f>IF(E11&gt;=1,"🟢 On Target",IF(E11&gt;=0.7,"🟡 Watch","🔴 Critical"))</f>
        <v/>
      </c>
    </row>
    <row r="12">
      <c r="A12" s="7" t="inlineStr">
        <is>
          <t>Rihab Travnook</t>
        </is>
      </c>
      <c r="B12" s="6">
        <f>'Weekly Tracker'!C8</f>
        <v/>
      </c>
      <c r="C12" s="6">
        <f>'Weekly Tracker'!AS8</f>
        <v/>
      </c>
      <c r="D12" s="6">
        <f>B12-C12</f>
        <v/>
      </c>
      <c r="E12" s="6">
        <f>IFERROR(C12/B12,0)</f>
        <v/>
      </c>
      <c r="F12" s="6">
        <f>ROUND(B12/26,0)</f>
        <v/>
      </c>
      <c r="G12" s="6">
        <f>IF(E12&gt;=1,"🟢 On Target",IF(E12&gt;=0.7,"🟡 Watch","🔴 Critical"))</f>
        <v/>
      </c>
    </row>
    <row r="13">
      <c r="A13" s="7" t="inlineStr">
        <is>
          <t>Ibrahim Travnook</t>
        </is>
      </c>
      <c r="B13" s="6">
        <f>'Weekly Tracker'!C9</f>
        <v/>
      </c>
      <c r="C13" s="6">
        <f>'Weekly Tracker'!AS9</f>
        <v/>
      </c>
      <c r="D13" s="6">
        <f>B13-C13</f>
        <v/>
      </c>
      <c r="E13" s="6">
        <f>IFERROR(C13/B13,0)</f>
        <v/>
      </c>
      <c r="F13" s="6">
        <f>ROUND(B13/26,0)</f>
        <v/>
      </c>
      <c r="G13" s="6">
        <f>IF(E13&gt;=1,"🟢 On Target",IF(E13&gt;=0.7,"🟡 Watch","🔴 Critical"))</f>
        <v/>
      </c>
    </row>
    <row r="14">
      <c r="A14" s="7" t="inlineStr">
        <is>
          <t>Chaimaa Benchohra</t>
        </is>
      </c>
      <c r="B14" s="6">
        <f>'Weekly Tracker'!C10</f>
        <v/>
      </c>
      <c r="C14" s="6">
        <f>'Weekly Tracker'!AS10</f>
        <v/>
      </c>
      <c r="D14" s="6">
        <f>B14-C14</f>
        <v/>
      </c>
      <c r="E14" s="6">
        <f>IFERROR(C14/B14,0)</f>
        <v/>
      </c>
      <c r="F14" s="6">
        <f>ROUND(B14/26,0)</f>
        <v/>
      </c>
      <c r="G14" s="6">
        <f>IF(E14&gt;=1,"🟢 On Target",IF(E14&gt;=0.7,"🟡 Watch","🔴 Critical"))</f>
        <v/>
      </c>
    </row>
    <row r="15">
      <c r="A15" s="7" t="inlineStr">
        <is>
          <t>Saha Travnook</t>
        </is>
      </c>
      <c r="B15" s="6">
        <f>'Weekly Tracker'!C11</f>
        <v/>
      </c>
      <c r="C15" s="6">
        <f>'Weekly Tracker'!AS11</f>
        <v/>
      </c>
      <c r="D15" s="6">
        <f>B15-C15</f>
        <v/>
      </c>
      <c r="E15" s="6">
        <f>IFERROR(C15/B15,0)</f>
        <v/>
      </c>
      <c r="F15" s="6">
        <f>ROUND(B15/26,0)</f>
        <v/>
      </c>
      <c r="G15" s="6">
        <f>IF(E15&gt;=1,"🟢 On Target",IF(E15&gt;=0.7,"🟡 Watch","🔴 Critical"))</f>
        <v/>
      </c>
    </row>
    <row r="16">
      <c r="A16" s="7" t="inlineStr">
        <is>
          <t>Alshimaa Ahmed</t>
        </is>
      </c>
      <c r="B16" s="6">
        <f>'Weekly Tracker'!C12</f>
        <v/>
      </c>
      <c r="C16" s="6">
        <f>'Weekly Tracker'!AS12</f>
        <v/>
      </c>
      <c r="D16" s="6">
        <f>B16-C16</f>
        <v/>
      </c>
      <c r="E16" s="6">
        <f>IFERROR(C16/B16,0)</f>
        <v/>
      </c>
      <c r="F16" s="6">
        <f>ROUND(B16/26,0)</f>
        <v/>
      </c>
      <c r="G16" s="6">
        <f>IF(E16&gt;=1,"🟢 On Target",IF(E16&gt;=0.7,"🟡 Watch","🔴 Critical"))</f>
        <v/>
      </c>
    </row>
    <row r="17">
      <c r="A17" s="7" t="inlineStr">
        <is>
          <t>Khozema Nogamawala</t>
        </is>
      </c>
      <c r="B17" s="6">
        <f>'Weekly Tracker'!C13</f>
        <v/>
      </c>
      <c r="C17" s="6">
        <f>'Weekly Tracker'!AS13</f>
        <v/>
      </c>
      <c r="D17" s="6">
        <f>B17-C17</f>
        <v/>
      </c>
      <c r="E17" s="6">
        <f>IFERROR(C17/B17,0)</f>
        <v/>
      </c>
      <c r="F17" s="6">
        <f>ROUND(B17/26,0)</f>
        <v/>
      </c>
      <c r="G17" s="6">
        <f>IF(E17&gt;=1,"🟢 On Target",IF(E17&gt;=0.7,"🟡 Watch","🔴 Critical"))</f>
        <v/>
      </c>
    </row>
    <row r="18">
      <c r="A18" s="8" t="inlineStr">
        <is>
          <t>TEAM TOTAL</t>
        </is>
      </c>
      <c r="B18" s="8">
        <f>SUM(B10:B17)</f>
        <v/>
      </c>
      <c r="C18" s="8">
        <f>SUM(C10:C17)</f>
        <v/>
      </c>
      <c r="D18" s="8">
        <f>B18-C18</f>
        <v/>
      </c>
      <c r="E18" s="8">
        <f>IFERROR(C18/B18,0)</f>
        <v/>
      </c>
      <c r="F18" s="8">
        <f>SUM(F10:F17)</f>
        <v/>
      </c>
      <c r="G18" s="8">
        <f>IF(E18&gt;=1,"🟢 On Target",IF(E18&gt;=0.7,"🟡 Watch","🔴 Critical"))</f>
        <v/>
      </c>
    </row>
    <row r="20">
      <c r="A20" s="9" t="inlineStr">
        <is>
          <t>ℹ️  Each agent's base target is a flat AED 25,000 (8 agents × 25,000 = AED 200,000 combined individual targets). The team target (cell A6, AED 170,000) is set independently as the overall business goal, so it need not equal the combined individual targets. Yellow cells on 'Weekly Tracker' = daily entry; everything else here updates automatically.</t>
        </is>
      </c>
    </row>
  </sheetData>
  <mergeCells count="14">
    <mergeCell ref="A4:H4"/>
    <mergeCell ref="G12:H12"/>
    <mergeCell ref="G16:H16"/>
    <mergeCell ref="A20:H20"/>
    <mergeCell ref="G15:H15"/>
    <mergeCell ref="G10:H10"/>
    <mergeCell ref="A2:H2"/>
    <mergeCell ref="G11:H11"/>
    <mergeCell ref="G14:H14"/>
    <mergeCell ref="A1:H1"/>
    <mergeCell ref="G18:H18"/>
    <mergeCell ref="A8:H8"/>
    <mergeCell ref="G17:H17"/>
    <mergeCell ref="G13: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0" customWidth="1" min="3" max="3"/>
    <col width="9" customWidth="1" min="4" max="4"/>
    <col width="8.5" customWidth="1" min="5" max="5"/>
    <col width="8.5" customWidth="1" min="6" max="6"/>
    <col width="8.5" customWidth="1" min="7" max="7"/>
    <col width="8.5" customWidth="1" min="8" max="8"/>
    <col width="8.5" customWidth="1" min="9" max="9"/>
    <col width="9" customWidth="1" min="10" max="10"/>
    <col width="9" customWidth="1" min="11" max="11"/>
    <col width="9" customWidth="1" min="12" max="12"/>
    <col width="8.5" customWidth="1" min="13" max="13"/>
    <col width="8.5" customWidth="1" min="14" max="14"/>
    <col width="8.5" customWidth="1" min="15" max="15"/>
    <col width="8.5" customWidth="1" min="16" max="16"/>
    <col width="8.5" customWidth="1" min="17" max="17"/>
    <col width="8.5" customWidth="1" min="18" max="18"/>
    <col width="9" customWidth="1" min="19" max="19"/>
    <col width="9" customWidth="1" min="20" max="20"/>
    <col width="9" customWidth="1" min="21" max="21"/>
    <col width="8.5" customWidth="1" min="22" max="22"/>
    <col width="8.5" customWidth="1" min="23" max="23"/>
    <col width="8.5" customWidth="1" min="24" max="24"/>
    <col width="8.5" customWidth="1" min="25" max="25"/>
    <col width="8.5" customWidth="1" min="26" max="26"/>
    <col width="8.5" customWidth="1" min="27" max="27"/>
    <col width="9" customWidth="1" min="28" max="28"/>
    <col width="9" customWidth="1" min="29" max="29"/>
    <col width="9" customWidth="1" min="30" max="30"/>
    <col width="8.5" customWidth="1" min="31" max="31"/>
    <col width="8.5" customWidth="1" min="32" max="32"/>
    <col width="8.5" customWidth="1" min="33" max="33"/>
    <col width="8.5" customWidth="1" min="34" max="34"/>
    <col width="8.5" customWidth="1" min="35" max="35"/>
    <col width="8.5" customWidth="1" min="36" max="36"/>
    <col width="9" customWidth="1" min="37" max="37"/>
    <col width="9" customWidth="1" min="38" max="38"/>
    <col width="9" customWidth="1" min="39" max="39"/>
    <col width="8.5" customWidth="1" min="40" max="40"/>
    <col width="8.5" customWidth="1" min="41" max="41"/>
    <col width="8.5" customWidth="1" min="42" max="42"/>
    <col width="9" customWidth="1" min="43" max="43"/>
    <col width="9" customWidth="1" min="44" max="44"/>
    <col width="11" customWidth="1" min="45" max="45"/>
    <col width="11" customWidth="1" min="46" max="46"/>
    <col width="11" customWidth="1" min="47" max="47"/>
    <col width="13" customWidth="1" min="48" max="48"/>
  </cols>
  <sheetData>
    <row r="1" ht="25.5" customHeight="1">
      <c r="A1" s="10" t="inlineStr">
        <is>
          <t>TRAVNOOK TRAVELS — SEPTEMBER 2026  WEEKLY &amp; MONTHLY TRACKER</t>
        </is>
      </c>
    </row>
    <row r="2">
      <c r="A2" s="2" t="inlineStr">
        <is>
          <t>Team Lead: Bindhya Travnook   |   Team Target: AED 170,000   |   Per-Agent Base Target: AED 25,000   |   Working Days: 26   |   🟡 Yellow cells = daily data entry</t>
        </is>
      </c>
    </row>
    <row r="3">
      <c r="A3" s="11" t="inlineStr">
        <is>
          <t>⚠️  Mid-month checkpoint: each agent aim AED 10,577 (base-target pacing)   |   Team aim AED 71,923 against the AED 170,000 team target   by 12 Sep / end of WK 2.</t>
        </is>
      </c>
    </row>
    <row r="4" ht="19.5" customHeight="1">
      <c r="A4" s="4" t="inlineStr">
        <is>
          <t>AGENT</t>
        </is>
      </c>
      <c r="B4" s="4" t="inlineStr">
        <is>
          <t>DAILY
TARGET</t>
        </is>
      </c>
      <c r="C4" s="4" t="inlineStr">
        <is>
          <t>MONTHLY
TARGET</t>
        </is>
      </c>
      <c r="D4" s="4" t="inlineStr">
        <is>
          <t>WK 1  (1-5 Sep)</t>
        </is>
      </c>
      <c r="E4" s="4" t="n"/>
      <c r="F4" s="4" t="n"/>
      <c r="G4" s="4" t="n"/>
      <c r="H4" s="4" t="n"/>
      <c r="I4" s="4" t="n"/>
      <c r="J4" s="4" t="n"/>
      <c r="L4" s="4" t="inlineStr">
        <is>
          <t>WK 2  (7-12 Sep)</t>
        </is>
      </c>
      <c r="M4" s="4" t="n"/>
      <c r="N4" s="4" t="n"/>
      <c r="O4" s="4" t="n"/>
      <c r="P4" s="4" t="n"/>
      <c r="Q4" s="4" t="n"/>
      <c r="R4" s="4" t="n"/>
      <c r="S4" s="4" t="n"/>
      <c r="U4" s="4" t="inlineStr">
        <is>
          <t>WK 3  (14-19 Sep)</t>
        </is>
      </c>
      <c r="V4" s="4" t="n"/>
      <c r="W4" s="4" t="n"/>
      <c r="X4" s="4" t="n"/>
      <c r="Y4" s="4" t="n"/>
      <c r="Z4" s="4" t="n"/>
      <c r="AA4" s="4" t="n"/>
      <c r="AB4" s="4" t="n"/>
      <c r="AD4" s="4" t="inlineStr">
        <is>
          <t>WK 4  (21-26 Sep)</t>
        </is>
      </c>
      <c r="AE4" s="4" t="n"/>
      <c r="AF4" s="4" t="n"/>
      <c r="AG4" s="4" t="n"/>
      <c r="AH4" s="4" t="n"/>
      <c r="AI4" s="4" t="n"/>
      <c r="AJ4" s="4" t="n"/>
      <c r="AK4" s="4" t="n"/>
      <c r="AM4" s="4" t="inlineStr">
        <is>
          <t>WK 5  (28-30 Sep)</t>
        </is>
      </c>
      <c r="AN4" s="4" t="n"/>
      <c r="AO4" s="4" t="n"/>
      <c r="AP4" s="4" t="n"/>
      <c r="AQ4" s="4" t="n"/>
      <c r="AS4" s="4" t="inlineStr">
        <is>
          <t>MONTHLY
ACHIEVED</t>
        </is>
      </c>
      <c r="AT4" s="4" t="inlineStr">
        <is>
          <t>MONTHLY
DEFICIT</t>
        </is>
      </c>
      <c r="AU4" s="4" t="inlineStr">
        <is>
          <t>% vs
TARGET</t>
        </is>
      </c>
      <c r="AV4" s="4" t="inlineStr">
        <is>
          <t>STATUS</t>
        </is>
      </c>
    </row>
    <row r="5" ht="27.75" customHeight="1">
      <c r="D5" s="12" t="inlineStr">
        <is>
          <t>WK
TARGET</t>
        </is>
      </c>
      <c r="E5" s="12" t="inlineStr">
        <is>
          <t>Sep 1
Tue</t>
        </is>
      </c>
      <c r="F5" s="12" t="inlineStr">
        <is>
          <t>Sep 2
Wed</t>
        </is>
      </c>
      <c r="G5" s="12" t="inlineStr">
        <is>
          <t>Sep 3
Thu</t>
        </is>
      </c>
      <c r="H5" s="12" t="inlineStr">
        <is>
          <t>Sep 4
Fri</t>
        </is>
      </c>
      <c r="I5" s="12" t="inlineStr">
        <is>
          <t>Sep 5
Sat</t>
        </is>
      </c>
      <c r="J5" s="12" t="inlineStr">
        <is>
          <t>WK
ACHIEVED</t>
        </is>
      </c>
      <c r="K5" s="12" t="inlineStr">
        <is>
          <t>WK
DEFICIT</t>
        </is>
      </c>
      <c r="L5" s="12" t="inlineStr">
        <is>
          <t>WK
TARGET</t>
        </is>
      </c>
      <c r="M5" s="12" t="inlineStr">
        <is>
          <t>Sep 7
Mon</t>
        </is>
      </c>
      <c r="N5" s="12" t="inlineStr">
        <is>
          <t>Sep 8
Tue</t>
        </is>
      </c>
      <c r="O5" s="12" t="inlineStr">
        <is>
          <t>Sep 9
Wed</t>
        </is>
      </c>
      <c r="P5" s="12" t="inlineStr">
        <is>
          <t>Sep 10
Thu</t>
        </is>
      </c>
      <c r="Q5" s="12" t="inlineStr">
        <is>
          <t>Sep 11
Fri</t>
        </is>
      </c>
      <c r="R5" s="12" t="inlineStr">
        <is>
          <t>Sep 12
Sat</t>
        </is>
      </c>
      <c r="S5" s="12" t="inlineStr">
        <is>
          <t>WK
ACHIEVED</t>
        </is>
      </c>
      <c r="T5" s="12" t="inlineStr">
        <is>
          <t>WK
DEFICIT</t>
        </is>
      </c>
      <c r="U5" s="12" t="inlineStr">
        <is>
          <t>WK
TARGET</t>
        </is>
      </c>
      <c r="V5" s="12" t="inlineStr">
        <is>
          <t>Sep 14
Mon</t>
        </is>
      </c>
      <c r="W5" s="12" t="inlineStr">
        <is>
          <t>Sep 15
Tue</t>
        </is>
      </c>
      <c r="X5" s="12" t="inlineStr">
        <is>
          <t>Sep 16
Wed</t>
        </is>
      </c>
      <c r="Y5" s="12" t="inlineStr">
        <is>
          <t>Sep 17
Thu</t>
        </is>
      </c>
      <c r="Z5" s="12" t="inlineStr">
        <is>
          <t>Sep 18
Fri</t>
        </is>
      </c>
      <c r="AA5" s="12" t="inlineStr">
        <is>
          <t>Sep 19
Sat</t>
        </is>
      </c>
      <c r="AB5" s="12" t="inlineStr">
        <is>
          <t>WK
ACHIEVED</t>
        </is>
      </c>
      <c r="AC5" s="12" t="inlineStr">
        <is>
          <t>WK
DEFICIT</t>
        </is>
      </c>
      <c r="AD5" s="12" t="inlineStr">
        <is>
          <t>WK
TARGET</t>
        </is>
      </c>
      <c r="AE5" s="12" t="inlineStr">
        <is>
          <t>Sep 21
Mon</t>
        </is>
      </c>
      <c r="AF5" s="12" t="inlineStr">
        <is>
          <t>Sep 22
Tue</t>
        </is>
      </c>
      <c r="AG5" s="12" t="inlineStr">
        <is>
          <t>Sep 23
Wed</t>
        </is>
      </c>
      <c r="AH5" s="12" t="inlineStr">
        <is>
          <t>Sep 24
Thu</t>
        </is>
      </c>
      <c r="AI5" s="12" t="inlineStr">
        <is>
          <t>Sep 25
Fri</t>
        </is>
      </c>
      <c r="AJ5" s="12" t="inlineStr">
        <is>
          <t>Sep 26
Sat</t>
        </is>
      </c>
      <c r="AK5" s="12" t="inlineStr">
        <is>
          <t>WK
ACHIEVED</t>
        </is>
      </c>
      <c r="AL5" s="12" t="inlineStr">
        <is>
          <t>WK
DEFICIT</t>
        </is>
      </c>
      <c r="AM5" s="12" t="inlineStr">
        <is>
          <t>WK
TARGET</t>
        </is>
      </c>
      <c r="AN5" s="12" t="inlineStr">
        <is>
          <t>Sep 28
Mon</t>
        </is>
      </c>
      <c r="AO5" s="12" t="inlineStr">
        <is>
          <t>Sep 29
Tue</t>
        </is>
      </c>
      <c r="AP5" s="12" t="inlineStr">
        <is>
          <t>Sep 30
Wed</t>
        </is>
      </c>
      <c r="AQ5" s="12" t="inlineStr">
        <is>
          <t>WK
ACHIEVED</t>
        </is>
      </c>
      <c r="AR5" s="12" t="inlineStr">
        <is>
          <t>WK
DEFICIT</t>
        </is>
      </c>
    </row>
    <row r="6">
      <c r="A6" s="13" t="inlineStr">
        <is>
          <t>Iyan</t>
        </is>
      </c>
      <c r="B6" s="6">
        <f>ROUND(C6/26,0)</f>
        <v/>
      </c>
      <c r="C6" s="5" t="n">
        <v>25000</v>
      </c>
      <c r="D6" s="6">
        <f>ROUND($C6*5/26,0)</f>
        <v/>
      </c>
      <c r="E6" s="14" t="n">
        <v>0</v>
      </c>
      <c r="F6" s="14" t="n">
        <v>0</v>
      </c>
      <c r="G6" s="14" t="n">
        <v>0</v>
      </c>
      <c r="H6" s="14" t="n">
        <v>0</v>
      </c>
      <c r="I6" s="14" t="n">
        <v>0</v>
      </c>
      <c r="J6" s="6">
        <f>SUM(E6:I6)</f>
        <v/>
      </c>
      <c r="K6" s="6">
        <f>D6-J6</f>
        <v/>
      </c>
      <c r="L6" s="6">
        <f>ROUND($C6*6/26,0)</f>
        <v/>
      </c>
      <c r="M6" s="14" t="n">
        <v>0</v>
      </c>
      <c r="N6" s="14" t="n">
        <v>0</v>
      </c>
      <c r="O6" s="14" t="n">
        <v>0</v>
      </c>
      <c r="P6" s="14" t="n">
        <v>0</v>
      </c>
      <c r="Q6" s="14" t="n">
        <v>0</v>
      </c>
      <c r="R6" s="14" t="n">
        <v>0</v>
      </c>
      <c r="S6" s="6">
        <f>SUM(M6:R6)</f>
        <v/>
      </c>
      <c r="T6" s="6">
        <f>L6-S6</f>
        <v/>
      </c>
      <c r="U6" s="6">
        <f>ROUND($C6*6/26,0)</f>
        <v/>
      </c>
      <c r="V6" s="14" t="n">
        <v>0</v>
      </c>
      <c r="W6" s="14" t="n">
        <v>0</v>
      </c>
      <c r="X6" s="14" t="n">
        <v>0</v>
      </c>
      <c r="Y6" s="14" t="n">
        <v>0</v>
      </c>
      <c r="Z6" s="14" t="n">
        <v>0</v>
      </c>
      <c r="AA6" s="14" t="n">
        <v>0</v>
      </c>
      <c r="AB6" s="6">
        <f>SUM(V6:AA6)</f>
        <v/>
      </c>
      <c r="AC6" s="6">
        <f>U6-AB6</f>
        <v/>
      </c>
      <c r="AD6" s="6">
        <f>ROUND($C6*6/26,0)</f>
        <v/>
      </c>
      <c r="AE6" s="14" t="n">
        <v>0</v>
      </c>
      <c r="AF6" s="14" t="n">
        <v>0</v>
      </c>
      <c r="AG6" s="14" t="n">
        <v>0</v>
      </c>
      <c r="AH6" s="14" t="n">
        <v>0</v>
      </c>
      <c r="AI6" s="14" t="n">
        <v>0</v>
      </c>
      <c r="AJ6" s="14" t="n">
        <v>0</v>
      </c>
      <c r="AK6" s="6">
        <f>SUM(AE6:AJ6)</f>
        <v/>
      </c>
      <c r="AL6" s="6">
        <f>AD6-AK6</f>
        <v/>
      </c>
      <c r="AM6" s="6">
        <f>ROUND($C6*3/26,0)</f>
        <v/>
      </c>
      <c r="AN6" s="14" t="n">
        <v>0</v>
      </c>
      <c r="AO6" s="14" t="n">
        <v>0</v>
      </c>
      <c r="AP6" s="14" t="n">
        <v>0</v>
      </c>
      <c r="AQ6" s="6">
        <f>SUM(AN6:AP6)</f>
        <v/>
      </c>
      <c r="AR6" s="6">
        <f>AM6-AQ6</f>
        <v/>
      </c>
      <c r="AS6" s="6">
        <f>J6+S6+AB6+AK6+AQ6</f>
        <v/>
      </c>
      <c r="AT6" s="6">
        <f>C6-AS6</f>
        <v/>
      </c>
      <c r="AU6" s="6">
        <f>IFERROR(AS6/C6,0)</f>
        <v/>
      </c>
      <c r="AV6" s="6">
        <f>IF(AU6&gt;=1,"🟢 On Target",IF(AU6&gt;=0.7,"🟡 Watch","🔴 Critical"))</f>
        <v/>
      </c>
    </row>
    <row r="7">
      <c r="A7" s="13" t="inlineStr">
        <is>
          <t>Harinder</t>
        </is>
      </c>
      <c r="B7" s="6">
        <f>ROUND(C7/26,0)</f>
        <v/>
      </c>
      <c r="C7" s="5" t="n">
        <v>25000</v>
      </c>
      <c r="D7" s="6">
        <f>ROUND($C7*5/26,0)</f>
        <v/>
      </c>
      <c r="E7" s="14" t="n">
        <v>0</v>
      </c>
      <c r="F7" s="14" t="n">
        <v>0</v>
      </c>
      <c r="G7" s="14" t="n">
        <v>0</v>
      </c>
      <c r="H7" s="14" t="n">
        <v>0</v>
      </c>
      <c r="I7" s="14" t="n">
        <v>0</v>
      </c>
      <c r="J7" s="6">
        <f>SUM(E7:I7)</f>
        <v/>
      </c>
      <c r="K7" s="6">
        <f>D7-J7</f>
        <v/>
      </c>
      <c r="L7" s="6">
        <f>ROUND($C7*6/26,0)</f>
        <v/>
      </c>
      <c r="M7" s="14" t="n">
        <v>0</v>
      </c>
      <c r="N7" s="14" t="n">
        <v>0</v>
      </c>
      <c r="O7" s="14" t="n">
        <v>0</v>
      </c>
      <c r="P7" s="14" t="n">
        <v>0</v>
      </c>
      <c r="Q7" s="14" t="n">
        <v>0</v>
      </c>
      <c r="R7" s="14" t="n">
        <v>0</v>
      </c>
      <c r="S7" s="6">
        <f>SUM(M7:R7)</f>
        <v/>
      </c>
      <c r="T7" s="6">
        <f>L7-S7</f>
        <v/>
      </c>
      <c r="U7" s="6">
        <f>ROUND($C7*6/26,0)</f>
        <v/>
      </c>
      <c r="V7" s="14" t="n">
        <v>0</v>
      </c>
      <c r="W7" s="14" t="n">
        <v>0</v>
      </c>
      <c r="X7" s="14" t="n">
        <v>0</v>
      </c>
      <c r="Y7" s="14" t="n">
        <v>0</v>
      </c>
      <c r="Z7" s="14" t="n">
        <v>0</v>
      </c>
      <c r="AA7" s="14" t="n">
        <v>0</v>
      </c>
      <c r="AB7" s="6">
        <f>SUM(V7:AA7)</f>
        <v/>
      </c>
      <c r="AC7" s="6">
        <f>U7-AB7</f>
        <v/>
      </c>
      <c r="AD7" s="6">
        <f>ROUND($C7*6/26,0)</f>
        <v/>
      </c>
      <c r="AE7" s="14" t="n">
        <v>0</v>
      </c>
      <c r="AF7" s="14" t="n">
        <v>0</v>
      </c>
      <c r="AG7" s="14" t="n">
        <v>0</v>
      </c>
      <c r="AH7" s="14" t="n">
        <v>0</v>
      </c>
      <c r="AI7" s="14" t="n">
        <v>0</v>
      </c>
      <c r="AJ7" s="14" t="n">
        <v>0</v>
      </c>
      <c r="AK7" s="6">
        <f>SUM(AE7:AJ7)</f>
        <v/>
      </c>
      <c r="AL7" s="6">
        <f>AD7-AK7</f>
        <v/>
      </c>
      <c r="AM7" s="6">
        <f>ROUND($C7*3/26,0)</f>
        <v/>
      </c>
      <c r="AN7" s="14" t="n">
        <v>0</v>
      </c>
      <c r="AO7" s="14" t="n">
        <v>0</v>
      </c>
      <c r="AP7" s="14" t="n">
        <v>0</v>
      </c>
      <c r="AQ7" s="6">
        <f>SUM(AN7:AP7)</f>
        <v/>
      </c>
      <c r="AR7" s="6">
        <f>AM7-AQ7</f>
        <v/>
      </c>
      <c r="AS7" s="6">
        <f>J7+S7+AB7+AK7+AQ7</f>
        <v/>
      </c>
      <c r="AT7" s="6">
        <f>C7-AS7</f>
        <v/>
      </c>
      <c r="AU7" s="6">
        <f>IFERROR(AS7/C7,0)</f>
        <v/>
      </c>
      <c r="AV7" s="6">
        <f>IF(AU7&gt;=1,"🟢 On Target",IF(AU7&gt;=0.7,"🟡 Watch","🔴 Critical"))</f>
        <v/>
      </c>
    </row>
    <row r="8">
      <c r="A8" s="13" t="inlineStr">
        <is>
          <t>Rihab Travnook</t>
        </is>
      </c>
      <c r="B8" s="6">
        <f>ROUND(C8/26,0)</f>
        <v/>
      </c>
      <c r="C8" s="5" t="n">
        <v>25000</v>
      </c>
      <c r="D8" s="6">
        <f>ROUND($C8*5/26,0)</f>
        <v/>
      </c>
      <c r="E8" s="14" t="n">
        <v>0</v>
      </c>
      <c r="F8" s="14" t="n">
        <v>0</v>
      </c>
      <c r="G8" s="14" t="n">
        <v>0</v>
      </c>
      <c r="H8" s="14" t="n">
        <v>0</v>
      </c>
      <c r="I8" s="14" t="n">
        <v>0</v>
      </c>
      <c r="J8" s="6">
        <f>SUM(E8:I8)</f>
        <v/>
      </c>
      <c r="K8" s="6">
        <f>D8-J8</f>
        <v/>
      </c>
      <c r="L8" s="6">
        <f>ROUND($C8*6/26,0)</f>
        <v/>
      </c>
      <c r="M8" s="14" t="n">
        <v>0</v>
      </c>
      <c r="N8" s="14" t="n">
        <v>0</v>
      </c>
      <c r="O8" s="14" t="n">
        <v>0</v>
      </c>
      <c r="P8" s="14" t="n">
        <v>0</v>
      </c>
      <c r="Q8" s="14" t="n">
        <v>0</v>
      </c>
      <c r="R8" s="14" t="n">
        <v>0</v>
      </c>
      <c r="S8" s="6">
        <f>SUM(M8:R8)</f>
        <v/>
      </c>
      <c r="T8" s="6">
        <f>L8-S8</f>
        <v/>
      </c>
      <c r="U8" s="6">
        <f>ROUND($C8*6/26,0)</f>
        <v/>
      </c>
      <c r="V8" s="14" t="n">
        <v>0</v>
      </c>
      <c r="W8" s="14" t="n">
        <v>0</v>
      </c>
      <c r="X8" s="14" t="n">
        <v>0</v>
      </c>
      <c r="Y8" s="14" t="n">
        <v>0</v>
      </c>
      <c r="Z8" s="14" t="n">
        <v>0</v>
      </c>
      <c r="AA8" s="14" t="n">
        <v>0</v>
      </c>
      <c r="AB8" s="6">
        <f>SUM(V8:AA8)</f>
        <v/>
      </c>
      <c r="AC8" s="6">
        <f>U8-AB8</f>
        <v/>
      </c>
      <c r="AD8" s="6">
        <f>ROUND($C8*6/26,0)</f>
        <v/>
      </c>
      <c r="AE8" s="14" t="n">
        <v>0</v>
      </c>
      <c r="AF8" s="14" t="n">
        <v>0</v>
      </c>
      <c r="AG8" s="14" t="n">
        <v>0</v>
      </c>
      <c r="AH8" s="14" t="n">
        <v>0</v>
      </c>
      <c r="AI8" s="14" t="n">
        <v>0</v>
      </c>
      <c r="AJ8" s="14" t="n">
        <v>0</v>
      </c>
      <c r="AK8" s="6">
        <f>SUM(AE8:AJ8)</f>
        <v/>
      </c>
      <c r="AL8" s="6">
        <f>AD8-AK8</f>
        <v/>
      </c>
      <c r="AM8" s="6">
        <f>ROUND($C8*3/26,0)</f>
        <v/>
      </c>
      <c r="AN8" s="14" t="n">
        <v>0</v>
      </c>
      <c r="AO8" s="14" t="n">
        <v>0</v>
      </c>
      <c r="AP8" s="14" t="n">
        <v>0</v>
      </c>
      <c r="AQ8" s="6">
        <f>SUM(AN8:AP8)</f>
        <v/>
      </c>
      <c r="AR8" s="6">
        <f>AM8-AQ8</f>
        <v/>
      </c>
      <c r="AS8" s="6">
        <f>J8+S8+AB8+AK8+AQ8</f>
        <v/>
      </c>
      <c r="AT8" s="6">
        <f>C8-AS8</f>
        <v/>
      </c>
      <c r="AU8" s="6">
        <f>IFERROR(AS8/C8,0)</f>
        <v/>
      </c>
      <c r="AV8" s="6">
        <f>IF(AU8&gt;=1,"🟢 On Target",IF(AU8&gt;=0.7,"🟡 Watch","🔴 Critical"))</f>
        <v/>
      </c>
    </row>
    <row r="9">
      <c r="A9" s="13" t="inlineStr">
        <is>
          <t>Ibrahim Travnook</t>
        </is>
      </c>
      <c r="B9" s="6">
        <f>ROUND(C9/26,0)</f>
        <v/>
      </c>
      <c r="C9" s="5" t="n">
        <v>25000</v>
      </c>
      <c r="D9" s="6">
        <f>ROUND($C9*5/26,0)</f>
        <v/>
      </c>
      <c r="E9" s="14" t="n">
        <v>0</v>
      </c>
      <c r="F9" s="14" t="n">
        <v>0</v>
      </c>
      <c r="G9" s="14" t="n">
        <v>0</v>
      </c>
      <c r="H9" s="14" t="n">
        <v>0</v>
      </c>
      <c r="I9" s="14" t="n">
        <v>0</v>
      </c>
      <c r="J9" s="6">
        <f>SUM(E9:I9)</f>
        <v/>
      </c>
      <c r="K9" s="6">
        <f>D9-J9</f>
        <v/>
      </c>
      <c r="L9" s="6">
        <f>ROUND($C9*6/26,0)</f>
        <v/>
      </c>
      <c r="M9" s="14" t="n">
        <v>0</v>
      </c>
      <c r="N9" s="14" t="n">
        <v>0</v>
      </c>
      <c r="O9" s="14" t="n">
        <v>0</v>
      </c>
      <c r="P9" s="14" t="n">
        <v>0</v>
      </c>
      <c r="Q9" s="14" t="n">
        <v>0</v>
      </c>
      <c r="R9" s="14" t="n">
        <v>0</v>
      </c>
      <c r="S9" s="6">
        <f>SUM(M9:R9)</f>
        <v/>
      </c>
      <c r="T9" s="6">
        <f>L9-S9</f>
        <v/>
      </c>
      <c r="U9" s="6">
        <f>ROUND($C9*6/26,0)</f>
        <v/>
      </c>
      <c r="V9" s="14" t="n">
        <v>0</v>
      </c>
      <c r="W9" s="14" t="n">
        <v>0</v>
      </c>
      <c r="X9" s="14" t="n">
        <v>0</v>
      </c>
      <c r="Y9" s="14" t="n">
        <v>0</v>
      </c>
      <c r="Z9" s="14" t="n">
        <v>0</v>
      </c>
      <c r="AA9" s="14" t="n">
        <v>0</v>
      </c>
      <c r="AB9" s="6">
        <f>SUM(V9:AA9)</f>
        <v/>
      </c>
      <c r="AC9" s="6">
        <f>U9-AB9</f>
        <v/>
      </c>
      <c r="AD9" s="6">
        <f>ROUND($C9*6/26,0)</f>
        <v/>
      </c>
      <c r="AE9" s="14" t="n">
        <v>0</v>
      </c>
      <c r="AF9" s="14" t="n">
        <v>0</v>
      </c>
      <c r="AG9" s="14" t="n">
        <v>0</v>
      </c>
      <c r="AH9" s="14" t="n">
        <v>0</v>
      </c>
      <c r="AI9" s="14" t="n">
        <v>0</v>
      </c>
      <c r="AJ9" s="14" t="n">
        <v>0</v>
      </c>
      <c r="AK9" s="6">
        <f>SUM(AE9:AJ9)</f>
        <v/>
      </c>
      <c r="AL9" s="6">
        <f>AD9-AK9</f>
        <v/>
      </c>
      <c r="AM9" s="6">
        <f>ROUND($C9*3/26,0)</f>
        <v/>
      </c>
      <c r="AN9" s="14" t="n">
        <v>0</v>
      </c>
      <c r="AO9" s="14" t="n">
        <v>0</v>
      </c>
      <c r="AP9" s="14" t="n">
        <v>0</v>
      </c>
      <c r="AQ9" s="6">
        <f>SUM(AN9:AP9)</f>
        <v/>
      </c>
      <c r="AR9" s="6">
        <f>AM9-AQ9</f>
        <v/>
      </c>
      <c r="AS9" s="6">
        <f>J9+S9+AB9+AK9+AQ9</f>
        <v/>
      </c>
      <c r="AT9" s="6">
        <f>C9-AS9</f>
        <v/>
      </c>
      <c r="AU9" s="6">
        <f>IFERROR(AS9/C9,0)</f>
        <v/>
      </c>
      <c r="AV9" s="6">
        <f>IF(AU9&gt;=1,"🟢 On Target",IF(AU9&gt;=0.7,"🟡 Watch","🔴 Critical"))</f>
        <v/>
      </c>
    </row>
    <row r="10">
      <c r="A10" s="13" t="inlineStr">
        <is>
          <t>Chaimaa Benchohra</t>
        </is>
      </c>
      <c r="B10" s="6">
        <f>ROUND(C10/26,0)</f>
        <v/>
      </c>
      <c r="C10" s="5" t="n">
        <v>25000</v>
      </c>
      <c r="D10" s="6">
        <f>ROUND($C10*5/26,0)</f>
        <v/>
      </c>
      <c r="E10" s="14" t="n">
        <v>0</v>
      </c>
      <c r="F10" s="14" t="n">
        <v>0</v>
      </c>
      <c r="G10" s="14" t="n">
        <v>0</v>
      </c>
      <c r="H10" s="14" t="n">
        <v>0</v>
      </c>
      <c r="I10" s="14" t="n">
        <v>0</v>
      </c>
      <c r="J10" s="6">
        <f>SUM(E10:I10)</f>
        <v/>
      </c>
      <c r="K10" s="6">
        <f>D10-J10</f>
        <v/>
      </c>
      <c r="L10" s="6">
        <f>ROUND($C10*6/26,0)</f>
        <v/>
      </c>
      <c r="M10" s="14" t="n">
        <v>0</v>
      </c>
      <c r="N10" s="14" t="n">
        <v>0</v>
      </c>
      <c r="O10" s="14" t="n">
        <v>0</v>
      </c>
      <c r="P10" s="14" t="n">
        <v>0</v>
      </c>
      <c r="Q10" s="14" t="n">
        <v>0</v>
      </c>
      <c r="R10" s="14" t="n">
        <v>0</v>
      </c>
      <c r="S10" s="6">
        <f>SUM(M10:R10)</f>
        <v/>
      </c>
      <c r="T10" s="6">
        <f>L10-S10</f>
        <v/>
      </c>
      <c r="U10" s="6">
        <f>ROUND($C10*6/26,0)</f>
        <v/>
      </c>
      <c r="V10" s="14" t="n">
        <v>0</v>
      </c>
      <c r="W10" s="14" t="n">
        <v>0</v>
      </c>
      <c r="X10" s="14" t="n">
        <v>0</v>
      </c>
      <c r="Y10" s="14" t="n">
        <v>0</v>
      </c>
      <c r="Z10" s="14" t="n">
        <v>0</v>
      </c>
      <c r="AA10" s="14" t="n">
        <v>0</v>
      </c>
      <c r="AB10" s="6">
        <f>SUM(V10:AA10)</f>
        <v/>
      </c>
      <c r="AC10" s="6">
        <f>U10-AB10</f>
        <v/>
      </c>
      <c r="AD10" s="6">
        <f>ROUND($C10*6/26,0)</f>
        <v/>
      </c>
      <c r="AE10" s="14" t="n">
        <v>0</v>
      </c>
      <c r="AF10" s="14" t="n">
        <v>0</v>
      </c>
      <c r="AG10" s="14" t="n">
        <v>0</v>
      </c>
      <c r="AH10" s="14" t="n">
        <v>0</v>
      </c>
      <c r="AI10" s="14" t="n">
        <v>0</v>
      </c>
      <c r="AJ10" s="14" t="n">
        <v>0</v>
      </c>
      <c r="AK10" s="6">
        <f>SUM(AE10:AJ10)</f>
        <v/>
      </c>
      <c r="AL10" s="6">
        <f>AD10-AK10</f>
        <v/>
      </c>
      <c r="AM10" s="6">
        <f>ROUND($C10*3/26,0)</f>
        <v/>
      </c>
      <c r="AN10" s="14" t="n">
        <v>0</v>
      </c>
      <c r="AO10" s="14" t="n">
        <v>0</v>
      </c>
      <c r="AP10" s="14" t="n">
        <v>0</v>
      </c>
      <c r="AQ10" s="6">
        <f>SUM(AN10:AP10)</f>
        <v/>
      </c>
      <c r="AR10" s="6">
        <f>AM10-AQ10</f>
        <v/>
      </c>
      <c r="AS10" s="6">
        <f>J10+S10+AB10+AK10+AQ10</f>
        <v/>
      </c>
      <c r="AT10" s="6">
        <f>C10-AS10</f>
        <v/>
      </c>
      <c r="AU10" s="6">
        <f>IFERROR(AS10/C10,0)</f>
        <v/>
      </c>
      <c r="AV10" s="6">
        <f>IF(AU10&gt;=1,"🟢 On Target",IF(AU10&gt;=0.7,"🟡 Watch","🔴 Critical"))</f>
        <v/>
      </c>
    </row>
    <row r="11">
      <c r="A11" s="13" t="inlineStr">
        <is>
          <t>Saha Travnook</t>
        </is>
      </c>
      <c r="B11" s="6">
        <f>ROUND(C11/26,0)</f>
        <v/>
      </c>
      <c r="C11" s="5" t="n">
        <v>25000</v>
      </c>
      <c r="D11" s="6">
        <f>ROUND($C11*5/26,0)</f>
        <v/>
      </c>
      <c r="E11" s="14" t="n">
        <v>0</v>
      </c>
      <c r="F11" s="14" t="n">
        <v>0</v>
      </c>
      <c r="G11" s="14" t="n">
        <v>0</v>
      </c>
      <c r="H11" s="14" t="n">
        <v>0</v>
      </c>
      <c r="I11" s="14" t="n">
        <v>0</v>
      </c>
      <c r="J11" s="6">
        <f>SUM(E11:I11)</f>
        <v/>
      </c>
      <c r="K11" s="6">
        <f>D11-J11</f>
        <v/>
      </c>
      <c r="L11" s="6">
        <f>ROUND($C11*6/26,0)</f>
        <v/>
      </c>
      <c r="M11" s="14" t="n">
        <v>0</v>
      </c>
      <c r="N11" s="14" t="n">
        <v>0</v>
      </c>
      <c r="O11" s="14" t="n">
        <v>0</v>
      </c>
      <c r="P11" s="14" t="n">
        <v>0</v>
      </c>
      <c r="Q11" s="14" t="n">
        <v>0</v>
      </c>
      <c r="R11" s="14" t="n">
        <v>0</v>
      </c>
      <c r="S11" s="6">
        <f>SUM(M11:R11)</f>
        <v/>
      </c>
      <c r="T11" s="6">
        <f>L11-S11</f>
        <v/>
      </c>
      <c r="U11" s="6">
        <f>ROUND($C11*6/26,0)</f>
        <v/>
      </c>
      <c r="V11" s="14" t="n">
        <v>0</v>
      </c>
      <c r="W11" s="14" t="n">
        <v>0</v>
      </c>
      <c r="X11" s="14" t="n">
        <v>0</v>
      </c>
      <c r="Y11" s="14" t="n">
        <v>0</v>
      </c>
      <c r="Z11" s="14" t="n">
        <v>0</v>
      </c>
      <c r="AA11" s="14" t="n">
        <v>0</v>
      </c>
      <c r="AB11" s="6">
        <f>SUM(V11:AA11)</f>
        <v/>
      </c>
      <c r="AC11" s="6">
        <f>U11-AB11</f>
        <v/>
      </c>
      <c r="AD11" s="6">
        <f>ROUND($C11*6/26,0)</f>
        <v/>
      </c>
      <c r="AE11" s="14" t="n">
        <v>0</v>
      </c>
      <c r="AF11" s="14" t="n">
        <v>0</v>
      </c>
      <c r="AG11" s="14" t="n">
        <v>0</v>
      </c>
      <c r="AH11" s="14" t="n">
        <v>0</v>
      </c>
      <c r="AI11" s="14" t="n">
        <v>0</v>
      </c>
      <c r="AJ11" s="14" t="n">
        <v>0</v>
      </c>
      <c r="AK11" s="6">
        <f>SUM(AE11:AJ11)</f>
        <v/>
      </c>
      <c r="AL11" s="6">
        <f>AD11-AK11</f>
        <v/>
      </c>
      <c r="AM11" s="6">
        <f>ROUND($C11*3/26,0)</f>
        <v/>
      </c>
      <c r="AN11" s="14" t="n">
        <v>0</v>
      </c>
      <c r="AO11" s="14" t="n">
        <v>0</v>
      </c>
      <c r="AP11" s="14" t="n">
        <v>0</v>
      </c>
      <c r="AQ11" s="6">
        <f>SUM(AN11:AP11)</f>
        <v/>
      </c>
      <c r="AR11" s="6">
        <f>AM11-AQ11</f>
        <v/>
      </c>
      <c r="AS11" s="6">
        <f>J11+S11+AB11+AK11+AQ11</f>
        <v/>
      </c>
      <c r="AT11" s="6">
        <f>C11-AS11</f>
        <v/>
      </c>
      <c r="AU11" s="6">
        <f>IFERROR(AS11/C11,0)</f>
        <v/>
      </c>
      <c r="AV11" s="6">
        <f>IF(AU11&gt;=1,"🟢 On Target",IF(AU11&gt;=0.7,"🟡 Watch","🔴 Critical"))</f>
        <v/>
      </c>
    </row>
    <row r="12">
      <c r="A12" s="13" t="inlineStr">
        <is>
          <t>Alshimaa Ahmed</t>
        </is>
      </c>
      <c r="B12" s="6">
        <f>ROUND(C12/26,0)</f>
        <v/>
      </c>
      <c r="C12" s="5" t="n">
        <v>25000</v>
      </c>
      <c r="D12" s="6">
        <f>ROUND($C12*5/26,0)</f>
        <v/>
      </c>
      <c r="E12" s="14" t="n">
        <v>0</v>
      </c>
      <c r="F12" s="14" t="n">
        <v>0</v>
      </c>
      <c r="G12" s="14" t="n">
        <v>0</v>
      </c>
      <c r="H12" s="14" t="n">
        <v>0</v>
      </c>
      <c r="I12" s="14" t="n">
        <v>0</v>
      </c>
      <c r="J12" s="6">
        <f>SUM(E12:I12)</f>
        <v/>
      </c>
      <c r="K12" s="6">
        <f>D12-J12</f>
        <v/>
      </c>
      <c r="L12" s="6">
        <f>ROUND($C12*6/26,0)</f>
        <v/>
      </c>
      <c r="M12" s="14" t="n">
        <v>0</v>
      </c>
      <c r="N12" s="14" t="n">
        <v>0</v>
      </c>
      <c r="O12" s="14" t="n">
        <v>0</v>
      </c>
      <c r="P12" s="14" t="n">
        <v>0</v>
      </c>
      <c r="Q12" s="14" t="n">
        <v>0</v>
      </c>
      <c r="R12" s="14" t="n">
        <v>0</v>
      </c>
      <c r="S12" s="6">
        <f>SUM(M12:R12)</f>
        <v/>
      </c>
      <c r="T12" s="6">
        <f>L12-S12</f>
        <v/>
      </c>
      <c r="U12" s="6">
        <f>ROUND($C12*6/26,0)</f>
        <v/>
      </c>
      <c r="V12" s="14" t="n">
        <v>0</v>
      </c>
      <c r="W12" s="14" t="n">
        <v>0</v>
      </c>
      <c r="X12" s="14" t="n">
        <v>0</v>
      </c>
      <c r="Y12" s="14" t="n">
        <v>0</v>
      </c>
      <c r="Z12" s="14" t="n">
        <v>0</v>
      </c>
      <c r="AA12" s="14" t="n">
        <v>0</v>
      </c>
      <c r="AB12" s="6">
        <f>SUM(V12:AA12)</f>
        <v/>
      </c>
      <c r="AC12" s="6">
        <f>U12-AB12</f>
        <v/>
      </c>
      <c r="AD12" s="6">
        <f>ROUND($C12*6/26,0)</f>
        <v/>
      </c>
      <c r="AE12" s="14" t="n">
        <v>0</v>
      </c>
      <c r="AF12" s="14" t="n">
        <v>0</v>
      </c>
      <c r="AG12" s="14" t="n">
        <v>0</v>
      </c>
      <c r="AH12" s="14" t="n">
        <v>0</v>
      </c>
      <c r="AI12" s="14" t="n">
        <v>0</v>
      </c>
      <c r="AJ12" s="14" t="n">
        <v>0</v>
      </c>
      <c r="AK12" s="6">
        <f>SUM(AE12:AJ12)</f>
        <v/>
      </c>
      <c r="AL12" s="6">
        <f>AD12-AK12</f>
        <v/>
      </c>
      <c r="AM12" s="6">
        <f>ROUND($C12*3/26,0)</f>
        <v/>
      </c>
      <c r="AN12" s="14" t="n">
        <v>0</v>
      </c>
      <c r="AO12" s="14" t="n">
        <v>0</v>
      </c>
      <c r="AP12" s="14" t="n">
        <v>0</v>
      </c>
      <c r="AQ12" s="6">
        <f>SUM(AN12:AP12)</f>
        <v/>
      </c>
      <c r="AR12" s="6">
        <f>AM12-AQ12</f>
        <v/>
      </c>
      <c r="AS12" s="6">
        <f>J12+S12+AB12+AK12+AQ12</f>
        <v/>
      </c>
      <c r="AT12" s="6">
        <f>C12-AS12</f>
        <v/>
      </c>
      <c r="AU12" s="6">
        <f>IFERROR(AS12/C12,0)</f>
        <v/>
      </c>
      <c r="AV12" s="6">
        <f>IF(AU12&gt;=1,"🟢 On Target",IF(AU12&gt;=0.7,"🟡 Watch","🔴 Critical"))</f>
        <v/>
      </c>
    </row>
    <row r="13">
      <c r="A13" s="13" t="inlineStr">
        <is>
          <t>Khozema Nogamawala</t>
        </is>
      </c>
      <c r="B13" s="6">
        <f>ROUND(C13/26,0)</f>
        <v/>
      </c>
      <c r="C13" s="5" t="n">
        <v>25000</v>
      </c>
      <c r="D13" s="6">
        <f>ROUND($C13*5/26,0)</f>
        <v/>
      </c>
      <c r="E13" s="14" t="n">
        <v>0</v>
      </c>
      <c r="F13" s="14" t="n">
        <v>0</v>
      </c>
      <c r="G13" s="14" t="n">
        <v>0</v>
      </c>
      <c r="H13" s="14" t="n">
        <v>0</v>
      </c>
      <c r="I13" s="14" t="n">
        <v>0</v>
      </c>
      <c r="J13" s="6">
        <f>SUM(E13:I13)</f>
        <v/>
      </c>
      <c r="K13" s="6">
        <f>D13-J13</f>
        <v/>
      </c>
      <c r="L13" s="6">
        <f>ROUND($C13*6/26,0)</f>
        <v/>
      </c>
      <c r="M13" s="14" t="n">
        <v>0</v>
      </c>
      <c r="N13" s="14" t="n">
        <v>0</v>
      </c>
      <c r="O13" s="14" t="n">
        <v>0</v>
      </c>
      <c r="P13" s="14" t="n">
        <v>0</v>
      </c>
      <c r="Q13" s="14" t="n">
        <v>0</v>
      </c>
      <c r="R13" s="14" t="n">
        <v>0</v>
      </c>
      <c r="S13" s="6">
        <f>SUM(M13:R13)</f>
        <v/>
      </c>
      <c r="T13" s="6">
        <f>L13-S13</f>
        <v/>
      </c>
      <c r="U13" s="6">
        <f>ROUND($C13*6/26,0)</f>
        <v/>
      </c>
      <c r="V13" s="14" t="n">
        <v>0</v>
      </c>
      <c r="W13" s="14" t="n">
        <v>0</v>
      </c>
      <c r="X13" s="14" t="n">
        <v>0</v>
      </c>
      <c r="Y13" s="14" t="n">
        <v>0</v>
      </c>
      <c r="Z13" s="14" t="n">
        <v>0</v>
      </c>
      <c r="AA13" s="14" t="n">
        <v>0</v>
      </c>
      <c r="AB13" s="6">
        <f>SUM(V13:AA13)</f>
        <v/>
      </c>
      <c r="AC13" s="6">
        <f>U13-AB13</f>
        <v/>
      </c>
      <c r="AD13" s="6">
        <f>ROUND($C13*6/26,0)</f>
        <v/>
      </c>
      <c r="AE13" s="14" t="n">
        <v>0</v>
      </c>
      <c r="AF13" s="14" t="n">
        <v>0</v>
      </c>
      <c r="AG13" s="14" t="n">
        <v>0</v>
      </c>
      <c r="AH13" s="14" t="n">
        <v>0</v>
      </c>
      <c r="AI13" s="14" t="n">
        <v>0</v>
      </c>
      <c r="AJ13" s="14" t="n">
        <v>0</v>
      </c>
      <c r="AK13" s="6">
        <f>SUM(AE13:AJ13)</f>
        <v/>
      </c>
      <c r="AL13" s="6">
        <f>AD13-AK13</f>
        <v/>
      </c>
      <c r="AM13" s="6">
        <f>ROUND($C13*3/26,0)</f>
        <v/>
      </c>
      <c r="AN13" s="14" t="n">
        <v>0</v>
      </c>
      <c r="AO13" s="14" t="n">
        <v>0</v>
      </c>
      <c r="AP13" s="14" t="n">
        <v>0</v>
      </c>
      <c r="AQ13" s="6">
        <f>SUM(AN13:AP13)</f>
        <v/>
      </c>
      <c r="AR13" s="6">
        <f>AM13-AQ13</f>
        <v/>
      </c>
      <c r="AS13" s="6">
        <f>J13+S13+AB13+AK13+AQ13</f>
        <v/>
      </c>
      <c r="AT13" s="6">
        <f>C13-AS13</f>
        <v/>
      </c>
      <c r="AU13" s="6">
        <f>IFERROR(AS13/C13,0)</f>
        <v/>
      </c>
      <c r="AV13" s="6">
        <f>IF(AU13&gt;=1,"🟢 On Target",IF(AU13&gt;=0.7,"🟡 Watch","🔴 Critical"))</f>
        <v/>
      </c>
    </row>
    <row r="14">
      <c r="A14" s="8" t="inlineStr">
        <is>
          <t>TEAM TOTAL</t>
        </is>
      </c>
      <c r="B14" s="8">
        <f>SUM(B6:B13)</f>
        <v/>
      </c>
      <c r="C14" s="8">
        <f>SUM(C6:C13)</f>
        <v/>
      </c>
      <c r="D14" s="8">
        <f>SUM(D6:D13)</f>
        <v/>
      </c>
      <c r="J14" s="8">
        <f>SUM(J6:J13)</f>
        <v/>
      </c>
      <c r="K14" s="8">
        <f>SUM(K6:K13)</f>
        <v/>
      </c>
      <c r="L14" s="8">
        <f>SUM(L6:L13)</f>
        <v/>
      </c>
      <c r="S14" s="8">
        <f>SUM(S6:S13)</f>
        <v/>
      </c>
      <c r="T14" s="8">
        <f>SUM(T6:T13)</f>
        <v/>
      </c>
      <c r="U14" s="8">
        <f>SUM(U6:U13)</f>
        <v/>
      </c>
      <c r="AB14" s="8">
        <f>SUM(AB6:AB13)</f>
        <v/>
      </c>
      <c r="AC14" s="8">
        <f>SUM(AC6:AC13)</f>
        <v/>
      </c>
      <c r="AD14" s="8">
        <f>SUM(AD6:AD13)</f>
        <v/>
      </c>
      <c r="AK14" s="8">
        <f>SUM(AK6:AK13)</f>
        <v/>
      </c>
      <c r="AL14" s="8">
        <f>SUM(AL6:AL13)</f>
        <v/>
      </c>
      <c r="AM14" s="8">
        <f>SUM(AM6:AM13)</f>
        <v/>
      </c>
      <c r="AQ14" s="8">
        <f>SUM(AQ6:AQ13)</f>
        <v/>
      </c>
      <c r="AR14" s="8">
        <f>SUM(AR6:AR13)</f>
        <v/>
      </c>
      <c r="AS14" s="8">
        <f>SUM(AS6:AS13)</f>
        <v/>
      </c>
      <c r="AT14" s="8">
        <f>SUM(AT6:AT13)</f>
        <v/>
      </c>
      <c r="AU14" s="8">
        <f>IFERROR(AS14/C14,0)</f>
        <v/>
      </c>
      <c r="AV14" s="8">
        <f>IF(AU14&gt;=1,"🟢 On Target",IF(AU14&gt;=0.7,"🟡 Watch","🔴 Critical"))</f>
        <v/>
      </c>
    </row>
    <row r="16">
      <c r="A16" s="3" t="inlineStr">
        <is>
          <t>MID-MONTH CHECKPOINT (through 12 Sep / WK1–WK2)</t>
        </is>
      </c>
      <c r="D16" s="11">
        <f>"Team actual: AED "&amp;TEXT(J14+S14,"#,##0")&amp;"   |   Aim: AED 71,923 team (against AED 170,000 team target)"</f>
        <v/>
      </c>
    </row>
  </sheetData>
  <mergeCells count="17">
    <mergeCell ref="L4:T4"/>
    <mergeCell ref="B4:B5"/>
    <mergeCell ref="A1:AV1"/>
    <mergeCell ref="C4:C5"/>
    <mergeCell ref="A4:A5"/>
    <mergeCell ref="A16:C16"/>
    <mergeCell ref="AV4:AV5"/>
    <mergeCell ref="AT4:AT5"/>
    <mergeCell ref="AU4:AU5"/>
    <mergeCell ref="A3:AV3"/>
    <mergeCell ref="AD4:AL4"/>
    <mergeCell ref="AM4:AR4"/>
    <mergeCell ref="AS4:AS5"/>
    <mergeCell ref="D16:AV16"/>
    <mergeCell ref="U4:AC4"/>
    <mergeCell ref="D4:K4"/>
    <mergeCell ref="A2:AV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2026-09-09T14:27:34Z</dcterms:created>
  <dcterms:modified xsi:type="dcterms:W3CDTF">2026-09-09T14:27:34Z</dcterms:modified>
</cp:coreProperties>
</file>