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3864"/>
      <sz val="9"/>
    </font>
    <font>
      <name val="Arial"/>
      <b val="1"/>
      <color rgb="FF1F3864"/>
      <sz val="9"/>
    </font>
    <font>
      <name val="Arial"/>
      <b val="1"/>
      <color rgb="FFFFFFFF"/>
      <sz val="9"/>
    </font>
    <font>
      <name val="Arial"/>
      <color rgb="FF0000FF"/>
      <sz val="9"/>
    </font>
    <font>
      <name val="Arial"/>
      <sz val="9"/>
    </font>
    <font>
      <name val="Arial"/>
      <b val="1"/>
      <sz val="9"/>
    </font>
    <font>
      <name val="Arial"/>
      <b val="1"/>
      <color rgb="FFC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9" fontId="7" fillId="5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2" customWidth="1" min="5" max="5"/>
    <col width="14" customWidth="1" min="6" max="6"/>
  </cols>
  <sheetData>
    <row r="1" ht="25.5" customHeight="1">
      <c r="A1" s="1" t="inlineStr">
        <is>
          <t>TRAVNOOK TRAVEL &amp; TOURISM — WEEKLY SALES REPORT</t>
        </is>
      </c>
    </row>
    <row r="2">
      <c r="A2" s="2" t="inlineStr">
        <is>
          <t>Week Ending: 12-Sep-2026 (assumed — confirm actual week)   |   Team Lead: Bindhi   |   Default Monthly Target: AED 25,000/agent   |   Override: Layan (ATL) AED 20,000/mo, Chaima AED 20,000/mo</t>
        </is>
      </c>
    </row>
    <row r="4">
      <c r="A4" s="3" t="inlineStr">
        <is>
          <t>▼  TEAM SUMMARY</t>
        </is>
      </c>
    </row>
    <row r="5" ht="20" customHeight="1">
      <c r="A5" s="4" t="inlineStr">
        <is>
          <t>TEAM TARGET</t>
        </is>
      </c>
      <c r="B5" s="4" t="inlineStr">
        <is>
          <t>TEAM ACHIEVED</t>
        </is>
      </c>
      <c r="C5" s="4" t="inlineStr">
        <is>
          <t>GAP</t>
        </is>
      </c>
      <c r="D5" s="4" t="inlineStr">
        <is>
          <t>% ACHIEVED</t>
        </is>
      </c>
      <c r="E5" s="4" t="inlineStr">
        <is>
          <t>TOP PERFORMER</t>
        </is>
      </c>
      <c r="F5" s="4" t="inlineStr">
        <is>
          <t>STATUS</t>
        </is>
      </c>
    </row>
    <row r="6">
      <c r="A6" s="5" t="n">
        <v>43844</v>
      </c>
      <c r="B6" s="5">
        <f>C18</f>
        <v/>
      </c>
      <c r="C6" s="5">
        <f>A6-B6</f>
        <v/>
      </c>
      <c r="D6" s="6">
        <f>IFERROR(B6/A6,0)</f>
        <v/>
      </c>
      <c r="E6" s="5">
        <f>INDEX(A10:A17,MATCH(MAX(C10:C17),C10:C17,0))</f>
        <v/>
      </c>
      <c r="F6" s="5">
        <f>IF(D6&gt;=1,"🟢 On Target",IF(D6&gt;=0.7,"🟡 Watch","🔴 Critical"))</f>
        <v/>
      </c>
    </row>
    <row r="8">
      <c r="A8" s="3" t="inlineStr">
        <is>
          <t>▼  INDIVIDUAL PERFORMANCE</t>
        </is>
      </c>
    </row>
    <row r="9">
      <c r="A9" s="4" t="inlineStr">
        <is>
          <t>AGENT</t>
        </is>
      </c>
      <c r="B9" s="4" t="inlineStr">
        <is>
          <t>WEEKLY TARGET</t>
        </is>
      </c>
      <c r="C9" s="4" t="inlineStr">
        <is>
          <t>ACHIEVED</t>
        </is>
      </c>
      <c r="D9" s="4" t="inlineStr">
        <is>
          <t>GAP</t>
        </is>
      </c>
      <c r="E9" s="4" t="inlineStr">
        <is>
          <t>% ACHIEVED</t>
        </is>
      </c>
      <c r="F9" s="4" t="inlineStr">
        <is>
          <t>STATUS</t>
        </is>
      </c>
    </row>
    <row r="10">
      <c r="A10" s="7" t="inlineStr">
        <is>
          <t>Harinder</t>
        </is>
      </c>
      <c r="B10" s="5" t="n">
        <v>5769</v>
      </c>
      <c r="C10" s="5" t="n">
        <v>12494</v>
      </c>
      <c r="D10" s="5">
        <f>B10-C10</f>
        <v/>
      </c>
      <c r="E10" s="6">
        <f>IFERROR(C10/B10,0)</f>
        <v/>
      </c>
      <c r="F10" s="8">
        <f>IF(E10&gt;=1,"🟢 On Target",IF(E10&gt;=0.7,"🟡 Watch","🔴 Critical"))</f>
        <v/>
      </c>
    </row>
    <row r="11">
      <c r="A11" s="7" t="inlineStr">
        <is>
          <t>Ibrahim</t>
        </is>
      </c>
      <c r="B11" s="5" t="n">
        <v>5769</v>
      </c>
      <c r="C11" s="5" t="n">
        <v>11353</v>
      </c>
      <c r="D11" s="5">
        <f>B11-C11</f>
        <v/>
      </c>
      <c r="E11" s="6">
        <f>IFERROR(C11/B11,0)</f>
        <v/>
      </c>
      <c r="F11" s="8">
        <f>IF(E11&gt;=1,"🟢 On Target",IF(E11&gt;=0.7,"🟡 Watch","🔴 Critical"))</f>
        <v/>
      </c>
    </row>
    <row r="12">
      <c r="A12" s="7" t="inlineStr">
        <is>
          <t>Layan (ATL)</t>
        </is>
      </c>
      <c r="B12" s="5" t="n">
        <v>4615</v>
      </c>
      <c r="C12" s="5" t="n">
        <v>8600</v>
      </c>
      <c r="D12" s="5">
        <f>B12-C12</f>
        <v/>
      </c>
      <c r="E12" s="6">
        <f>IFERROR(C12/B12,0)</f>
        <v/>
      </c>
      <c r="F12" s="8">
        <f>IF(E12&gt;=1,"🟢 On Target",IF(E12&gt;=0.7,"🟡 Watch","🔴 Critical"))</f>
        <v/>
      </c>
    </row>
    <row r="13">
      <c r="A13" s="7" t="inlineStr">
        <is>
          <t>Chaima</t>
        </is>
      </c>
      <c r="B13" s="5" t="n">
        <v>4615</v>
      </c>
      <c r="C13" s="5" t="n">
        <v>8041</v>
      </c>
      <c r="D13" s="5">
        <f>B13-C13</f>
        <v/>
      </c>
      <c r="E13" s="6">
        <f>IFERROR(C13/B13,0)</f>
        <v/>
      </c>
      <c r="F13" s="8">
        <f>IF(E13&gt;=1,"🟢 On Target",IF(E13&gt;=0.7,"🟡 Watch","🔴 Critical"))</f>
        <v/>
      </c>
    </row>
    <row r="14">
      <c r="A14" s="7" t="inlineStr">
        <is>
          <t>Rihab</t>
        </is>
      </c>
      <c r="B14" s="5" t="n">
        <v>5769</v>
      </c>
      <c r="C14" s="5" t="n">
        <v>5874</v>
      </c>
      <c r="D14" s="5">
        <f>B14-C14</f>
        <v/>
      </c>
      <c r="E14" s="6">
        <f>IFERROR(C14/B14,0)</f>
        <v/>
      </c>
      <c r="F14" s="8">
        <f>IF(E14&gt;=1,"🟢 On Target",IF(E14&gt;=0.7,"🟡 Watch","🔴 Critical"))</f>
        <v/>
      </c>
    </row>
    <row r="15">
      <c r="A15" s="7" t="inlineStr">
        <is>
          <t>Khosema</t>
        </is>
      </c>
      <c r="B15" s="5" t="n">
        <v>5769</v>
      </c>
      <c r="C15" s="5" t="n">
        <v>2550</v>
      </c>
      <c r="D15" s="5">
        <f>B15-C15</f>
        <v/>
      </c>
      <c r="E15" s="6">
        <f>IFERROR(C15/B15,0)</f>
        <v/>
      </c>
      <c r="F15" s="9">
        <f>IF(E15&gt;=1,"🟢 On Target",IF(E15&gt;=0.7,"🟡 Watch","🔴 Critical"))</f>
        <v/>
      </c>
    </row>
    <row r="16">
      <c r="A16" s="7" t="inlineStr">
        <is>
          <t>Saha</t>
        </is>
      </c>
      <c r="B16" s="5" t="n">
        <v>5769</v>
      </c>
      <c r="C16" s="5" t="n">
        <v>2070</v>
      </c>
      <c r="D16" s="5">
        <f>B16-C16</f>
        <v/>
      </c>
      <c r="E16" s="6">
        <f>IFERROR(C16/B16,0)</f>
        <v/>
      </c>
      <c r="F16" s="9">
        <f>IF(E16&gt;=1,"🟢 On Target",IF(E16&gt;=0.7,"🟡 Watch","🔴 Critical"))</f>
        <v/>
      </c>
    </row>
    <row r="17">
      <c r="A17" s="7" t="inlineStr">
        <is>
          <t>Alshima</t>
        </is>
      </c>
      <c r="B17" s="5" t="n">
        <v>5769</v>
      </c>
      <c r="C17" s="5" t="n">
        <v>0</v>
      </c>
      <c r="D17" s="5">
        <f>B17-C17</f>
        <v/>
      </c>
      <c r="E17" s="6">
        <f>IFERROR(C17/B17,0)</f>
        <v/>
      </c>
      <c r="F17" s="9">
        <f>IF(E17&gt;=1,"🟢 On Target",IF(E17&gt;=0.7,"🟡 Watch","🔴 Critical"))</f>
        <v/>
      </c>
    </row>
    <row r="18">
      <c r="A18" s="10" t="inlineStr">
        <is>
          <t>TEAM TOTAL</t>
        </is>
      </c>
      <c r="B18" s="10">
        <f>SUM(B10:B17)</f>
        <v/>
      </c>
      <c r="C18" s="10">
        <f>SUM(C10:C17)</f>
        <v/>
      </c>
      <c r="D18" s="10">
        <f>B18-C18</f>
        <v/>
      </c>
      <c r="E18" s="11">
        <f>IFERROR(C18/B18,0)</f>
        <v/>
      </c>
      <c r="F18" s="10">
        <f>IF(E18&gt;=1,"🟢 On Target",IF(E18&gt;=0.7,"🟡 Watch","🔴 Critical"))</f>
        <v/>
      </c>
    </row>
    <row r="20">
      <c r="A20" s="12" t="inlineStr">
        <is>
          <t>⚠️ Needs attention (below 70% of weekly target): Khosema, Saha, Alshima.</t>
        </is>
      </c>
    </row>
  </sheetData>
  <mergeCells count="5">
    <mergeCell ref="A2:F2"/>
    <mergeCell ref="A1:F1"/>
    <mergeCell ref="A8:F8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2026-09-11T08:18:09Z</dcterms:created>
  <dcterms:modified xsi:type="dcterms:W3CDTF">2026-09-11T08:18:09Z</dcterms:modified>
</cp:coreProperties>
</file>