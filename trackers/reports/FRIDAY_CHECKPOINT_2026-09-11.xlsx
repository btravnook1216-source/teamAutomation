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day Check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1F3864"/>
      <sz val="9"/>
    </font>
    <font>
      <name val="Arial"/>
      <i val="1"/>
      <color rgb="FF808080"/>
      <sz val="9"/>
    </font>
    <font>
      <name val="Arial"/>
      <b val="1"/>
      <color rgb="FFFFFFFF"/>
      <sz val="9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4" customWidth="1" min="6" max="6"/>
    <col width="15" customWidth="1" min="7" max="7"/>
    <col width="16" customWidth="1" min="8" max="8"/>
    <col width="42" customWidth="1" min="9" max="9"/>
  </cols>
  <sheetData>
    <row r="1" ht="25.5" customHeight="1">
      <c r="A1" s="1" t="inlineStr">
        <is>
          <t>TRAVNOOK TRAVEL &amp; TOURISM — MID-WEEK CHECKPOINT</t>
        </is>
      </c>
    </row>
    <row r="2">
      <c r="A2" s="2" t="inlineStr">
        <is>
          <t>WK2: 7-12 Sep 2026 (assumed — confirm actual week)   |   As of: Friday (day 5 of 6 in the work week)   |   Default Monthly Target: AED 25,000/agent   |   Target override: Layan (ATL) AED 20,000/mo, Chaima AED 20,000/mo</t>
        </is>
      </c>
    </row>
    <row r="3">
      <c r="A3" s="3" t="inlineStr">
        <is>
          <t>Carry-forward only applies to deficits (what's still short of the full week's target) — a surplus this week does not reduce next week's target.</t>
        </is>
      </c>
    </row>
    <row r="5" ht="34" customHeight="1">
      <c r="A5" s="4" t="inlineStr">
        <is>
          <t>AGENT</t>
        </is>
      </c>
      <c r="B5" s="4" t="inlineStr">
        <is>
          <t>WEEKLY TARGET</t>
        </is>
      </c>
      <c r="C5" s="4" t="inlineStr">
        <is>
          <t>TARGET BY FRIDAY</t>
        </is>
      </c>
      <c r="D5" s="4" t="inlineStr">
        <is>
          <t>ACHIEVED (BY FRIDAY)</t>
        </is>
      </c>
      <c r="E5" s="4" t="inlineStr">
        <is>
          <t>DEFICIT vs FRIDAY PACE</t>
        </is>
      </c>
      <c r="F5" s="4" t="inlineStr">
        <is>
          <t>STILL NEEDED (FULL WEEK)</t>
        </is>
      </c>
      <c r="G5" s="4" t="inlineStr">
        <is>
          <t>PROJECTED CARRY-FORWARD</t>
        </is>
      </c>
      <c r="H5" s="4" t="inlineStr">
        <is>
          <t>PLANNED TARGET — NEXT WEEK</t>
        </is>
      </c>
      <c r="I5" s="4" t="inlineStr">
        <is>
          <t>REMARKS</t>
        </is>
      </c>
    </row>
    <row r="6" ht="30" customHeight="1">
      <c r="A6" s="5" t="inlineStr">
        <is>
          <t>Harinder</t>
        </is>
      </c>
      <c r="B6" s="6">
        <f>ROUND(25000.0/26*6,0)</f>
        <v/>
      </c>
      <c r="C6" s="6">
        <f>ROUND(B6*5/6,0)</f>
        <v/>
      </c>
      <c r="D6" s="6" t="n">
        <v>12494</v>
      </c>
      <c r="E6" s="6">
        <f>C6-D6</f>
        <v/>
      </c>
      <c r="F6" s="6">
        <f>B6-D6</f>
        <v/>
      </c>
      <c r="G6" s="6">
        <f>MAX(F6,0)</f>
        <v/>
      </c>
      <c r="H6" s="6">
        <f>ROUND(25000.0/26*6,0)+G6</f>
        <v/>
      </c>
      <c r="I6" s="7">
        <f>IF(D6&gt;=B6,"🟢 Exceeded full week target — keep pushing.",IF(D6&gt;=C6,"🟢 On pace — close the remaining gap by Saturday.",IF(D6=0,"🔴 No activity logged — needs a same-day check-in.",IF((C6-D6)&lt;=0.3*C6,"🟡 Slightly behind — recoverable by Saturday.","🔴 Significantly behind pace — needs urgent closes before Saturday."))))</f>
        <v/>
      </c>
    </row>
    <row r="7" ht="30" customHeight="1">
      <c r="A7" s="5" t="inlineStr">
        <is>
          <t>Ibrahim</t>
        </is>
      </c>
      <c r="B7" s="6">
        <f>ROUND(25000.0/26*6,0)</f>
        <v/>
      </c>
      <c r="C7" s="6">
        <f>ROUND(B7*5/6,0)</f>
        <v/>
      </c>
      <c r="D7" s="6" t="n">
        <v>11353</v>
      </c>
      <c r="E7" s="6">
        <f>C7-D7</f>
        <v/>
      </c>
      <c r="F7" s="6">
        <f>B7-D7</f>
        <v/>
      </c>
      <c r="G7" s="6">
        <f>MAX(F7,0)</f>
        <v/>
      </c>
      <c r="H7" s="6">
        <f>ROUND(25000.0/26*6,0)+G7</f>
        <v/>
      </c>
      <c r="I7" s="7">
        <f>IF(D7&gt;=B7,"🟢 Exceeded full week target — keep pushing.",IF(D7&gt;=C7,"🟢 On pace — close the remaining gap by Saturday.",IF(D7=0,"🔴 No activity logged — needs a same-day check-in.",IF((C7-D7)&lt;=0.3*C7,"🟡 Slightly behind — recoverable by Saturday.","🔴 Significantly behind pace — needs urgent closes before Saturday."))))</f>
        <v/>
      </c>
    </row>
    <row r="8" ht="30" customHeight="1">
      <c r="A8" s="5" t="inlineStr">
        <is>
          <t>Layan (ATL)</t>
        </is>
      </c>
      <c r="B8" s="6">
        <f>ROUND(20000.0/26*6,0)</f>
        <v/>
      </c>
      <c r="C8" s="6">
        <f>ROUND(B8*5/6,0)</f>
        <v/>
      </c>
      <c r="D8" s="6" t="n">
        <v>8600</v>
      </c>
      <c r="E8" s="6">
        <f>C8-D8</f>
        <v/>
      </c>
      <c r="F8" s="6">
        <f>B8-D8</f>
        <v/>
      </c>
      <c r="G8" s="6">
        <f>MAX(F8,0)</f>
        <v/>
      </c>
      <c r="H8" s="6">
        <f>ROUND(20000.0/26*6,0)+G8</f>
        <v/>
      </c>
      <c r="I8" s="7">
        <f>IF(D8&gt;=B8,"🟢 Exceeded full week target — keep pushing.",IF(D8&gt;=C8,"🟢 On pace — close the remaining gap by Saturday.",IF(D8=0,"🔴 No activity logged — needs a same-day check-in.",IF((C8-D8)&lt;=0.3*C8,"🟡 Slightly behind — recoverable by Saturday.","🔴 Significantly behind pace — needs urgent closes before Saturday."))))</f>
        <v/>
      </c>
    </row>
    <row r="9" ht="30" customHeight="1">
      <c r="A9" s="5" t="inlineStr">
        <is>
          <t>Chaima</t>
        </is>
      </c>
      <c r="B9" s="6">
        <f>ROUND(20000.0/26*6,0)</f>
        <v/>
      </c>
      <c r="C9" s="6">
        <f>ROUND(B9*5/6,0)</f>
        <v/>
      </c>
      <c r="D9" s="6" t="n">
        <v>8041</v>
      </c>
      <c r="E9" s="6">
        <f>C9-D9</f>
        <v/>
      </c>
      <c r="F9" s="6">
        <f>B9-D9</f>
        <v/>
      </c>
      <c r="G9" s="6">
        <f>MAX(F9,0)</f>
        <v/>
      </c>
      <c r="H9" s="6">
        <f>ROUND(20000.0/26*6,0)+G9</f>
        <v/>
      </c>
      <c r="I9" s="7">
        <f>IF(D9&gt;=B9,"🟢 Exceeded full week target — keep pushing.",IF(D9&gt;=C9,"🟢 On pace — close the remaining gap by Saturday.",IF(D9=0,"🔴 No activity logged — needs a same-day check-in.",IF((C9-D9)&lt;=0.3*C9,"🟡 Slightly behind — recoverable by Saturday.","🔴 Significantly behind pace — needs urgent closes before Saturday."))))</f>
        <v/>
      </c>
    </row>
    <row r="10" ht="30" customHeight="1">
      <c r="A10" s="5" t="inlineStr">
        <is>
          <t>Rihab</t>
        </is>
      </c>
      <c r="B10" s="6">
        <f>ROUND(25000.0/26*6,0)</f>
        <v/>
      </c>
      <c r="C10" s="6">
        <f>ROUND(B10*5/6,0)</f>
        <v/>
      </c>
      <c r="D10" s="6" t="n">
        <v>5874</v>
      </c>
      <c r="E10" s="6">
        <f>C10-D10</f>
        <v/>
      </c>
      <c r="F10" s="6">
        <f>B10-D10</f>
        <v/>
      </c>
      <c r="G10" s="6">
        <f>MAX(F10,0)</f>
        <v/>
      </c>
      <c r="H10" s="6">
        <f>ROUND(25000.0/26*6,0)+G10</f>
        <v/>
      </c>
      <c r="I10" s="7">
        <f>IF(D10&gt;=B10,"🟢 Exceeded full week target — keep pushing.",IF(D10&gt;=C10,"🟢 On pace — close the remaining gap by Saturday.",IF(D10=0,"🔴 No activity logged — needs a same-day check-in.",IF((C10-D10)&lt;=0.3*C10,"🟡 Slightly behind — recoverable by Saturday.","🔴 Significantly behind pace — needs urgent closes before Saturday."))))</f>
        <v/>
      </c>
    </row>
    <row r="11" ht="30" customHeight="1">
      <c r="A11" s="5" t="inlineStr">
        <is>
          <t>Khosema</t>
        </is>
      </c>
      <c r="B11" s="6">
        <f>ROUND(25000.0/26*6,0)</f>
        <v/>
      </c>
      <c r="C11" s="6">
        <f>ROUND(B11*5/6,0)</f>
        <v/>
      </c>
      <c r="D11" s="6" t="n">
        <v>2550</v>
      </c>
      <c r="E11" s="6">
        <f>C11-D11</f>
        <v/>
      </c>
      <c r="F11" s="6">
        <f>B11-D11</f>
        <v/>
      </c>
      <c r="G11" s="6">
        <f>MAX(F11,0)</f>
        <v/>
      </c>
      <c r="H11" s="6">
        <f>ROUND(25000.0/26*6,0)+G11</f>
        <v/>
      </c>
      <c r="I11" s="7">
        <f>IF(D11&gt;=B11,"🟢 Exceeded full week target — keep pushing.",IF(D11&gt;=C11,"🟢 On pace — close the remaining gap by Saturday.",IF(D11=0,"🔴 No activity logged — needs a same-day check-in.",IF((C11-D11)&lt;=0.3*C11,"🟡 Slightly behind — recoverable by Saturday.","🔴 Significantly behind pace — needs urgent closes before Saturday."))))</f>
        <v/>
      </c>
    </row>
    <row r="12" ht="30" customHeight="1">
      <c r="A12" s="5" t="inlineStr">
        <is>
          <t>Saha</t>
        </is>
      </c>
      <c r="B12" s="6">
        <f>ROUND(25000.0/26*6,0)</f>
        <v/>
      </c>
      <c r="C12" s="6">
        <f>ROUND(B12*5/6,0)</f>
        <v/>
      </c>
      <c r="D12" s="6" t="n">
        <v>2070</v>
      </c>
      <c r="E12" s="6">
        <f>C12-D12</f>
        <v/>
      </c>
      <c r="F12" s="6">
        <f>B12-D12</f>
        <v/>
      </c>
      <c r="G12" s="6">
        <f>MAX(F12,0)</f>
        <v/>
      </c>
      <c r="H12" s="6">
        <f>ROUND(25000.0/26*6,0)+G12</f>
        <v/>
      </c>
      <c r="I12" s="7">
        <f>IF(D12&gt;=B12,"🟢 Exceeded full week target — keep pushing.",IF(D12&gt;=C12,"🟢 On pace — close the remaining gap by Saturday.",IF(D12=0,"🔴 No activity logged — needs a same-day check-in.",IF((C12-D12)&lt;=0.3*C12,"🟡 Slightly behind — recoverable by Saturday.","🔴 Significantly behind pace — needs urgent closes before Saturday."))))</f>
        <v/>
      </c>
    </row>
    <row r="13" ht="30" customHeight="1">
      <c r="A13" s="5" t="inlineStr">
        <is>
          <t>Alshima</t>
        </is>
      </c>
      <c r="B13" s="6">
        <f>ROUND(25000.0/26*6,0)</f>
        <v/>
      </c>
      <c r="C13" s="6">
        <f>ROUND(B13*5/6,0)</f>
        <v/>
      </c>
      <c r="D13" s="6" t="n">
        <v>0</v>
      </c>
      <c r="E13" s="6">
        <f>C13-D13</f>
        <v/>
      </c>
      <c r="F13" s="6">
        <f>B13-D13</f>
        <v/>
      </c>
      <c r="G13" s="6">
        <f>MAX(F13,0)</f>
        <v/>
      </c>
      <c r="H13" s="6">
        <f>ROUND(25000.0/26*6,0)+G13</f>
        <v/>
      </c>
      <c r="I13" s="7">
        <f>IF(D13&gt;=B13,"🟢 Exceeded full week target — keep pushing.",IF(D13&gt;=C13,"🟢 On pace — close the remaining gap by Saturday.",IF(D13=0,"🔴 No activity logged — needs a same-day check-in.",IF((C13-D13)&lt;=0.3*C13,"🟡 Slightly behind — recoverable by Saturday.","🔴 Significantly behind pace — needs urgent closes before Saturday."))))</f>
        <v/>
      </c>
    </row>
    <row r="14" ht="30" customHeight="1">
      <c r="A14" s="8" t="inlineStr">
        <is>
          <t>TEAM TOTAL</t>
        </is>
      </c>
      <c r="B14" s="8">
        <f>SUM(B6:B13)</f>
        <v/>
      </c>
      <c r="C14" s="8">
        <f>SUM(C6:C13)</f>
        <v/>
      </c>
      <c r="D14" s="8">
        <f>SUM(D6:D13)</f>
        <v/>
      </c>
      <c r="E14" s="8">
        <f>SUM(E6:E13)</f>
        <v/>
      </c>
      <c r="F14" s="8">
        <f>SUM(F6:F13)</f>
        <v/>
      </c>
      <c r="G14" s="8">
        <f>SUM(G6:G13)</f>
        <v/>
      </c>
      <c r="H14" s="8">
        <f>SUM(H6:H13)</f>
        <v/>
      </c>
      <c r="I14" s="8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2026-09-11T08:21:23Z</dcterms:created>
  <dcterms:modified xsi:type="dcterms:W3CDTF">2026-09-11T08:21:24Z</dcterms:modified>
</cp:coreProperties>
</file>