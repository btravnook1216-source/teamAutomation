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o-Week Targe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1F3864"/>
      <sz val="9"/>
    </font>
    <font>
      <name val="Arial"/>
      <i val="1"/>
      <color rgb="FF808080"/>
      <sz val="9"/>
    </font>
    <font>
      <name val="Arial"/>
      <b val="1"/>
      <color rgb="FFFFFFFF"/>
      <sz val="9"/>
    </font>
    <font>
      <name val="Arial"/>
      <sz val="9"/>
    </font>
    <font>
      <name val="Arial"/>
      <color rgb="FF0000FF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1" customWidth="1" min="5" max="5"/>
    <col width="16" customWidth="1" min="6" max="6"/>
    <col width="16" customWidth="1" min="7" max="7"/>
    <col width="13" customWidth="1" min="8" max="8"/>
  </cols>
  <sheetData>
    <row r="1" ht="25.5" customHeight="1">
      <c r="A1" s="1" t="inlineStr">
        <is>
          <t>TRAVNOOK TRAVEL &amp; TOURISM — TWO-WEEK TARGET PLAN</t>
        </is>
      </c>
    </row>
    <row r="2">
      <c r="A2" s="2" t="inlineStr">
        <is>
          <t>This week: WK2: 7-12 Sep (as of Fri)   |   Next week: WK3: 14-19 Sep   |   Default Monthly Target: AED 25,000   |   Target override: Layan (ATL) AED 20,000/mo, Chaima AED 20,000/mo</t>
        </is>
      </c>
    </row>
    <row r="3">
      <c r="A3" s="3" t="inlineStr">
        <is>
          <t>Aim for next week = this week's deficit (if any) + next week's own target. A surplus this week does not reduce next week's target — it only offsets a deficit, never creates a negative one.</t>
        </is>
      </c>
    </row>
    <row r="5" ht="34" customHeight="1">
      <c r="A5" s="4" t="inlineStr">
        <is>
          <t>AGENT</t>
        </is>
      </c>
      <c r="B5" s="4" t="inlineStr">
        <is>
          <t>MONTHLY TARGET</t>
        </is>
      </c>
      <c r="C5" s="4" t="inlineStr">
        <is>
          <t>THIS WEEK TARGET
(WK2: 7-12 Sep (as of Fri))</t>
        </is>
      </c>
      <c r="D5" s="4" t="inlineStr">
        <is>
          <t>ACHIEVED SO FAR</t>
        </is>
      </c>
      <c r="E5" s="4" t="inlineStr">
        <is>
          <t>DEFICIT</t>
        </is>
      </c>
      <c r="F5" s="4" t="inlineStr">
        <is>
          <t>NEXT WEEK TARGET
(WK3: 14-19 Sep)</t>
        </is>
      </c>
      <c r="G5" s="4" t="inlineStr">
        <is>
          <t>AIM FOR NEXT WEEK</t>
        </is>
      </c>
      <c r="H5" s="4" t="inlineStr">
        <is>
          <t>STATUS</t>
        </is>
      </c>
    </row>
    <row r="6" ht="20" customHeight="1">
      <c r="A6" s="5" t="inlineStr">
        <is>
          <t>Harinder</t>
        </is>
      </c>
      <c r="B6" s="6" t="n">
        <v>25000</v>
      </c>
      <c r="C6" s="7">
        <f>ROUND(B6/26*6,0)</f>
        <v/>
      </c>
      <c r="D6" s="7" t="n">
        <v>12494</v>
      </c>
      <c r="E6" s="7">
        <f>C6-D6</f>
        <v/>
      </c>
      <c r="F6" s="7">
        <f>ROUND(B6/26*6,0)</f>
        <v/>
      </c>
      <c r="G6" s="7">
        <f>F6+MAX(E6,0)</f>
        <v/>
      </c>
      <c r="H6" s="7">
        <f>IF(IFERROR(D6/C6,0)&gt;=1,"🟢 On Target",IF(IFERROR(D6/C6,0)&gt;=0.7,"🟡 Watch","🔴 Critical"))</f>
        <v/>
      </c>
    </row>
    <row r="7" ht="20" customHeight="1">
      <c r="A7" s="5" t="inlineStr">
        <is>
          <t>Ibrahim</t>
        </is>
      </c>
      <c r="B7" s="6" t="n">
        <v>25000</v>
      </c>
      <c r="C7" s="7">
        <f>ROUND(B7/26*6,0)</f>
        <v/>
      </c>
      <c r="D7" s="7" t="n">
        <v>11353</v>
      </c>
      <c r="E7" s="7">
        <f>C7-D7</f>
        <v/>
      </c>
      <c r="F7" s="7">
        <f>ROUND(B7/26*6,0)</f>
        <v/>
      </c>
      <c r="G7" s="7">
        <f>F7+MAX(E7,0)</f>
        <v/>
      </c>
      <c r="H7" s="7">
        <f>IF(IFERROR(D7/C7,0)&gt;=1,"🟢 On Target",IF(IFERROR(D7/C7,0)&gt;=0.7,"🟡 Watch","🔴 Critical"))</f>
        <v/>
      </c>
    </row>
    <row r="8" ht="20" customHeight="1">
      <c r="A8" s="5" t="inlineStr">
        <is>
          <t>Layan (ATL)</t>
        </is>
      </c>
      <c r="B8" s="6" t="n">
        <v>20000</v>
      </c>
      <c r="C8" s="7">
        <f>ROUND(B8/26*6,0)</f>
        <v/>
      </c>
      <c r="D8" s="7" t="n">
        <v>8600</v>
      </c>
      <c r="E8" s="7">
        <f>C8-D8</f>
        <v/>
      </c>
      <c r="F8" s="7">
        <f>ROUND(B8/26*6,0)</f>
        <v/>
      </c>
      <c r="G8" s="7">
        <f>F8+MAX(E8,0)</f>
        <v/>
      </c>
      <c r="H8" s="7">
        <f>IF(IFERROR(D8/C8,0)&gt;=1,"🟢 On Target",IF(IFERROR(D8/C8,0)&gt;=0.7,"🟡 Watch","🔴 Critical"))</f>
        <v/>
      </c>
    </row>
    <row r="9" ht="20" customHeight="1">
      <c r="A9" s="5" t="inlineStr">
        <is>
          <t>Chaima</t>
        </is>
      </c>
      <c r="B9" s="6" t="n">
        <v>20000</v>
      </c>
      <c r="C9" s="7">
        <f>ROUND(B9/26*6,0)</f>
        <v/>
      </c>
      <c r="D9" s="7" t="n">
        <v>8041</v>
      </c>
      <c r="E9" s="7">
        <f>C9-D9</f>
        <v/>
      </c>
      <c r="F9" s="7">
        <f>ROUND(B9/26*6,0)</f>
        <v/>
      </c>
      <c r="G9" s="7">
        <f>F9+MAX(E9,0)</f>
        <v/>
      </c>
      <c r="H9" s="7">
        <f>IF(IFERROR(D9/C9,0)&gt;=1,"🟢 On Target",IF(IFERROR(D9/C9,0)&gt;=0.7,"🟡 Watch","🔴 Critical"))</f>
        <v/>
      </c>
    </row>
    <row r="10" ht="20" customHeight="1">
      <c r="A10" s="5" t="inlineStr">
        <is>
          <t>Rihab</t>
        </is>
      </c>
      <c r="B10" s="6" t="n">
        <v>25000</v>
      </c>
      <c r="C10" s="7">
        <f>ROUND(B10/26*6,0)</f>
        <v/>
      </c>
      <c r="D10" s="7" t="n">
        <v>5874</v>
      </c>
      <c r="E10" s="7">
        <f>C10-D10</f>
        <v/>
      </c>
      <c r="F10" s="7">
        <f>ROUND(B10/26*6,0)</f>
        <v/>
      </c>
      <c r="G10" s="7">
        <f>F10+MAX(E10,0)</f>
        <v/>
      </c>
      <c r="H10" s="7">
        <f>IF(IFERROR(D10/C10,0)&gt;=1,"🟢 On Target",IF(IFERROR(D10/C10,0)&gt;=0.7,"🟡 Watch","🔴 Critical"))</f>
        <v/>
      </c>
    </row>
    <row r="11" ht="20" customHeight="1">
      <c r="A11" s="5" t="inlineStr">
        <is>
          <t>Khosema</t>
        </is>
      </c>
      <c r="B11" s="6" t="n">
        <v>25000</v>
      </c>
      <c r="C11" s="7">
        <f>ROUND(B11/26*6,0)</f>
        <v/>
      </c>
      <c r="D11" s="7" t="n">
        <v>2550</v>
      </c>
      <c r="E11" s="7">
        <f>C11-D11</f>
        <v/>
      </c>
      <c r="F11" s="7">
        <f>ROUND(B11/26*6,0)</f>
        <v/>
      </c>
      <c r="G11" s="7">
        <f>F11+MAX(E11,0)</f>
        <v/>
      </c>
      <c r="H11" s="7">
        <f>IF(IFERROR(D11/C11,0)&gt;=1,"🟢 On Target",IF(IFERROR(D11/C11,0)&gt;=0.7,"🟡 Watch","🔴 Critical"))</f>
        <v/>
      </c>
    </row>
    <row r="12" ht="20" customHeight="1">
      <c r="A12" s="5" t="inlineStr">
        <is>
          <t>Saha</t>
        </is>
      </c>
      <c r="B12" s="6" t="n">
        <v>25000</v>
      </c>
      <c r="C12" s="7">
        <f>ROUND(B12/26*6,0)</f>
        <v/>
      </c>
      <c r="D12" s="7" t="n">
        <v>2070</v>
      </c>
      <c r="E12" s="7">
        <f>C12-D12</f>
        <v/>
      </c>
      <c r="F12" s="7">
        <f>ROUND(B12/26*6,0)</f>
        <v/>
      </c>
      <c r="G12" s="7">
        <f>F12+MAX(E12,0)</f>
        <v/>
      </c>
      <c r="H12" s="7">
        <f>IF(IFERROR(D12/C12,0)&gt;=1,"🟢 On Target",IF(IFERROR(D12/C12,0)&gt;=0.7,"🟡 Watch","🔴 Critical"))</f>
        <v/>
      </c>
    </row>
    <row r="13" ht="20" customHeight="1">
      <c r="A13" s="5" t="inlineStr">
        <is>
          <t>Alshima</t>
        </is>
      </c>
      <c r="B13" s="6" t="n">
        <v>25000</v>
      </c>
      <c r="C13" s="7">
        <f>ROUND(B13/26*6,0)</f>
        <v/>
      </c>
      <c r="D13" s="7" t="n">
        <v>0</v>
      </c>
      <c r="E13" s="7">
        <f>C13-D13</f>
        <v/>
      </c>
      <c r="F13" s="7">
        <f>ROUND(B13/26*6,0)</f>
        <v/>
      </c>
      <c r="G13" s="7">
        <f>F13+MAX(E13,0)</f>
        <v/>
      </c>
      <c r="H13" s="7">
        <f>IF(IFERROR(D13/C13,0)&gt;=1,"🟢 On Target",IF(IFERROR(D13/C13,0)&gt;=0.7,"🟡 Watch","🔴 Critical"))</f>
        <v/>
      </c>
    </row>
    <row r="14" ht="20" customHeight="1">
      <c r="A14" s="8" t="inlineStr">
        <is>
          <t>TEAM TOTAL</t>
        </is>
      </c>
      <c r="B14" s="8">
        <f>SUM(B6:B13)</f>
        <v/>
      </c>
      <c r="C14" s="8">
        <f>SUM(C6:C13)</f>
        <v/>
      </c>
      <c r="D14" s="8">
        <f>SUM(D6:D13)</f>
        <v/>
      </c>
      <c r="E14" s="8">
        <f>SUM(E6:E13)</f>
        <v/>
      </c>
      <c r="F14" s="8">
        <f>SUM(F6:F13)</f>
        <v/>
      </c>
      <c r="G14" s="8">
        <f>SUM(G6:G13)</f>
        <v/>
      </c>
      <c r="H14" s="8">
        <f>IF(IFERROR(D14/C14,0)&gt;=1,"🟢 On Target",IF(IFERROR(D14/C14,0)&gt;=0.7,"🟡 Watch","🔴 Critical"))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2026-09-11T08:28:56Z</dcterms:created>
  <dcterms:modified xsi:type="dcterms:W3CDTF">2026-09-11T08:28:56Z</dcterms:modified>
</cp:coreProperties>
</file>