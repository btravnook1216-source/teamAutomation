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ot Watch Log" sheetId="1" state="visible" r:id="rId1"/>
    <sheet name="Pattern Summary" sheetId="2" state="visible" r:id="rId2"/>
    <sheet name="Coverage Ro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9"/>
    </font>
    <font>
      <name val="Arial"/>
      <i val="1"/>
      <color rgb="FF808080"/>
      <sz val="9"/>
    </font>
    <font>
      <name val="Arial"/>
      <b val="1"/>
      <color rgb="FF1F3864"/>
      <sz val="9"/>
    </font>
    <font>
      <name val="Arial"/>
      <b val="1"/>
      <sz val="9"/>
    </font>
    <font>
      <name val="Arial"/>
      <color rgb="FF0000FF"/>
      <sz val="9"/>
    </font>
    <font>
      <name val="Arial"/>
      <color rgb="FF808080"/>
      <sz val="9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0" fontId="5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6" customWidth="1" min="5" max="5"/>
    <col width="15" customWidth="1" min="6" max="6"/>
    <col width="16" customWidth="1" min="7" max="7"/>
    <col width="30" customWidth="1" min="8" max="8"/>
  </cols>
  <sheetData>
    <row r="1" ht="25.5" customHeight="1">
      <c r="A1" s="1" t="inlineStr">
        <is>
          <t>TRAVNOOK — U.S. VISA APPOINTMENT SLOT WATCH LOG</t>
        </is>
      </c>
    </row>
    <row r="2" ht="26" customHeight="1">
      <c r="A2" s="2" t="inlineStr">
        <is>
          <t>DATE</t>
        </is>
      </c>
      <c r="B2" s="2" t="inlineStr">
        <is>
          <t>TIME CHECKED</t>
        </is>
      </c>
      <c r="C2" s="2" t="inlineStr">
        <is>
          <t>CHECKED BY</t>
        </is>
      </c>
      <c r="D2" s="2" t="inlineStr">
        <is>
          <t>CONSULATE</t>
        </is>
      </c>
      <c r="E2" s="2" t="inlineStr">
        <is>
          <t>VISA CATEGORY</t>
        </is>
      </c>
      <c r="F2" s="2" t="inlineStr">
        <is>
          <t>SLOTS AVAILABLE?</t>
        </is>
      </c>
      <c r="G2" s="2" t="inlineStr">
        <is>
          <t>EARLIEST DATE SEEN</t>
        </is>
      </c>
      <c r="H2" s="2" t="inlineStr">
        <is>
          <t>NOTES</t>
        </is>
      </c>
    </row>
  </sheetData>
  <mergeCells count="1">
    <mergeCell ref="A1:H1"/>
  </mergeCells>
  <dataValidations count="3">
    <dataValidation sqref="B3:B200" showDropDown="0" showInputMessage="0" showErrorMessage="0" allowBlank="1" type="list">
      <formula1>"9:30 AM,11:30 AM,1:30 PM,3:30 PM,5:30 PM,Other"</formula1>
    </dataValidation>
    <dataValidation sqref="D3:D200" showDropDown="0" showInputMessage="0" showErrorMessage="0" allowBlank="1" type="list">
      <formula1>"Abu Dhabi,Dubai"</formula1>
    </dataValidation>
    <dataValidation sqref="F3:F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</cols>
  <sheetData>
    <row r="1" ht="25.5" customHeight="1">
      <c r="A1" s="1" t="inlineStr">
        <is>
          <t>SLOT DROP PATTERN SUMMARY</t>
        </is>
      </c>
    </row>
    <row r="2">
      <c r="A2" s="3" t="inlineStr">
        <is>
          <t>Auto-updates from the Slot Watch Log. Needs a few weeks of logged checks (including “no slots”) before patterns are meaningful.</t>
        </is>
      </c>
    </row>
    <row r="4">
      <c r="A4" s="4" t="inlineStr">
        <is>
          <t>BY CHECK TIME</t>
        </is>
      </c>
    </row>
    <row r="5">
      <c r="A5" s="5" t="inlineStr">
        <is>
          <t>TIME</t>
        </is>
      </c>
      <c r="B5" s="5" t="inlineStr">
        <is>
          <t>TOTAL CHECKS</t>
        </is>
      </c>
      <c r="C5" s="5" t="inlineStr">
        <is>
          <t>SLOTS FOUND</t>
        </is>
      </c>
      <c r="D5" s="5" t="inlineStr">
        <is>
          <t>HIT RATE</t>
        </is>
      </c>
    </row>
    <row r="6">
      <c r="A6" s="6" t="inlineStr">
        <is>
          <t>9:30 AM</t>
        </is>
      </c>
      <c r="B6" s="6">
        <f>COUNTIF('Slot Watch Log'!$B$3:$B$200,A6)</f>
        <v/>
      </c>
      <c r="C6" s="6">
        <f>COUNTIFS('Slot Watch Log'!$B$3:$B$200,A6,'Slot Watch Log'!$F$3:$F$200,"Yes")</f>
        <v/>
      </c>
      <c r="D6" s="7">
        <f>IFERROR(C6/B6,0)</f>
        <v/>
      </c>
    </row>
    <row r="7">
      <c r="A7" s="6" t="inlineStr">
        <is>
          <t>11:30 AM</t>
        </is>
      </c>
      <c r="B7" s="6">
        <f>COUNTIF('Slot Watch Log'!$B$3:$B$200,A7)</f>
        <v/>
      </c>
      <c r="C7" s="6">
        <f>COUNTIFS('Slot Watch Log'!$B$3:$B$200,A7,'Slot Watch Log'!$F$3:$F$200,"Yes")</f>
        <v/>
      </c>
      <c r="D7" s="7">
        <f>IFERROR(C7/B7,0)</f>
        <v/>
      </c>
    </row>
    <row r="8">
      <c r="A8" s="6" t="inlineStr">
        <is>
          <t>1:30 PM</t>
        </is>
      </c>
      <c r="B8" s="6">
        <f>COUNTIF('Slot Watch Log'!$B$3:$B$200,A8)</f>
        <v/>
      </c>
      <c r="C8" s="6">
        <f>COUNTIFS('Slot Watch Log'!$B$3:$B$200,A8,'Slot Watch Log'!$F$3:$F$200,"Yes")</f>
        <v/>
      </c>
      <c r="D8" s="7">
        <f>IFERROR(C8/B8,0)</f>
        <v/>
      </c>
    </row>
    <row r="9">
      <c r="A9" s="6" t="inlineStr">
        <is>
          <t>3:30 PM</t>
        </is>
      </c>
      <c r="B9" s="6">
        <f>COUNTIF('Slot Watch Log'!$B$3:$B$200,A9)</f>
        <v/>
      </c>
      <c r="C9" s="6">
        <f>COUNTIFS('Slot Watch Log'!$B$3:$B$200,A9,'Slot Watch Log'!$F$3:$F$200,"Yes")</f>
        <v/>
      </c>
      <c r="D9" s="7">
        <f>IFERROR(C9/B9,0)</f>
        <v/>
      </c>
    </row>
    <row r="10">
      <c r="A10" s="6" t="inlineStr">
        <is>
          <t>5:30 PM</t>
        </is>
      </c>
      <c r="B10" s="6">
        <f>COUNTIF('Slot Watch Log'!$B$3:$B$200,A10)</f>
        <v/>
      </c>
      <c r="C10" s="6">
        <f>COUNTIFS('Slot Watch Log'!$B$3:$B$200,A10,'Slot Watch Log'!$F$3:$F$200,"Yes")</f>
        <v/>
      </c>
      <c r="D10" s="7">
        <f>IFERROR(C10/B10,0)</f>
        <v/>
      </c>
    </row>
    <row r="11">
      <c r="A11" s="6" t="inlineStr">
        <is>
          <t>Other</t>
        </is>
      </c>
      <c r="B11" s="6">
        <f>COUNTIF('Slot Watch Log'!$B$3:$B$200,A11)</f>
        <v/>
      </c>
      <c r="C11" s="6">
        <f>COUNTIFS('Slot Watch Log'!$B$3:$B$200,A11,'Slot Watch Log'!$F$3:$F$200,"Yes")</f>
        <v/>
      </c>
      <c r="D11" s="7">
        <f>IFERROR(C11/B11,0)</f>
        <v/>
      </c>
    </row>
    <row r="13">
      <c r="A13" s="4" t="inlineStr">
        <is>
          <t>BY CONSULATE</t>
        </is>
      </c>
    </row>
    <row r="14">
      <c r="A14" s="5" t="inlineStr">
        <is>
          <t>CONSULATE</t>
        </is>
      </c>
      <c r="B14" s="5" t="inlineStr">
        <is>
          <t>TOTAL CHECKS</t>
        </is>
      </c>
      <c r="C14" s="5" t="inlineStr">
        <is>
          <t>SLOTS FOUND</t>
        </is>
      </c>
      <c r="D14" s="5" t="inlineStr">
        <is>
          <t>HIT RATE</t>
        </is>
      </c>
    </row>
    <row r="15">
      <c r="A15" s="6" t="inlineStr">
        <is>
          <t>Abu Dhabi</t>
        </is>
      </c>
      <c r="B15" s="6">
        <f>COUNTIF('Slot Watch Log'!$D$3:$D$200,A15)</f>
        <v/>
      </c>
      <c r="C15" s="6">
        <f>COUNTIFS('Slot Watch Log'!$D$3:$D$200,A15,'Slot Watch Log'!$F$3:$F$200,"Yes")</f>
        <v/>
      </c>
      <c r="D15" s="7">
        <f>IFERROR(C15/B15,0)</f>
        <v/>
      </c>
    </row>
    <row r="16">
      <c r="A16" s="6" t="inlineStr">
        <is>
          <t>Dubai</t>
        </is>
      </c>
      <c r="B16" s="6">
        <f>COUNTIF('Slot Watch Log'!$D$3:$D$200,A16)</f>
        <v/>
      </c>
      <c r="C16" s="6">
        <f>COUNTIFS('Slot Watch Log'!$D$3:$D$200,A16,'Slot Watch Log'!$F$3:$F$200,"Yes")</f>
        <v/>
      </c>
      <c r="D16" s="7">
        <f>IFERROR(C16/B16,0)</f>
        <v/>
      </c>
    </row>
    <row r="18">
      <c r="A18" s="8" t="inlineStr">
        <is>
          <t>TOTAL LOGGED CHECKS</t>
        </is>
      </c>
      <c r="B18" s="8">
        <f>COUNTA('Slot Watch Log'!$A$3:$A$200)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5.5" customHeight="1">
      <c r="A1" s="1" t="inlineStr">
        <is>
          <t>SLOT-CHECK COVERAGE ROSTER — WEEKLY TEMPLATE</t>
        </is>
      </c>
    </row>
    <row r="2">
      <c r="A2" s="3" t="inlineStr">
        <is>
          <t>Replaces 24/7 automated monitoring (against ustraveldocs.com's Terms of Service) with human coverage spread across the day. Blue cells = editable — swap names for leave/sick days. Rotation is pre-filled so no single agent carries every shift.</t>
        </is>
      </c>
    </row>
    <row r="4" ht="20" customHeight="1">
      <c r="A4" s="9" t="inlineStr">
        <is>
          <t>DAY</t>
        </is>
      </c>
      <c r="B4" s="9" t="inlineStr">
        <is>
          <t>9:30 AM</t>
        </is>
      </c>
      <c r="C4" s="9" t="inlineStr">
        <is>
          <t>11:30 AM</t>
        </is>
      </c>
      <c r="D4" s="9" t="inlineStr">
        <is>
          <t>1:30 PM</t>
        </is>
      </c>
      <c r="E4" s="9" t="inlineStr">
        <is>
          <t>3:30 PM</t>
        </is>
      </c>
      <c r="F4" s="9" t="inlineStr">
        <is>
          <t>5:30 PM</t>
        </is>
      </c>
    </row>
    <row r="5">
      <c r="A5" s="10" t="inlineStr">
        <is>
          <t>Monday</t>
        </is>
      </c>
      <c r="B5" s="11" t="inlineStr">
        <is>
          <t>Layan (ATL)</t>
        </is>
      </c>
      <c r="C5" s="11" t="inlineStr">
        <is>
          <t>Ibrahim</t>
        </is>
      </c>
      <c r="D5" s="11" t="inlineStr">
        <is>
          <t>Chaima</t>
        </is>
      </c>
      <c r="E5" s="11" t="inlineStr">
        <is>
          <t>Alshima</t>
        </is>
      </c>
      <c r="F5" s="11" t="inlineStr">
        <is>
          <t>Saha</t>
        </is>
      </c>
    </row>
    <row r="6">
      <c r="A6" s="10" t="inlineStr">
        <is>
          <t>Tuesday</t>
        </is>
      </c>
      <c r="B6" s="11" t="inlineStr">
        <is>
          <t>Khosema</t>
        </is>
      </c>
      <c r="C6" s="11" t="inlineStr">
        <is>
          <t>Harinder</t>
        </is>
      </c>
      <c r="D6" s="11" t="inlineStr">
        <is>
          <t>Rihab</t>
        </is>
      </c>
      <c r="E6" s="11" t="inlineStr">
        <is>
          <t>Layan (ATL)</t>
        </is>
      </c>
      <c r="F6" s="11" t="inlineStr">
        <is>
          <t>Ibrahim</t>
        </is>
      </c>
    </row>
    <row r="7">
      <c r="A7" s="10" t="inlineStr">
        <is>
          <t>Wednesday</t>
        </is>
      </c>
      <c r="B7" s="11" t="inlineStr">
        <is>
          <t>Chaima</t>
        </is>
      </c>
      <c r="C7" s="11" t="inlineStr">
        <is>
          <t>Alshima</t>
        </is>
      </c>
      <c r="D7" s="11" t="inlineStr">
        <is>
          <t>Saha</t>
        </is>
      </c>
      <c r="E7" s="11" t="inlineStr">
        <is>
          <t>Khosema</t>
        </is>
      </c>
      <c r="F7" s="11" t="inlineStr">
        <is>
          <t>Harinder</t>
        </is>
      </c>
    </row>
    <row r="8">
      <c r="A8" s="10" t="inlineStr">
        <is>
          <t>Thursday</t>
        </is>
      </c>
      <c r="B8" s="11" t="inlineStr">
        <is>
          <t>Rihab</t>
        </is>
      </c>
      <c r="C8" s="11" t="inlineStr">
        <is>
          <t>Layan (ATL)</t>
        </is>
      </c>
      <c r="D8" s="11" t="inlineStr">
        <is>
          <t>Ibrahim</t>
        </is>
      </c>
      <c r="E8" s="11" t="inlineStr">
        <is>
          <t>Chaima</t>
        </is>
      </c>
      <c r="F8" s="11" t="inlineStr">
        <is>
          <t>Alshima</t>
        </is>
      </c>
    </row>
    <row r="9">
      <c r="A9" s="10" t="inlineStr">
        <is>
          <t>Friday</t>
        </is>
      </c>
      <c r="B9" s="11" t="inlineStr">
        <is>
          <t>Saha</t>
        </is>
      </c>
      <c r="C9" s="11" t="inlineStr">
        <is>
          <t>Khosema</t>
        </is>
      </c>
      <c r="D9" s="11" t="inlineStr">
        <is>
          <t>Harinder</t>
        </is>
      </c>
      <c r="E9" s="11" t="inlineStr">
        <is>
          <t>Rihab</t>
        </is>
      </c>
      <c r="F9" s="11" t="inlineStr">
        <is>
          <t>Layan (ATL)</t>
        </is>
      </c>
    </row>
    <row r="10">
      <c r="A10" s="10" t="inlineStr">
        <is>
          <t>Saturday</t>
        </is>
      </c>
      <c r="B10" s="11" t="inlineStr">
        <is>
          <t>Ibrahim</t>
        </is>
      </c>
      <c r="C10" s="11" t="inlineStr">
        <is>
          <t>Chaima</t>
        </is>
      </c>
      <c r="D10" s="11" t="inlineStr">
        <is>
          <t>Alshima</t>
        </is>
      </c>
      <c r="E10" s="11" t="inlineStr">
        <is>
          <t>Saha</t>
        </is>
      </c>
      <c r="F10" s="11" t="inlineStr">
        <is>
          <t>Khosema</t>
        </is>
      </c>
    </row>
    <row r="12">
      <c r="A12" s="12" t="inlineStr">
        <is>
          <t>Sunday: office closed, no checks scheduled. Whoever is on shift logs the result — including “no slots” — in the Slot Watch Log tab straight after checking.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2026-09-10T10:18:06Z</dcterms:created>
  <dcterms:modified xsi:type="dcterms:W3CDTF">2026-09-10T10:18:06Z</dcterms:modified>
</cp:coreProperties>
</file>